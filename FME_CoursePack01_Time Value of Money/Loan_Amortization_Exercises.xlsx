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roblem A – Home Loan (Monthly)" sheetId="3" state="visible" r:id="rId3"/>
    <sheet xmlns:r="http://schemas.openxmlformats.org/officeDocument/2006/relationships" name="Problem B – MSME Machinery (Qua" sheetId="4" state="visible" r:id="rId4"/>
    <sheet xmlns:r="http://schemas.openxmlformats.org/officeDocument/2006/relationships" name="Problem C – Personal Loan (Fort" sheetId="5" state="visible" r:id="rId5"/>
    <sheet xmlns:r="http://schemas.openxmlformats.org/officeDocument/2006/relationships" name="Problem D – Two-Wheeler (Weekly" sheetId="6" state="visible" r:id="rId6"/>
    <sheet xmlns:r="http://schemas.openxmlformats.org/officeDocument/2006/relationships" name="Problem E – Equipment (Semiannu" sheetId="7" state="visible" r:id="rId7"/>
  </sheets>
  <definedNames/>
  <calcPr calcId="191029" fullCalcOnLoad="1"/>
</workbook>
</file>

<file path=xl/styles.xml><?xml version="1.0" encoding="utf-8"?>
<styleSheet xmlns="http://schemas.openxmlformats.org/spreadsheetml/2006/main">
  <numFmts count="3">
    <numFmt numFmtId="164" formatCode="\₹\ ###,##0.00;[Red]\-\₹\ ###,##0.00"/>
    <numFmt numFmtId="165" formatCode="0.000000%"/>
    <numFmt numFmtId="166" formatCode="###,##0.00;[Red]\-###,##0.00"/>
  </numFmts>
  <fonts count="8">
    <font>
      <name val="Calibri"/>
      <family val="2"/>
      <color theme="1"/>
      <sz val="11"/>
      <scheme val="minor"/>
    </font>
    <font>
      <name val="Calibri"/>
      <family val="2"/>
      <b val="1"/>
      <sz val="14"/>
    </font>
    <font>
      <name val="Calibri"/>
      <family val="2"/>
      <b val="1"/>
      <sz val="11"/>
    </font>
    <font>
      <name val="Calibri"/>
      <family val="2"/>
      <color theme="10"/>
      <sz val="12"/>
      <scheme val="minor"/>
    </font>
    <font>
      <name val="Calibri"/>
      <family val="2"/>
      <b val="1"/>
      <color theme="1"/>
      <sz val="11"/>
      <scheme val="minor"/>
    </font>
    <font>
      <name val="Calibri"/>
      <family val="2"/>
      <b val="1"/>
      <color theme="1"/>
      <sz val="24"/>
      <scheme val="minor"/>
    </font>
    <font>
      <name val="Calibri"/>
      <family val="2"/>
      <b val="1"/>
      <color theme="1"/>
      <sz val="18"/>
      <scheme val="minor"/>
    </font>
    <font>
      <name val="Calibri"/>
      <family val="2"/>
      <i val="1"/>
      <color theme="1"/>
      <sz val="11"/>
      <scheme val="minor"/>
    </font>
  </fonts>
  <fills count="10">
    <fill>
      <patternFill/>
    </fill>
    <fill>
      <patternFill patternType="gray125"/>
    </fill>
    <fill>
      <patternFill patternType="solid">
        <fgColor rgb="FFE6EEF8"/>
      </patternFill>
    </fill>
    <fill>
      <patternFill patternType="solid">
        <fgColor rgb="FFFFF7D6"/>
      </patternFill>
    </fill>
    <fill>
      <patternFill patternType="solid">
        <fgColor rgb="FFD6F5E5"/>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3" tint="0.3999755851924192"/>
        <bgColor indexed="64"/>
      </patternFill>
    </fill>
    <fill>
      <patternFill patternType="solid">
        <fgColor theme="5" tint="0.399975585192419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cellStyleXfs>
  <cellXfs count="34">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2" fillId="0" borderId="0" pivotButton="0" quotePrefix="0" xfId="0"/>
    <xf numFmtId="164" fontId="0" fillId="3" borderId="1" applyAlignment="1" pivotButton="0" quotePrefix="0" xfId="0">
      <alignment horizontal="right" vertical="center"/>
    </xf>
    <xf numFmtId="165" fontId="0" fillId="4" borderId="1" applyAlignment="1" pivotButton="0" quotePrefix="0" xfId="0">
      <alignment horizontal="right" vertical="center"/>
    </xf>
    <xf numFmtId="10" fontId="0" fillId="3" borderId="1" applyAlignment="1" pivotButton="0" quotePrefix="0" xfId="0">
      <alignment horizontal="right" vertical="center"/>
    </xf>
    <xf numFmtId="1" fontId="0" fillId="4" borderId="1" applyAlignment="1" pivotButton="0" quotePrefix="0" xfId="0">
      <alignment horizontal="right" vertical="center"/>
    </xf>
    <xf numFmtId="1" fontId="0" fillId="3" borderId="1" applyAlignment="1" pivotButton="0" quotePrefix="0" xfId="0">
      <alignment horizontal="right" vertical="center"/>
    </xf>
    <xf numFmtId="164" fontId="0" fillId="4" borderId="1" applyAlignment="1" pivotButton="0" quotePrefix="0" xfId="0">
      <alignment horizontal="right" vertical="center"/>
    </xf>
    <xf numFmtId="166" fontId="0" fillId="0" borderId="1" applyAlignment="1" pivotButton="0" quotePrefix="0" xfId="0">
      <alignment horizontal="right" vertical="center"/>
    </xf>
    <xf numFmtId="164" fontId="0" fillId="0" borderId="1" applyAlignment="1" pivotButton="0" quotePrefix="0" xfId="0">
      <alignment horizontal="right" vertical="center"/>
    </xf>
    <xf numFmtId="0" fontId="2" fillId="0" borderId="0" applyAlignment="1" pivotButton="0" quotePrefix="0" xfId="0">
      <alignment horizontal="right" vertical="center"/>
    </xf>
    <xf numFmtId="164" fontId="2" fillId="0" borderId="0" applyAlignment="1" pivotButton="0" quotePrefix="0" xfId="0">
      <alignment horizontal="right" vertical="center"/>
    </xf>
    <xf numFmtId="0" fontId="0" fillId="3" borderId="1" applyAlignment="1" pivotButton="0" quotePrefix="0" xfId="0">
      <alignment horizontal="left" vertical="center"/>
    </xf>
    <xf numFmtId="0" fontId="3" fillId="0" borderId="0" pivotButton="0" quotePrefix="0" xfId="1"/>
    <xf numFmtId="0" fontId="5" fillId="0" borderId="0" applyAlignment="1" pivotButton="0" quotePrefix="0" xfId="0">
      <alignment vertical="center"/>
    </xf>
    <xf numFmtId="0" fontId="6" fillId="0" borderId="0" applyAlignment="1" pivotButton="0" quotePrefix="0" xfId="0">
      <alignment vertical="center"/>
    </xf>
    <xf numFmtId="0" fontId="0" fillId="0" borderId="0" applyAlignment="1" pivotButton="0" quotePrefix="0" xfId="0">
      <alignment horizontal="left" vertical="center" indent="1"/>
    </xf>
    <xf numFmtId="0" fontId="4" fillId="0" borderId="0" applyAlignment="1" pivotButton="0" quotePrefix="0" xfId="0">
      <alignment horizontal="left" vertical="center" indent="1"/>
    </xf>
    <xf numFmtId="0" fontId="7" fillId="0" borderId="0" pivotButton="0" quotePrefix="0" xfId="0"/>
    <xf numFmtId="0" fontId="6" fillId="8" borderId="0" applyAlignment="1" pivotButton="0" quotePrefix="0" xfId="0">
      <alignment vertical="center"/>
    </xf>
    <xf numFmtId="0" fontId="0" fillId="8" borderId="0" pivotButton="0" quotePrefix="0" xfId="0"/>
    <xf numFmtId="0" fontId="6" fillId="9" borderId="0" applyAlignment="1" pivotButton="0" quotePrefix="0" xfId="0">
      <alignment vertical="center"/>
    </xf>
    <xf numFmtId="0" fontId="4" fillId="0" borderId="0" pivotButton="0" quotePrefix="0" xfId="0"/>
    <xf numFmtId="0" fontId="4" fillId="6" borderId="0" applyAlignment="1" pivotButton="0" quotePrefix="0" xfId="0">
      <alignment vertical="top" wrapText="1"/>
    </xf>
    <xf numFmtId="0" fontId="0" fillId="5" borderId="0" applyAlignment="1" pivotButton="0" quotePrefix="0" xfId="0">
      <alignment horizontal="justify" vertical="justify" wrapText="1"/>
    </xf>
    <xf numFmtId="0" fontId="0" fillId="5" borderId="0" applyAlignment="1" pivotButton="0" quotePrefix="0" xfId="0">
      <alignment horizontal="left" vertical="top" wrapText="1"/>
    </xf>
    <xf numFmtId="0" fontId="0" fillId="7" borderId="0" applyAlignment="1" pivotButton="0" quotePrefix="0" xfId="0">
      <alignment horizontal="justify" vertical="justify"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0772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I22" sqref="I22"/>
    </sheetView>
  </sheetViews>
  <sheetFormatPr baseColWidth="8" defaultRowHeight="14.5"/>
  <cols>
    <col width="13.90625" customWidth="1" min="7" max="7"/>
    <col width="6.81640625" customWidth="1" min="8" max="8"/>
    <col width="65.1796875" customWidth="1" min="9" max="9"/>
    <col width="16.6328125" customWidth="1" min="10" max="10"/>
  </cols>
  <sheetData>
    <row r="1" ht="31" customHeight="1">
      <c r="A1" s="21" t="inlineStr">
        <is>
          <t>FINANCIAL MODELING USING EXCEL</t>
        </is>
      </c>
    </row>
    <row r="2"/>
    <row r="3" ht="23.5" customHeight="1">
      <c r="A3" s="22" t="inlineStr">
        <is>
          <t>Loan Amortization Modeling Using Excel</t>
        </is>
      </c>
    </row>
    <row r="4"/>
    <row r="5">
      <c r="A5" s="25" t="inlineStr">
        <is>
          <t>Structured Repayment Analysis and Cash Flow Decomposition</t>
        </is>
      </c>
    </row>
    <row r="6"/>
    <row r="7" ht="23.5" customHeight="1">
      <c r="A7" s="22" t="inlineStr">
        <is>
          <t>Workbook Purpose</t>
        </is>
      </c>
    </row>
    <row r="8"/>
    <row r="9" ht="129" customHeight="1">
      <c r="A9" s="31" t="inlineStr">
        <is>
          <t>This workbook is designed to develop a clear and practical understanding of loan amortization and structured debt repayment using Excel. It enables learners to analyze how periodic payments are allocated between interest and principal over the life of a loan, and how outstanding balances evolve over time.
Loan amortization is a foundational concept in corporate finance, banking, personal finance, and credit analysis. By building the amortization model step by step in Excel, learners translate theoretical concepts into a transparent, auditable framework that mirrors real-world loan schedules used by banks, financial institutions, and analysts</t>
        </is>
      </c>
    </row>
    <row r="10"/>
    <row r="11"/>
    <row r="12"/>
    <row r="13"/>
    <row r="14"/>
    <row r="15" ht="23.5" customHeight="1">
      <c r="A15" s="26" t="inlineStr">
        <is>
          <t>Key Concepts Covered</t>
        </is>
      </c>
      <c r="B15" s="27" t="n"/>
      <c r="C15" s="27" t="n"/>
      <c r="D15" s="27" t="n"/>
      <c r="E15" s="27" t="n"/>
      <c r="F15" s="27" t="n"/>
      <c r="G15" s="27" t="n"/>
      <c r="I15" s="28" t="inlineStr">
        <is>
          <t>Excel Functions Used</t>
        </is>
      </c>
    </row>
    <row r="16" ht="255.5" customHeight="1">
      <c r="A16" s="32" t="inlineStr">
        <is>
          <t>Time value of money and its role in debt repayment
Fixed-payment loan structures and repayment mechanics
Interest computation on outstanding loan balances
Principal repayment dynamics across loan tenure
Outstanding balance tracking and reconciliation
Impact of loan tenor, interest rate, and frequency on cash flows
Interpretation of amortization schedules for financial decision-making</t>
        </is>
      </c>
      <c r="I16" s="30" t="inlineStr">
        <is>
          <t>PMT – Computes periodic loan payment based on rate, tenure, and principal
IPMT – Separates interest component of each payment
PPMT – Identifies principal repayment in each period
CUMIPMT / CUMPRINC – Aggregates interest and principal over selected periods
SUM – Ensures payment and balance consistency checks
IF – Handles logical conditions and boundary cases
ABS – Maintains sign convention discipline
HYPERLINK – Supports structured navigation within the workbook</t>
        </is>
      </c>
    </row>
    <row r="17">
      <c r="A17" s="23" t="n"/>
    </row>
    <row r="18">
      <c r="A18" s="23" t="n"/>
      <c r="E18" s="33"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9" t="n"/>
    </row>
    <row r="19">
      <c r="A19" s="23" t="n"/>
    </row>
    <row r="20">
      <c r="A20" s="23" t="n"/>
      <c r="I20" s="29" t="n"/>
    </row>
    <row r="21">
      <c r="A21" s="23" t="n"/>
    </row>
    <row r="22">
      <c r="A22" s="23" t="n"/>
      <c r="I22" s="29" t="n"/>
    </row>
    <row r="23">
      <c r="A23" s="23" t="n"/>
    </row>
    <row r="24">
      <c r="A24" s="23" t="n"/>
      <c r="I24" s="29" t="n"/>
    </row>
    <row r="25">
      <c r="A25" s="23" t="n"/>
    </row>
    <row r="26">
      <c r="A26" s="23" t="n"/>
      <c r="I26" s="29" t="n"/>
    </row>
    <row r="27">
      <c r="A27" s="23" t="n"/>
    </row>
    <row r="28">
      <c r="A28" s="23" t="n"/>
      <c r="I28" s="29" t="n"/>
    </row>
    <row r="29">
      <c r="A29" s="23" t="n"/>
    </row>
    <row r="30">
      <c r="A30" s="23" t="n"/>
      <c r="I30" s="29" t="n"/>
    </row>
    <row r="31">
      <c r="A31" s="23" t="n"/>
      <c r="I31" s="23" t="n"/>
    </row>
    <row r="32">
      <c r="A32" s="23" t="n"/>
      <c r="I32" s="24" t="n"/>
    </row>
    <row r="33">
      <c r="A33" s="23"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B15" sqref="B15"/>
    </sheetView>
  </sheetViews>
  <sheetFormatPr baseColWidth="8" defaultRowHeight="14.5"/>
  <cols>
    <col width="6" customWidth="1" min="1" max="1"/>
    <col width="60" customWidth="1" min="2" max="2"/>
    <col width="24" customWidth="1" min="3" max="3"/>
  </cols>
  <sheetData>
    <row r="1" ht="18.5" customHeight="1">
      <c r="A1" s="1" t="inlineStr">
        <is>
          <t>Loan Amortization Practice – Index</t>
        </is>
      </c>
    </row>
    <row r="2"/>
    <row r="3">
      <c r="A3" s="2" t="inlineStr">
        <is>
          <t>#</t>
        </is>
      </c>
      <c r="B3" s="2" t="inlineStr">
        <is>
          <t>Problem Title</t>
        </is>
      </c>
      <c r="C3" s="2" t="inlineStr">
        <is>
          <t>Link</t>
        </is>
      </c>
    </row>
    <row r="4" ht="15.5" customHeight="1">
      <c r="A4" s="3" t="n">
        <v>1</v>
      </c>
      <c r="B4" s="4" t="inlineStr">
        <is>
          <t>Problem A – Home Loan (Monthly)</t>
        </is>
      </c>
      <c r="C4" s="20" t="inlineStr">
        <is>
          <t>Go to Sheet</t>
        </is>
      </c>
    </row>
    <row r="5" ht="15.5" customHeight="1">
      <c r="A5" s="3" t="n">
        <v>2</v>
      </c>
      <c r="B5" s="4" t="inlineStr">
        <is>
          <t>Problem B – MSME Machinery (Quarterly)</t>
        </is>
      </c>
      <c r="C5" s="20" t="inlineStr">
        <is>
          <t>Go to Sheet</t>
        </is>
      </c>
    </row>
    <row r="6" ht="15.5" customHeight="1">
      <c r="A6" s="5" t="n">
        <v>3</v>
      </c>
      <c r="B6" s="4" t="inlineStr">
        <is>
          <t>Problem C – Personal Loan (Fortnightly)</t>
        </is>
      </c>
      <c r="C6" s="20" t="inlineStr">
        <is>
          <t>Go to Sheet</t>
        </is>
      </c>
    </row>
    <row r="7" ht="15.5" customHeight="1">
      <c r="A7" s="5" t="n">
        <v>4</v>
      </c>
      <c r="B7" s="4" t="inlineStr">
        <is>
          <t>Problem D – Two-Wheeler (Weekly</t>
        </is>
      </c>
      <c r="C7" s="20" t="inlineStr">
        <is>
          <t>Go to Sheet</t>
        </is>
      </c>
    </row>
    <row r="8" ht="15.5" customHeight="1">
      <c r="A8" s="3" t="n">
        <v>5</v>
      </c>
      <c r="B8" s="4" t="inlineStr">
        <is>
          <t>Problem E – Equipment (Semiannual)</t>
        </is>
      </c>
      <c r="C8" s="20" t="inlineStr">
        <is>
          <t>Go to Sheet</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C4" location="'Problem A – Home Loan (Monthly)'!A1" display="Go to Sheet"/>
    <hyperlink ref="C5" location="'Problem B – MSME Machinery (Qua'!A1" display="Go to Sheet"/>
    <hyperlink ref="C6" location="'Problem C – Personal Loan (Fort'!A1" display="Go to Sheet"/>
    <hyperlink ref="C7" location="'Problem D – Two-Wheeler (Weekly'!A1" display="Go to Sheet"/>
    <hyperlink ref="C8" location="'Problem E – Equipment (Semiannu'!A1" display="Go to Sheet"/>
  </hyperlinks>
  <pageMargins left="0.75" right="0.75" top="1" bottom="1" header="0.5" footer="0.5"/>
</worksheet>
</file>

<file path=xl/worksheets/sheet3.xml><?xml version="1.0" encoding="utf-8"?>
<worksheet xmlns="http://schemas.openxmlformats.org/spreadsheetml/2006/main">
  <sheetPr>
    <tabColor rgb="FF3B83F6"/>
    <outlinePr summaryBelow="1" summaryRight="1"/>
    <pageSetUpPr/>
  </sheetPr>
  <dimension ref="A1:F252"/>
  <sheetViews>
    <sheetView workbookViewId="0">
      <pane ySplit="11" topLeftCell="A12" activePane="bottomLeft" state="frozen"/>
      <selection pane="bottomLeft" activeCell="F6" sqref="F6"/>
    </sheetView>
  </sheetViews>
  <sheetFormatPr baseColWidth="8" defaultRowHeight="14.5"/>
  <cols>
    <col width="10" customWidth="1" min="1" max="1"/>
    <col width="22" customWidth="1" min="2" max="2"/>
    <col width="18" customWidth="1" min="3" max="3"/>
    <col width="26.6328125" bestFit="1" customWidth="1" min="4" max="4"/>
    <col width="16" customWidth="1" min="5" max="5"/>
    <col width="20" customWidth="1" min="6" max="6"/>
  </cols>
  <sheetData>
    <row r="1" ht="18.5" customHeight="1">
      <c r="A1" s="1" t="inlineStr">
        <is>
          <t>Problem A – Home Loan (Monthly)</t>
        </is>
      </c>
    </row>
    <row r="2"/>
    <row r="3">
      <c r="A3" s="8" t="inlineStr">
        <is>
          <t>Inputs</t>
        </is>
      </c>
      <c r="B3" s="8" t="n"/>
      <c r="D3" s="8" t="inlineStr">
        <is>
          <t>Key Outputs / Derived</t>
        </is>
      </c>
      <c r="E3" s="8" t="n"/>
    </row>
    <row r="4">
      <c r="A4" s="6" t="inlineStr">
        <is>
          <t>Principal (₹)</t>
        </is>
      </c>
      <c r="B4" s="9" t="n">
        <v>2500000</v>
      </c>
      <c r="D4" s="7" t="inlineStr">
        <is>
          <t>Periodic Rate</t>
        </is>
      </c>
      <c r="E4" s="10">
        <f>B5/B7</f>
        <v/>
      </c>
    </row>
    <row r="5">
      <c r="A5" s="6" t="inlineStr">
        <is>
          <t>Annual Interest Rate (p.a.)</t>
        </is>
      </c>
      <c r="B5" s="11" t="n">
        <v>0.0825</v>
      </c>
      <c r="D5" s="7" t="inlineStr">
        <is>
          <t>Total Periods (nper)</t>
        </is>
      </c>
      <c r="E5" s="12">
        <f>B6*B7</f>
        <v/>
      </c>
    </row>
    <row r="6">
      <c r="A6" s="6" t="inlineStr">
        <is>
          <t>Term (years)</t>
        </is>
      </c>
      <c r="B6" s="13" t="n">
        <v>20</v>
      </c>
      <c r="D6" s="7" t="inlineStr">
        <is>
          <t>Installment (per period)</t>
        </is>
      </c>
      <c r="E6" s="14">
        <f>-PMT(E4,E5,B4)</f>
        <v/>
      </c>
    </row>
    <row r="7">
      <c r="A7" s="6" t="inlineStr">
        <is>
          <t>Payments per Year</t>
        </is>
      </c>
      <c r="B7" s="13" t="n">
        <v>12</v>
      </c>
      <c r="D7" s="7" t="inlineStr">
        <is>
          <t>Total Interest</t>
        </is>
      </c>
      <c r="E7" s="14">
        <f>D252</f>
        <v/>
      </c>
    </row>
    <row r="8">
      <c r="D8" s="7" t="inlineStr">
        <is>
          <t>Total Cost (Principal + Interest)</t>
        </is>
      </c>
      <c r="E8" s="14">
        <f>B4+E7</f>
        <v/>
      </c>
    </row>
    <row r="9"/>
    <row r="10"/>
    <row r="11">
      <c r="A11" s="2" t="inlineStr">
        <is>
          <t>Period</t>
        </is>
      </c>
      <c r="B11" s="2" t="inlineStr">
        <is>
          <t>Opening Balance (₹)</t>
        </is>
      </c>
      <c r="C11" s="2" t="inlineStr">
        <is>
          <t>Installment (₹)</t>
        </is>
      </c>
      <c r="D11" s="2" t="inlineStr">
        <is>
          <t>Interest (₹)</t>
        </is>
      </c>
      <c r="E11" s="2" t="inlineStr">
        <is>
          <t>Principal (₹)</t>
        </is>
      </c>
      <c r="F11" s="2" t="inlineStr">
        <is>
          <t>Closing Balance (₹)</t>
        </is>
      </c>
    </row>
    <row r="12">
      <c r="A12" s="15" t="n">
        <v>1</v>
      </c>
      <c r="B12" s="16">
        <f>B4</f>
        <v/>
      </c>
      <c r="C12" s="16">
        <f>E6</f>
        <v/>
      </c>
      <c r="D12" s="16">
        <f>-IPMT(E4,1,E5,B4)</f>
        <v/>
      </c>
      <c r="E12" s="16">
        <f>-PPMT(E4,1,E5,B4)</f>
        <v/>
      </c>
      <c r="F12" s="16">
        <f>B12-E12</f>
        <v/>
      </c>
    </row>
    <row r="13">
      <c r="A13" s="15" t="n">
        <v>2</v>
      </c>
      <c r="B13" s="16">
        <f>F12</f>
        <v/>
      </c>
      <c r="C13" s="16">
        <f>E6</f>
        <v/>
      </c>
      <c r="D13" s="16">
        <f>-IPMT(E4,2,E5,B4)</f>
        <v/>
      </c>
      <c r="E13" s="16">
        <f>-PPMT(E4,2,E5,B4)</f>
        <v/>
      </c>
      <c r="F13" s="16">
        <f>B13-E13</f>
        <v/>
      </c>
    </row>
    <row r="14">
      <c r="A14" s="15" t="n">
        <v>3</v>
      </c>
      <c r="B14" s="16">
        <f>F13</f>
        <v/>
      </c>
      <c r="C14" s="16">
        <f>E6</f>
        <v/>
      </c>
      <c r="D14" s="16">
        <f>-IPMT(E4,3,E5,B4)</f>
        <v/>
      </c>
      <c r="E14" s="16">
        <f>-PPMT(E4,3,E5,B4)</f>
        <v/>
      </c>
      <c r="F14" s="16">
        <f>B14-E14</f>
        <v/>
      </c>
    </row>
    <row r="15">
      <c r="A15" s="15" t="n">
        <v>4</v>
      </c>
      <c r="B15" s="16">
        <f>F14</f>
        <v/>
      </c>
      <c r="C15" s="16">
        <f>E6</f>
        <v/>
      </c>
      <c r="D15" s="16">
        <f>-IPMT(E4,4,E5,B4)</f>
        <v/>
      </c>
      <c r="E15" s="16">
        <f>-PPMT(E4,4,E5,B4)</f>
        <v/>
      </c>
      <c r="F15" s="16">
        <f>B15-E15</f>
        <v/>
      </c>
    </row>
    <row r="16">
      <c r="A16" s="15" t="n">
        <v>5</v>
      </c>
      <c r="B16" s="16">
        <f>F15</f>
        <v/>
      </c>
      <c r="C16" s="16">
        <f>E6</f>
        <v/>
      </c>
      <c r="D16" s="16">
        <f>-IPMT(E4,5,E5,B4)</f>
        <v/>
      </c>
      <c r="E16" s="16">
        <f>-PPMT(E4,5,E5,B4)</f>
        <v/>
      </c>
      <c r="F16" s="16">
        <f>B16-E16</f>
        <v/>
      </c>
    </row>
    <row r="17">
      <c r="A17" s="15" t="n">
        <v>6</v>
      </c>
      <c r="B17" s="16">
        <f>F16</f>
        <v/>
      </c>
      <c r="C17" s="16">
        <f>E6</f>
        <v/>
      </c>
      <c r="D17" s="16">
        <f>-IPMT(E4,6,E5,B4)</f>
        <v/>
      </c>
      <c r="E17" s="16">
        <f>-PPMT(E4,6,E5,B4)</f>
        <v/>
      </c>
      <c r="F17" s="16">
        <f>B17-E17</f>
        <v/>
      </c>
    </row>
    <row r="18">
      <c r="A18" s="15" t="n">
        <v>7</v>
      </c>
      <c r="B18" s="16">
        <f>F17</f>
        <v/>
      </c>
      <c r="C18" s="16">
        <f>E6</f>
        <v/>
      </c>
      <c r="D18" s="16">
        <f>-IPMT(E4,7,E5,B4)</f>
        <v/>
      </c>
      <c r="E18" s="16">
        <f>-PPMT(E4,7,E5,B4)</f>
        <v/>
      </c>
      <c r="F18" s="16">
        <f>B18-E18</f>
        <v/>
      </c>
    </row>
    <row r="19">
      <c r="A19" s="15" t="n">
        <v>8</v>
      </c>
      <c r="B19" s="16">
        <f>F18</f>
        <v/>
      </c>
      <c r="C19" s="16">
        <f>E6</f>
        <v/>
      </c>
      <c r="D19" s="16">
        <f>-IPMT(E4,8,E5,B4)</f>
        <v/>
      </c>
      <c r="E19" s="16">
        <f>-PPMT(E4,8,E5,B4)</f>
        <v/>
      </c>
      <c r="F19" s="16">
        <f>B19-E19</f>
        <v/>
      </c>
    </row>
    <row r="20">
      <c r="A20" s="15" t="n">
        <v>9</v>
      </c>
      <c r="B20" s="16">
        <f>F19</f>
        <v/>
      </c>
      <c r="C20" s="16">
        <f>E6</f>
        <v/>
      </c>
      <c r="D20" s="16">
        <f>-IPMT(E4,9,E5,B4)</f>
        <v/>
      </c>
      <c r="E20" s="16">
        <f>-PPMT(E4,9,E5,B4)</f>
        <v/>
      </c>
      <c r="F20" s="16">
        <f>B20-E20</f>
        <v/>
      </c>
    </row>
    <row r="21">
      <c r="A21" s="15" t="n">
        <v>10</v>
      </c>
      <c r="B21" s="16">
        <f>F20</f>
        <v/>
      </c>
      <c r="C21" s="16">
        <f>E6</f>
        <v/>
      </c>
      <c r="D21" s="16">
        <f>-IPMT(E4,10,E5,B4)</f>
        <v/>
      </c>
      <c r="E21" s="16">
        <f>-PPMT(E4,10,E5,B4)</f>
        <v/>
      </c>
      <c r="F21" s="16">
        <f>B21-E21</f>
        <v/>
      </c>
    </row>
    <row r="22">
      <c r="A22" s="15" t="n">
        <v>11</v>
      </c>
      <c r="B22" s="16">
        <f>F21</f>
        <v/>
      </c>
      <c r="C22" s="16">
        <f>E6</f>
        <v/>
      </c>
      <c r="D22" s="16">
        <f>-IPMT(E4,11,E5,B4)</f>
        <v/>
      </c>
      <c r="E22" s="16">
        <f>-PPMT(E4,11,E5,B4)</f>
        <v/>
      </c>
      <c r="F22" s="16">
        <f>B22-E22</f>
        <v/>
      </c>
    </row>
    <row r="23">
      <c r="A23" s="15" t="n">
        <v>12</v>
      </c>
      <c r="B23" s="16">
        <f>F22</f>
        <v/>
      </c>
      <c r="C23" s="16">
        <f>E6</f>
        <v/>
      </c>
      <c r="D23" s="16">
        <f>-IPMT(E4,12,E5,B4)</f>
        <v/>
      </c>
      <c r="E23" s="16">
        <f>-PPMT(E4,12,E5,B4)</f>
        <v/>
      </c>
      <c r="F23" s="16">
        <f>B23-E23</f>
        <v/>
      </c>
    </row>
    <row r="24">
      <c r="A24" s="15" t="n">
        <v>13</v>
      </c>
      <c r="B24" s="16">
        <f>F23</f>
        <v/>
      </c>
      <c r="C24" s="16">
        <f>E6</f>
        <v/>
      </c>
      <c r="D24" s="16">
        <f>-IPMT(E4,13,E5,B4)</f>
        <v/>
      </c>
      <c r="E24" s="16">
        <f>-PPMT(E4,13,E5,B4)</f>
        <v/>
      </c>
      <c r="F24" s="16">
        <f>B24-E24</f>
        <v/>
      </c>
    </row>
    <row r="25">
      <c r="A25" s="15" t="n">
        <v>14</v>
      </c>
      <c r="B25" s="16">
        <f>F24</f>
        <v/>
      </c>
      <c r="C25" s="16">
        <f>E6</f>
        <v/>
      </c>
      <c r="D25" s="16">
        <f>-IPMT(E4,14,E5,B4)</f>
        <v/>
      </c>
      <c r="E25" s="16">
        <f>-PPMT(E4,14,E5,B4)</f>
        <v/>
      </c>
      <c r="F25" s="16">
        <f>B25-E25</f>
        <v/>
      </c>
    </row>
    <row r="26">
      <c r="A26" s="15" t="n">
        <v>15</v>
      </c>
      <c r="B26" s="16">
        <f>F25</f>
        <v/>
      </c>
      <c r="C26" s="16">
        <f>E6</f>
        <v/>
      </c>
      <c r="D26" s="16">
        <f>-IPMT(E4,15,E5,B4)</f>
        <v/>
      </c>
      <c r="E26" s="16">
        <f>-PPMT(E4,15,E5,B4)</f>
        <v/>
      </c>
      <c r="F26" s="16">
        <f>B26-E26</f>
        <v/>
      </c>
    </row>
    <row r="27">
      <c r="A27" s="15" t="n">
        <v>16</v>
      </c>
      <c r="B27" s="16">
        <f>F26</f>
        <v/>
      </c>
      <c r="C27" s="16">
        <f>E6</f>
        <v/>
      </c>
      <c r="D27" s="16">
        <f>-IPMT(E4,16,E5,B4)</f>
        <v/>
      </c>
      <c r="E27" s="16">
        <f>-PPMT(E4,16,E5,B4)</f>
        <v/>
      </c>
      <c r="F27" s="16">
        <f>B27-E27</f>
        <v/>
      </c>
    </row>
    <row r="28">
      <c r="A28" s="15" t="n">
        <v>17</v>
      </c>
      <c r="B28" s="16">
        <f>F27</f>
        <v/>
      </c>
      <c r="C28" s="16">
        <f>E6</f>
        <v/>
      </c>
      <c r="D28" s="16">
        <f>-IPMT(E4,17,E5,B4)</f>
        <v/>
      </c>
      <c r="E28" s="16">
        <f>-PPMT(E4,17,E5,B4)</f>
        <v/>
      </c>
      <c r="F28" s="16">
        <f>B28-E28</f>
        <v/>
      </c>
    </row>
    <row r="29">
      <c r="A29" s="15" t="n">
        <v>18</v>
      </c>
      <c r="B29" s="16">
        <f>F28</f>
        <v/>
      </c>
      <c r="C29" s="16">
        <f>E6</f>
        <v/>
      </c>
      <c r="D29" s="16">
        <f>-IPMT(E4,18,E5,B4)</f>
        <v/>
      </c>
      <c r="E29" s="16">
        <f>-PPMT(E4,18,E5,B4)</f>
        <v/>
      </c>
      <c r="F29" s="16">
        <f>B29-E29</f>
        <v/>
      </c>
    </row>
    <row r="30">
      <c r="A30" s="15" t="n">
        <v>19</v>
      </c>
      <c r="B30" s="16">
        <f>F29</f>
        <v/>
      </c>
      <c r="C30" s="16">
        <f>E6</f>
        <v/>
      </c>
      <c r="D30" s="16">
        <f>-IPMT(E4,19,E5,B4)</f>
        <v/>
      </c>
      <c r="E30" s="16">
        <f>-PPMT(E4,19,E5,B4)</f>
        <v/>
      </c>
      <c r="F30" s="16">
        <f>B30-E30</f>
        <v/>
      </c>
    </row>
    <row r="31">
      <c r="A31" s="15" t="n">
        <v>20</v>
      </c>
      <c r="B31" s="16">
        <f>F30</f>
        <v/>
      </c>
      <c r="C31" s="16">
        <f>E6</f>
        <v/>
      </c>
      <c r="D31" s="16">
        <f>-IPMT(E4,20,E5,B4)</f>
        <v/>
      </c>
      <c r="E31" s="16">
        <f>-PPMT(E4,20,E5,B4)</f>
        <v/>
      </c>
      <c r="F31" s="16">
        <f>B31-E31</f>
        <v/>
      </c>
    </row>
    <row r="32">
      <c r="A32" s="15" t="n">
        <v>21</v>
      </c>
      <c r="B32" s="16">
        <f>F31</f>
        <v/>
      </c>
      <c r="C32" s="16">
        <f>E6</f>
        <v/>
      </c>
      <c r="D32" s="16">
        <f>-IPMT(E4,21,E5,B4)</f>
        <v/>
      </c>
      <c r="E32" s="16">
        <f>-PPMT(E4,21,E5,B4)</f>
        <v/>
      </c>
      <c r="F32" s="16">
        <f>B32-E32</f>
        <v/>
      </c>
    </row>
    <row r="33">
      <c r="A33" s="15" t="n">
        <v>22</v>
      </c>
      <c r="B33" s="16">
        <f>F32</f>
        <v/>
      </c>
      <c r="C33" s="16">
        <f>E6</f>
        <v/>
      </c>
      <c r="D33" s="16">
        <f>-IPMT(E4,22,E5,B4)</f>
        <v/>
      </c>
      <c r="E33" s="16">
        <f>-PPMT(E4,22,E5,B4)</f>
        <v/>
      </c>
      <c r="F33" s="16">
        <f>B33-E33</f>
        <v/>
      </c>
    </row>
    <row r="34">
      <c r="A34" s="15" t="n">
        <v>23</v>
      </c>
      <c r="B34" s="16">
        <f>F33</f>
        <v/>
      </c>
      <c r="C34" s="16">
        <f>E6</f>
        <v/>
      </c>
      <c r="D34" s="16">
        <f>-IPMT(E4,23,E5,B4)</f>
        <v/>
      </c>
      <c r="E34" s="16">
        <f>-PPMT(E4,23,E5,B4)</f>
        <v/>
      </c>
      <c r="F34" s="16">
        <f>B34-E34</f>
        <v/>
      </c>
    </row>
    <row r="35">
      <c r="A35" s="15" t="n">
        <v>24</v>
      </c>
      <c r="B35" s="16">
        <f>F34</f>
        <v/>
      </c>
      <c r="C35" s="16">
        <f>E6</f>
        <v/>
      </c>
      <c r="D35" s="16">
        <f>-IPMT(E4,24,E5,B4)</f>
        <v/>
      </c>
      <c r="E35" s="16">
        <f>-PPMT(E4,24,E5,B4)</f>
        <v/>
      </c>
      <c r="F35" s="16">
        <f>B35-E35</f>
        <v/>
      </c>
    </row>
    <row r="36">
      <c r="A36" s="15" t="n">
        <v>25</v>
      </c>
      <c r="B36" s="16">
        <f>F35</f>
        <v/>
      </c>
      <c r="C36" s="16">
        <f>E6</f>
        <v/>
      </c>
      <c r="D36" s="16">
        <f>-IPMT(E4,25,E5,B4)</f>
        <v/>
      </c>
      <c r="E36" s="16">
        <f>-PPMT(E4,25,E5,B4)</f>
        <v/>
      </c>
      <c r="F36" s="16">
        <f>B36-E36</f>
        <v/>
      </c>
    </row>
    <row r="37">
      <c r="A37" s="15" t="n">
        <v>26</v>
      </c>
      <c r="B37" s="16">
        <f>F36</f>
        <v/>
      </c>
      <c r="C37" s="16">
        <f>E6</f>
        <v/>
      </c>
      <c r="D37" s="16">
        <f>-IPMT(E4,26,E5,B4)</f>
        <v/>
      </c>
      <c r="E37" s="16">
        <f>-PPMT(E4,26,E5,B4)</f>
        <v/>
      </c>
      <c r="F37" s="16">
        <f>B37-E37</f>
        <v/>
      </c>
    </row>
    <row r="38">
      <c r="A38" s="15" t="n">
        <v>27</v>
      </c>
      <c r="B38" s="16">
        <f>F37</f>
        <v/>
      </c>
      <c r="C38" s="16">
        <f>E6</f>
        <v/>
      </c>
      <c r="D38" s="16">
        <f>-IPMT(E4,27,E5,B4)</f>
        <v/>
      </c>
      <c r="E38" s="16">
        <f>-PPMT(E4,27,E5,B4)</f>
        <v/>
      </c>
      <c r="F38" s="16">
        <f>B38-E38</f>
        <v/>
      </c>
    </row>
    <row r="39">
      <c r="A39" s="15" t="n">
        <v>28</v>
      </c>
      <c r="B39" s="16">
        <f>F38</f>
        <v/>
      </c>
      <c r="C39" s="16">
        <f>E6</f>
        <v/>
      </c>
      <c r="D39" s="16">
        <f>-IPMT(E4,28,E5,B4)</f>
        <v/>
      </c>
      <c r="E39" s="16">
        <f>-PPMT(E4,28,E5,B4)</f>
        <v/>
      </c>
      <c r="F39" s="16">
        <f>B39-E39</f>
        <v/>
      </c>
    </row>
    <row r="40">
      <c r="A40" s="15" t="n">
        <v>29</v>
      </c>
      <c r="B40" s="16">
        <f>F39</f>
        <v/>
      </c>
      <c r="C40" s="16">
        <f>E6</f>
        <v/>
      </c>
      <c r="D40" s="16">
        <f>-IPMT(E4,29,E5,B4)</f>
        <v/>
      </c>
      <c r="E40" s="16">
        <f>-PPMT(E4,29,E5,B4)</f>
        <v/>
      </c>
      <c r="F40" s="16">
        <f>B40-E40</f>
        <v/>
      </c>
    </row>
    <row r="41">
      <c r="A41" s="15" t="n">
        <v>30</v>
      </c>
      <c r="B41" s="16">
        <f>F40</f>
        <v/>
      </c>
      <c r="C41" s="16">
        <f>E6</f>
        <v/>
      </c>
      <c r="D41" s="16">
        <f>-IPMT(E4,30,E5,B4)</f>
        <v/>
      </c>
      <c r="E41" s="16">
        <f>-PPMT(E4,30,E5,B4)</f>
        <v/>
      </c>
      <c r="F41" s="16">
        <f>B41-E41</f>
        <v/>
      </c>
    </row>
    <row r="42">
      <c r="A42" s="15" t="n">
        <v>31</v>
      </c>
      <c r="B42" s="16">
        <f>F41</f>
        <v/>
      </c>
      <c r="C42" s="16">
        <f>E6</f>
        <v/>
      </c>
      <c r="D42" s="16">
        <f>-IPMT(E4,31,E5,B4)</f>
        <v/>
      </c>
      <c r="E42" s="16">
        <f>-PPMT(E4,31,E5,B4)</f>
        <v/>
      </c>
      <c r="F42" s="16">
        <f>B42-E42</f>
        <v/>
      </c>
    </row>
    <row r="43">
      <c r="A43" s="15" t="n">
        <v>32</v>
      </c>
      <c r="B43" s="16">
        <f>F42</f>
        <v/>
      </c>
      <c r="C43" s="16">
        <f>E6</f>
        <v/>
      </c>
      <c r="D43" s="16">
        <f>-IPMT(E4,32,E5,B4)</f>
        <v/>
      </c>
      <c r="E43" s="16">
        <f>-PPMT(E4,32,E5,B4)</f>
        <v/>
      </c>
      <c r="F43" s="16">
        <f>B43-E43</f>
        <v/>
      </c>
    </row>
    <row r="44">
      <c r="A44" s="15" t="n">
        <v>33</v>
      </c>
      <c r="B44" s="16">
        <f>F43</f>
        <v/>
      </c>
      <c r="C44" s="16">
        <f>E6</f>
        <v/>
      </c>
      <c r="D44" s="16">
        <f>-IPMT(E4,33,E5,B4)</f>
        <v/>
      </c>
      <c r="E44" s="16">
        <f>-PPMT(E4,33,E5,B4)</f>
        <v/>
      </c>
      <c r="F44" s="16">
        <f>B44-E44</f>
        <v/>
      </c>
    </row>
    <row r="45">
      <c r="A45" s="15" t="n">
        <v>34</v>
      </c>
      <c r="B45" s="16">
        <f>F44</f>
        <v/>
      </c>
      <c r="C45" s="16">
        <f>E6</f>
        <v/>
      </c>
      <c r="D45" s="16">
        <f>-IPMT(E4,34,E5,B4)</f>
        <v/>
      </c>
      <c r="E45" s="16">
        <f>-PPMT(E4,34,E5,B4)</f>
        <v/>
      </c>
      <c r="F45" s="16">
        <f>B45-E45</f>
        <v/>
      </c>
    </row>
    <row r="46">
      <c r="A46" s="15" t="n">
        <v>35</v>
      </c>
      <c r="B46" s="16">
        <f>F45</f>
        <v/>
      </c>
      <c r="C46" s="16">
        <f>E6</f>
        <v/>
      </c>
      <c r="D46" s="16">
        <f>-IPMT(E4,35,E5,B4)</f>
        <v/>
      </c>
      <c r="E46" s="16">
        <f>-PPMT(E4,35,E5,B4)</f>
        <v/>
      </c>
      <c r="F46" s="16">
        <f>B46-E46</f>
        <v/>
      </c>
    </row>
    <row r="47">
      <c r="A47" s="15" t="n">
        <v>36</v>
      </c>
      <c r="B47" s="16">
        <f>F46</f>
        <v/>
      </c>
      <c r="C47" s="16">
        <f>E6</f>
        <v/>
      </c>
      <c r="D47" s="16">
        <f>-IPMT(E4,36,E5,B4)</f>
        <v/>
      </c>
      <c r="E47" s="16">
        <f>-PPMT(E4,36,E5,B4)</f>
        <v/>
      </c>
      <c r="F47" s="16">
        <f>B47-E47</f>
        <v/>
      </c>
    </row>
    <row r="48">
      <c r="A48" s="15" t="n">
        <v>37</v>
      </c>
      <c r="B48" s="16">
        <f>F47</f>
        <v/>
      </c>
      <c r="C48" s="16">
        <f>E6</f>
        <v/>
      </c>
      <c r="D48" s="16">
        <f>-IPMT(E4,37,E5,B4)</f>
        <v/>
      </c>
      <c r="E48" s="16">
        <f>-PPMT(E4,37,E5,B4)</f>
        <v/>
      </c>
      <c r="F48" s="16">
        <f>B48-E48</f>
        <v/>
      </c>
    </row>
    <row r="49">
      <c r="A49" s="15" t="n">
        <v>38</v>
      </c>
      <c r="B49" s="16">
        <f>F48</f>
        <v/>
      </c>
      <c r="C49" s="16">
        <f>E6</f>
        <v/>
      </c>
      <c r="D49" s="16">
        <f>-IPMT(E4,38,E5,B4)</f>
        <v/>
      </c>
      <c r="E49" s="16">
        <f>-PPMT(E4,38,E5,B4)</f>
        <v/>
      </c>
      <c r="F49" s="16">
        <f>B49-E49</f>
        <v/>
      </c>
    </row>
    <row r="50">
      <c r="A50" s="15" t="n">
        <v>39</v>
      </c>
      <c r="B50" s="16">
        <f>F49</f>
        <v/>
      </c>
      <c r="C50" s="16">
        <f>E6</f>
        <v/>
      </c>
      <c r="D50" s="16">
        <f>-IPMT(E4,39,E5,B4)</f>
        <v/>
      </c>
      <c r="E50" s="16">
        <f>-PPMT(E4,39,E5,B4)</f>
        <v/>
      </c>
      <c r="F50" s="16">
        <f>B50-E50</f>
        <v/>
      </c>
    </row>
    <row r="51">
      <c r="A51" s="15" t="n">
        <v>40</v>
      </c>
      <c r="B51" s="16">
        <f>F50</f>
        <v/>
      </c>
      <c r="C51" s="16">
        <f>E6</f>
        <v/>
      </c>
      <c r="D51" s="16">
        <f>-IPMT(E4,40,E5,B4)</f>
        <v/>
      </c>
      <c r="E51" s="16">
        <f>-PPMT(E4,40,E5,B4)</f>
        <v/>
      </c>
      <c r="F51" s="16">
        <f>B51-E51</f>
        <v/>
      </c>
    </row>
    <row r="52">
      <c r="A52" s="15" t="n">
        <v>41</v>
      </c>
      <c r="B52" s="16">
        <f>F51</f>
        <v/>
      </c>
      <c r="C52" s="16">
        <f>E6</f>
        <v/>
      </c>
      <c r="D52" s="16">
        <f>-IPMT(E4,41,E5,B4)</f>
        <v/>
      </c>
      <c r="E52" s="16">
        <f>-PPMT(E4,41,E5,B4)</f>
        <v/>
      </c>
      <c r="F52" s="16">
        <f>B52-E52</f>
        <v/>
      </c>
    </row>
    <row r="53">
      <c r="A53" s="15" t="n">
        <v>42</v>
      </c>
      <c r="B53" s="16">
        <f>F52</f>
        <v/>
      </c>
      <c r="C53" s="16">
        <f>E6</f>
        <v/>
      </c>
      <c r="D53" s="16">
        <f>-IPMT(E4,42,E5,B4)</f>
        <v/>
      </c>
      <c r="E53" s="16">
        <f>-PPMT(E4,42,E5,B4)</f>
        <v/>
      </c>
      <c r="F53" s="16">
        <f>B53-E53</f>
        <v/>
      </c>
    </row>
    <row r="54">
      <c r="A54" s="15" t="n">
        <v>43</v>
      </c>
      <c r="B54" s="16">
        <f>F53</f>
        <v/>
      </c>
      <c r="C54" s="16">
        <f>E6</f>
        <v/>
      </c>
      <c r="D54" s="16">
        <f>-IPMT(E4,43,E5,B4)</f>
        <v/>
      </c>
      <c r="E54" s="16">
        <f>-PPMT(E4,43,E5,B4)</f>
        <v/>
      </c>
      <c r="F54" s="16">
        <f>B54-E54</f>
        <v/>
      </c>
    </row>
    <row r="55">
      <c r="A55" s="15" t="n">
        <v>44</v>
      </c>
      <c r="B55" s="16">
        <f>F54</f>
        <v/>
      </c>
      <c r="C55" s="16">
        <f>E6</f>
        <v/>
      </c>
      <c r="D55" s="16">
        <f>-IPMT(E4,44,E5,B4)</f>
        <v/>
      </c>
      <c r="E55" s="16">
        <f>-PPMT(E4,44,E5,B4)</f>
        <v/>
      </c>
      <c r="F55" s="16">
        <f>B55-E55</f>
        <v/>
      </c>
    </row>
    <row r="56">
      <c r="A56" s="15" t="n">
        <v>45</v>
      </c>
      <c r="B56" s="16">
        <f>F55</f>
        <v/>
      </c>
      <c r="C56" s="16">
        <f>E6</f>
        <v/>
      </c>
      <c r="D56" s="16">
        <f>-IPMT(E4,45,E5,B4)</f>
        <v/>
      </c>
      <c r="E56" s="16">
        <f>-PPMT(E4,45,E5,B4)</f>
        <v/>
      </c>
      <c r="F56" s="16">
        <f>B56-E56</f>
        <v/>
      </c>
    </row>
    <row r="57">
      <c r="A57" s="15" t="n">
        <v>46</v>
      </c>
      <c r="B57" s="16">
        <f>F56</f>
        <v/>
      </c>
      <c r="C57" s="16">
        <f>E6</f>
        <v/>
      </c>
      <c r="D57" s="16">
        <f>-IPMT(E4,46,E5,B4)</f>
        <v/>
      </c>
      <c r="E57" s="16">
        <f>-PPMT(E4,46,E5,B4)</f>
        <v/>
      </c>
      <c r="F57" s="16">
        <f>B57-E57</f>
        <v/>
      </c>
    </row>
    <row r="58">
      <c r="A58" s="15" t="n">
        <v>47</v>
      </c>
      <c r="B58" s="16">
        <f>F57</f>
        <v/>
      </c>
      <c r="C58" s="16">
        <f>E6</f>
        <v/>
      </c>
      <c r="D58" s="16">
        <f>-IPMT(E4,47,E5,B4)</f>
        <v/>
      </c>
      <c r="E58" s="16">
        <f>-PPMT(E4,47,E5,B4)</f>
        <v/>
      </c>
      <c r="F58" s="16">
        <f>B58-E58</f>
        <v/>
      </c>
    </row>
    <row r="59">
      <c r="A59" s="15" t="n">
        <v>48</v>
      </c>
      <c r="B59" s="16">
        <f>F58</f>
        <v/>
      </c>
      <c r="C59" s="16">
        <f>E6</f>
        <v/>
      </c>
      <c r="D59" s="16">
        <f>-IPMT(E4,48,E5,B4)</f>
        <v/>
      </c>
      <c r="E59" s="16">
        <f>-PPMT(E4,48,E5,B4)</f>
        <v/>
      </c>
      <c r="F59" s="16">
        <f>B59-E59</f>
        <v/>
      </c>
    </row>
    <row r="60">
      <c r="A60" s="15" t="n">
        <v>49</v>
      </c>
      <c r="B60" s="16">
        <f>F59</f>
        <v/>
      </c>
      <c r="C60" s="16">
        <f>E6</f>
        <v/>
      </c>
      <c r="D60" s="16">
        <f>-IPMT(E4,49,E5,B4)</f>
        <v/>
      </c>
      <c r="E60" s="16">
        <f>-PPMT(E4,49,E5,B4)</f>
        <v/>
      </c>
      <c r="F60" s="16">
        <f>B60-E60</f>
        <v/>
      </c>
    </row>
    <row r="61">
      <c r="A61" s="15" t="n">
        <v>50</v>
      </c>
      <c r="B61" s="16">
        <f>F60</f>
        <v/>
      </c>
      <c r="C61" s="16">
        <f>E6</f>
        <v/>
      </c>
      <c r="D61" s="16">
        <f>-IPMT(E4,50,E5,B4)</f>
        <v/>
      </c>
      <c r="E61" s="16">
        <f>-PPMT(E4,50,E5,B4)</f>
        <v/>
      </c>
      <c r="F61" s="16">
        <f>B61-E61</f>
        <v/>
      </c>
    </row>
    <row r="62">
      <c r="A62" s="15" t="n">
        <v>51</v>
      </c>
      <c r="B62" s="16">
        <f>F61</f>
        <v/>
      </c>
      <c r="C62" s="16">
        <f>E6</f>
        <v/>
      </c>
      <c r="D62" s="16">
        <f>-IPMT(E4,51,E5,B4)</f>
        <v/>
      </c>
      <c r="E62" s="16">
        <f>-PPMT(E4,51,E5,B4)</f>
        <v/>
      </c>
      <c r="F62" s="16">
        <f>B62-E62</f>
        <v/>
      </c>
    </row>
    <row r="63">
      <c r="A63" s="15" t="n">
        <v>52</v>
      </c>
      <c r="B63" s="16">
        <f>F62</f>
        <v/>
      </c>
      <c r="C63" s="16">
        <f>E6</f>
        <v/>
      </c>
      <c r="D63" s="16">
        <f>-IPMT(E4,52,E5,B4)</f>
        <v/>
      </c>
      <c r="E63" s="16">
        <f>-PPMT(E4,52,E5,B4)</f>
        <v/>
      </c>
      <c r="F63" s="16">
        <f>B63-E63</f>
        <v/>
      </c>
    </row>
    <row r="64">
      <c r="A64" s="15" t="n">
        <v>53</v>
      </c>
      <c r="B64" s="16">
        <f>F63</f>
        <v/>
      </c>
      <c r="C64" s="16">
        <f>E6</f>
        <v/>
      </c>
      <c r="D64" s="16">
        <f>-IPMT(E4,53,E5,B4)</f>
        <v/>
      </c>
      <c r="E64" s="16">
        <f>-PPMT(E4,53,E5,B4)</f>
        <v/>
      </c>
      <c r="F64" s="16">
        <f>B64-E64</f>
        <v/>
      </c>
    </row>
    <row r="65">
      <c r="A65" s="15" t="n">
        <v>54</v>
      </c>
      <c r="B65" s="16">
        <f>F64</f>
        <v/>
      </c>
      <c r="C65" s="16">
        <f>E6</f>
        <v/>
      </c>
      <c r="D65" s="16">
        <f>-IPMT(E4,54,E5,B4)</f>
        <v/>
      </c>
      <c r="E65" s="16">
        <f>-PPMT(E4,54,E5,B4)</f>
        <v/>
      </c>
      <c r="F65" s="16">
        <f>B65-E65</f>
        <v/>
      </c>
    </row>
    <row r="66">
      <c r="A66" s="15" t="n">
        <v>55</v>
      </c>
      <c r="B66" s="16">
        <f>F65</f>
        <v/>
      </c>
      <c r="C66" s="16">
        <f>E6</f>
        <v/>
      </c>
      <c r="D66" s="16">
        <f>-IPMT(E4,55,E5,B4)</f>
        <v/>
      </c>
      <c r="E66" s="16">
        <f>-PPMT(E4,55,E5,B4)</f>
        <v/>
      </c>
      <c r="F66" s="16">
        <f>B66-E66</f>
        <v/>
      </c>
    </row>
    <row r="67">
      <c r="A67" s="15" t="n">
        <v>56</v>
      </c>
      <c r="B67" s="16">
        <f>F66</f>
        <v/>
      </c>
      <c r="C67" s="16">
        <f>E6</f>
        <v/>
      </c>
      <c r="D67" s="16">
        <f>-IPMT(E4,56,E5,B4)</f>
        <v/>
      </c>
      <c r="E67" s="16">
        <f>-PPMT(E4,56,E5,B4)</f>
        <v/>
      </c>
      <c r="F67" s="16">
        <f>B67-E67</f>
        <v/>
      </c>
    </row>
    <row r="68">
      <c r="A68" s="15" t="n">
        <v>57</v>
      </c>
      <c r="B68" s="16">
        <f>F67</f>
        <v/>
      </c>
      <c r="C68" s="16">
        <f>E6</f>
        <v/>
      </c>
      <c r="D68" s="16">
        <f>-IPMT(E4,57,E5,B4)</f>
        <v/>
      </c>
      <c r="E68" s="16">
        <f>-PPMT(E4,57,E5,B4)</f>
        <v/>
      </c>
      <c r="F68" s="16">
        <f>B68-E68</f>
        <v/>
      </c>
    </row>
    <row r="69">
      <c r="A69" s="15" t="n">
        <v>58</v>
      </c>
      <c r="B69" s="16">
        <f>F68</f>
        <v/>
      </c>
      <c r="C69" s="16">
        <f>E6</f>
        <v/>
      </c>
      <c r="D69" s="16">
        <f>-IPMT(E4,58,E5,B4)</f>
        <v/>
      </c>
      <c r="E69" s="16">
        <f>-PPMT(E4,58,E5,B4)</f>
        <v/>
      </c>
      <c r="F69" s="16">
        <f>B69-E69</f>
        <v/>
      </c>
    </row>
    <row r="70">
      <c r="A70" s="15" t="n">
        <v>59</v>
      </c>
      <c r="B70" s="16">
        <f>F69</f>
        <v/>
      </c>
      <c r="C70" s="16">
        <f>E6</f>
        <v/>
      </c>
      <c r="D70" s="16">
        <f>-IPMT(E4,59,E5,B4)</f>
        <v/>
      </c>
      <c r="E70" s="16">
        <f>-PPMT(E4,59,E5,B4)</f>
        <v/>
      </c>
      <c r="F70" s="16">
        <f>B70-E70</f>
        <v/>
      </c>
    </row>
    <row r="71">
      <c r="A71" s="15" t="n">
        <v>60</v>
      </c>
      <c r="B71" s="16">
        <f>F70</f>
        <v/>
      </c>
      <c r="C71" s="16">
        <f>E6</f>
        <v/>
      </c>
      <c r="D71" s="16">
        <f>-IPMT(E4,60,E5,B4)</f>
        <v/>
      </c>
      <c r="E71" s="16">
        <f>-PPMT(E4,60,E5,B4)</f>
        <v/>
      </c>
      <c r="F71" s="16">
        <f>B71-E71</f>
        <v/>
      </c>
    </row>
    <row r="72">
      <c r="A72" s="15" t="n">
        <v>61</v>
      </c>
      <c r="B72" s="16">
        <f>F71</f>
        <v/>
      </c>
      <c r="C72" s="16">
        <f>E6</f>
        <v/>
      </c>
      <c r="D72" s="16">
        <f>-IPMT(E4,61,E5,B4)</f>
        <v/>
      </c>
      <c r="E72" s="16">
        <f>-PPMT(E4,61,E5,B4)</f>
        <v/>
      </c>
      <c r="F72" s="16">
        <f>B72-E72</f>
        <v/>
      </c>
    </row>
    <row r="73">
      <c r="A73" s="15" t="n">
        <v>62</v>
      </c>
      <c r="B73" s="16">
        <f>F72</f>
        <v/>
      </c>
      <c r="C73" s="16">
        <f>E6</f>
        <v/>
      </c>
      <c r="D73" s="16">
        <f>-IPMT(E4,62,E5,B4)</f>
        <v/>
      </c>
      <c r="E73" s="16">
        <f>-PPMT(E4,62,E5,B4)</f>
        <v/>
      </c>
      <c r="F73" s="16">
        <f>B73-E73</f>
        <v/>
      </c>
    </row>
    <row r="74">
      <c r="A74" s="15" t="n">
        <v>63</v>
      </c>
      <c r="B74" s="16">
        <f>F73</f>
        <v/>
      </c>
      <c r="C74" s="16">
        <f>E6</f>
        <v/>
      </c>
      <c r="D74" s="16">
        <f>-IPMT(E4,63,E5,B4)</f>
        <v/>
      </c>
      <c r="E74" s="16">
        <f>-PPMT(E4,63,E5,B4)</f>
        <v/>
      </c>
      <c r="F74" s="16">
        <f>B74-E74</f>
        <v/>
      </c>
    </row>
    <row r="75">
      <c r="A75" s="15" t="n">
        <v>64</v>
      </c>
      <c r="B75" s="16">
        <f>F74</f>
        <v/>
      </c>
      <c r="C75" s="16">
        <f>E6</f>
        <v/>
      </c>
      <c r="D75" s="16">
        <f>-IPMT(E4,64,E5,B4)</f>
        <v/>
      </c>
      <c r="E75" s="16">
        <f>-PPMT(E4,64,E5,B4)</f>
        <v/>
      </c>
      <c r="F75" s="16">
        <f>B75-E75</f>
        <v/>
      </c>
    </row>
    <row r="76">
      <c r="A76" s="15" t="n">
        <v>65</v>
      </c>
      <c r="B76" s="16">
        <f>F75</f>
        <v/>
      </c>
      <c r="C76" s="16">
        <f>E6</f>
        <v/>
      </c>
      <c r="D76" s="16">
        <f>-IPMT(E4,65,E5,B4)</f>
        <v/>
      </c>
      <c r="E76" s="16">
        <f>-PPMT(E4,65,E5,B4)</f>
        <v/>
      </c>
      <c r="F76" s="16">
        <f>B76-E76</f>
        <v/>
      </c>
    </row>
    <row r="77">
      <c r="A77" s="15" t="n">
        <v>66</v>
      </c>
      <c r="B77" s="16">
        <f>F76</f>
        <v/>
      </c>
      <c r="C77" s="16">
        <f>E6</f>
        <v/>
      </c>
      <c r="D77" s="16">
        <f>-IPMT(E4,66,E5,B4)</f>
        <v/>
      </c>
      <c r="E77" s="16">
        <f>-PPMT(E4,66,E5,B4)</f>
        <v/>
      </c>
      <c r="F77" s="16">
        <f>B77-E77</f>
        <v/>
      </c>
    </row>
    <row r="78">
      <c r="A78" s="15" t="n">
        <v>67</v>
      </c>
      <c r="B78" s="16">
        <f>F77</f>
        <v/>
      </c>
      <c r="C78" s="16">
        <f>E6</f>
        <v/>
      </c>
      <c r="D78" s="16">
        <f>-IPMT(E4,67,E5,B4)</f>
        <v/>
      </c>
      <c r="E78" s="16">
        <f>-PPMT(E4,67,E5,B4)</f>
        <v/>
      </c>
      <c r="F78" s="16">
        <f>B78-E78</f>
        <v/>
      </c>
    </row>
    <row r="79">
      <c r="A79" s="15" t="n">
        <v>68</v>
      </c>
      <c r="B79" s="16">
        <f>F78</f>
        <v/>
      </c>
      <c r="C79" s="16">
        <f>E6</f>
        <v/>
      </c>
      <c r="D79" s="16">
        <f>-IPMT(E4,68,E5,B4)</f>
        <v/>
      </c>
      <c r="E79" s="16">
        <f>-PPMT(E4,68,E5,B4)</f>
        <v/>
      </c>
      <c r="F79" s="16">
        <f>B79-E79</f>
        <v/>
      </c>
    </row>
    <row r="80">
      <c r="A80" s="15" t="n">
        <v>69</v>
      </c>
      <c r="B80" s="16">
        <f>F79</f>
        <v/>
      </c>
      <c r="C80" s="16">
        <f>E6</f>
        <v/>
      </c>
      <c r="D80" s="16">
        <f>-IPMT(E4,69,E5,B4)</f>
        <v/>
      </c>
      <c r="E80" s="16">
        <f>-PPMT(E4,69,E5,B4)</f>
        <v/>
      </c>
      <c r="F80" s="16">
        <f>B80-E80</f>
        <v/>
      </c>
    </row>
    <row r="81">
      <c r="A81" s="15" t="n">
        <v>70</v>
      </c>
      <c r="B81" s="16">
        <f>F80</f>
        <v/>
      </c>
      <c r="C81" s="16">
        <f>E6</f>
        <v/>
      </c>
      <c r="D81" s="16">
        <f>-IPMT(E4,70,E5,B4)</f>
        <v/>
      </c>
      <c r="E81" s="16">
        <f>-PPMT(E4,70,E5,B4)</f>
        <v/>
      </c>
      <c r="F81" s="16">
        <f>B81-E81</f>
        <v/>
      </c>
    </row>
    <row r="82">
      <c r="A82" s="15" t="n">
        <v>71</v>
      </c>
      <c r="B82" s="16">
        <f>F81</f>
        <v/>
      </c>
      <c r="C82" s="16">
        <f>E6</f>
        <v/>
      </c>
      <c r="D82" s="16">
        <f>-IPMT(E4,71,E5,B4)</f>
        <v/>
      </c>
      <c r="E82" s="16">
        <f>-PPMT(E4,71,E5,B4)</f>
        <v/>
      </c>
      <c r="F82" s="16">
        <f>B82-E82</f>
        <v/>
      </c>
    </row>
    <row r="83">
      <c r="A83" s="15" t="n">
        <v>72</v>
      </c>
      <c r="B83" s="16">
        <f>F82</f>
        <v/>
      </c>
      <c r="C83" s="16">
        <f>E6</f>
        <v/>
      </c>
      <c r="D83" s="16">
        <f>-IPMT(E4,72,E5,B4)</f>
        <v/>
      </c>
      <c r="E83" s="16">
        <f>-PPMT(E4,72,E5,B4)</f>
        <v/>
      </c>
      <c r="F83" s="16">
        <f>B83-E83</f>
        <v/>
      </c>
    </row>
    <row r="84">
      <c r="A84" s="15" t="n">
        <v>73</v>
      </c>
      <c r="B84" s="16">
        <f>F83</f>
        <v/>
      </c>
      <c r="C84" s="16">
        <f>E6</f>
        <v/>
      </c>
      <c r="D84" s="16">
        <f>-IPMT(E4,73,E5,B4)</f>
        <v/>
      </c>
      <c r="E84" s="16">
        <f>-PPMT(E4,73,E5,B4)</f>
        <v/>
      </c>
      <c r="F84" s="16">
        <f>B84-E84</f>
        <v/>
      </c>
    </row>
    <row r="85">
      <c r="A85" s="15" t="n">
        <v>74</v>
      </c>
      <c r="B85" s="16">
        <f>F84</f>
        <v/>
      </c>
      <c r="C85" s="16">
        <f>E6</f>
        <v/>
      </c>
      <c r="D85" s="16">
        <f>-IPMT(E4,74,E5,B4)</f>
        <v/>
      </c>
      <c r="E85" s="16">
        <f>-PPMT(E4,74,E5,B4)</f>
        <v/>
      </c>
      <c r="F85" s="16">
        <f>B85-E85</f>
        <v/>
      </c>
    </row>
    <row r="86">
      <c r="A86" s="15" t="n">
        <v>75</v>
      </c>
      <c r="B86" s="16">
        <f>F85</f>
        <v/>
      </c>
      <c r="C86" s="16">
        <f>E6</f>
        <v/>
      </c>
      <c r="D86" s="16">
        <f>-IPMT(E4,75,E5,B4)</f>
        <v/>
      </c>
      <c r="E86" s="16">
        <f>-PPMT(E4,75,E5,B4)</f>
        <v/>
      </c>
      <c r="F86" s="16">
        <f>B86-E86</f>
        <v/>
      </c>
    </row>
    <row r="87">
      <c r="A87" s="15" t="n">
        <v>76</v>
      </c>
      <c r="B87" s="16">
        <f>F86</f>
        <v/>
      </c>
      <c r="C87" s="16">
        <f>E6</f>
        <v/>
      </c>
      <c r="D87" s="16">
        <f>-IPMT(E4,76,E5,B4)</f>
        <v/>
      </c>
      <c r="E87" s="16">
        <f>-PPMT(E4,76,E5,B4)</f>
        <v/>
      </c>
      <c r="F87" s="16">
        <f>B87-E87</f>
        <v/>
      </c>
    </row>
    <row r="88">
      <c r="A88" s="15" t="n">
        <v>77</v>
      </c>
      <c r="B88" s="16">
        <f>F87</f>
        <v/>
      </c>
      <c r="C88" s="16">
        <f>E6</f>
        <v/>
      </c>
      <c r="D88" s="16">
        <f>-IPMT(E4,77,E5,B4)</f>
        <v/>
      </c>
      <c r="E88" s="16">
        <f>-PPMT(E4,77,E5,B4)</f>
        <v/>
      </c>
      <c r="F88" s="16">
        <f>B88-E88</f>
        <v/>
      </c>
    </row>
    <row r="89">
      <c r="A89" s="15" t="n">
        <v>78</v>
      </c>
      <c r="B89" s="16">
        <f>F88</f>
        <v/>
      </c>
      <c r="C89" s="16">
        <f>E6</f>
        <v/>
      </c>
      <c r="D89" s="16">
        <f>-IPMT(E4,78,E5,B4)</f>
        <v/>
      </c>
      <c r="E89" s="16">
        <f>-PPMT(E4,78,E5,B4)</f>
        <v/>
      </c>
      <c r="F89" s="16">
        <f>B89-E89</f>
        <v/>
      </c>
    </row>
    <row r="90">
      <c r="A90" s="15" t="n">
        <v>79</v>
      </c>
      <c r="B90" s="16">
        <f>F89</f>
        <v/>
      </c>
      <c r="C90" s="16">
        <f>E6</f>
        <v/>
      </c>
      <c r="D90" s="16">
        <f>-IPMT(E4,79,E5,B4)</f>
        <v/>
      </c>
      <c r="E90" s="16">
        <f>-PPMT(E4,79,E5,B4)</f>
        <v/>
      </c>
      <c r="F90" s="16">
        <f>B90-E90</f>
        <v/>
      </c>
    </row>
    <row r="91">
      <c r="A91" s="15" t="n">
        <v>80</v>
      </c>
      <c r="B91" s="16">
        <f>F90</f>
        <v/>
      </c>
      <c r="C91" s="16">
        <f>E6</f>
        <v/>
      </c>
      <c r="D91" s="16">
        <f>-IPMT(E4,80,E5,B4)</f>
        <v/>
      </c>
      <c r="E91" s="16">
        <f>-PPMT(E4,80,E5,B4)</f>
        <v/>
      </c>
      <c r="F91" s="16">
        <f>B91-E91</f>
        <v/>
      </c>
    </row>
    <row r="92">
      <c r="A92" s="15" t="n">
        <v>81</v>
      </c>
      <c r="B92" s="16">
        <f>F91</f>
        <v/>
      </c>
      <c r="C92" s="16">
        <f>E6</f>
        <v/>
      </c>
      <c r="D92" s="16">
        <f>-IPMT(E4,81,E5,B4)</f>
        <v/>
      </c>
      <c r="E92" s="16">
        <f>-PPMT(E4,81,E5,B4)</f>
        <v/>
      </c>
      <c r="F92" s="16">
        <f>B92-E92</f>
        <v/>
      </c>
    </row>
    <row r="93">
      <c r="A93" s="15" t="n">
        <v>82</v>
      </c>
      <c r="B93" s="16">
        <f>F92</f>
        <v/>
      </c>
      <c r="C93" s="16">
        <f>E6</f>
        <v/>
      </c>
      <c r="D93" s="16">
        <f>-IPMT(E4,82,E5,B4)</f>
        <v/>
      </c>
      <c r="E93" s="16">
        <f>-PPMT(E4,82,E5,B4)</f>
        <v/>
      </c>
      <c r="F93" s="16">
        <f>B93-E93</f>
        <v/>
      </c>
    </row>
    <row r="94">
      <c r="A94" s="15" t="n">
        <v>83</v>
      </c>
      <c r="B94" s="16">
        <f>F93</f>
        <v/>
      </c>
      <c r="C94" s="16">
        <f>E6</f>
        <v/>
      </c>
      <c r="D94" s="16">
        <f>-IPMT(E4,83,E5,B4)</f>
        <v/>
      </c>
      <c r="E94" s="16">
        <f>-PPMT(E4,83,E5,B4)</f>
        <v/>
      </c>
      <c r="F94" s="16">
        <f>B94-E94</f>
        <v/>
      </c>
    </row>
    <row r="95">
      <c r="A95" s="15" t="n">
        <v>84</v>
      </c>
      <c r="B95" s="16">
        <f>F94</f>
        <v/>
      </c>
      <c r="C95" s="16">
        <f>E6</f>
        <v/>
      </c>
      <c r="D95" s="16">
        <f>-IPMT(E4,84,E5,B4)</f>
        <v/>
      </c>
      <c r="E95" s="16">
        <f>-PPMT(E4,84,E5,B4)</f>
        <v/>
      </c>
      <c r="F95" s="16">
        <f>B95-E95</f>
        <v/>
      </c>
    </row>
    <row r="96">
      <c r="A96" s="15" t="n">
        <v>85</v>
      </c>
      <c r="B96" s="16">
        <f>F95</f>
        <v/>
      </c>
      <c r="C96" s="16">
        <f>E6</f>
        <v/>
      </c>
      <c r="D96" s="16">
        <f>-IPMT(E4,85,E5,B4)</f>
        <v/>
      </c>
      <c r="E96" s="16">
        <f>-PPMT(E4,85,E5,B4)</f>
        <v/>
      </c>
      <c r="F96" s="16">
        <f>B96-E96</f>
        <v/>
      </c>
    </row>
    <row r="97">
      <c r="A97" s="15" t="n">
        <v>86</v>
      </c>
      <c r="B97" s="16">
        <f>F96</f>
        <v/>
      </c>
      <c r="C97" s="16">
        <f>E6</f>
        <v/>
      </c>
      <c r="D97" s="16">
        <f>-IPMT(E4,86,E5,B4)</f>
        <v/>
      </c>
      <c r="E97" s="16">
        <f>-PPMT(E4,86,E5,B4)</f>
        <v/>
      </c>
      <c r="F97" s="16">
        <f>B97-E97</f>
        <v/>
      </c>
    </row>
    <row r="98">
      <c r="A98" s="15" t="n">
        <v>87</v>
      </c>
      <c r="B98" s="16">
        <f>F97</f>
        <v/>
      </c>
      <c r="C98" s="16">
        <f>E6</f>
        <v/>
      </c>
      <c r="D98" s="16">
        <f>-IPMT(E4,87,E5,B4)</f>
        <v/>
      </c>
      <c r="E98" s="16">
        <f>-PPMT(E4,87,E5,B4)</f>
        <v/>
      </c>
      <c r="F98" s="16">
        <f>B98-E98</f>
        <v/>
      </c>
    </row>
    <row r="99">
      <c r="A99" s="15" t="n">
        <v>88</v>
      </c>
      <c r="B99" s="16">
        <f>F98</f>
        <v/>
      </c>
      <c r="C99" s="16">
        <f>E6</f>
        <v/>
      </c>
      <c r="D99" s="16">
        <f>-IPMT(E4,88,E5,B4)</f>
        <v/>
      </c>
      <c r="E99" s="16">
        <f>-PPMT(E4,88,E5,B4)</f>
        <v/>
      </c>
      <c r="F99" s="16">
        <f>B99-E99</f>
        <v/>
      </c>
    </row>
    <row r="100">
      <c r="A100" s="15" t="n">
        <v>89</v>
      </c>
      <c r="B100" s="16">
        <f>F99</f>
        <v/>
      </c>
      <c r="C100" s="16">
        <f>E6</f>
        <v/>
      </c>
      <c r="D100" s="16">
        <f>-IPMT(E4,89,E5,B4)</f>
        <v/>
      </c>
      <c r="E100" s="16">
        <f>-PPMT(E4,89,E5,B4)</f>
        <v/>
      </c>
      <c r="F100" s="16">
        <f>B100-E100</f>
        <v/>
      </c>
    </row>
    <row r="101">
      <c r="A101" s="15" t="n">
        <v>90</v>
      </c>
      <c r="B101" s="16">
        <f>F100</f>
        <v/>
      </c>
      <c r="C101" s="16">
        <f>E6</f>
        <v/>
      </c>
      <c r="D101" s="16">
        <f>-IPMT(E4,90,E5,B4)</f>
        <v/>
      </c>
      <c r="E101" s="16">
        <f>-PPMT(E4,90,E5,B4)</f>
        <v/>
      </c>
      <c r="F101" s="16">
        <f>B101-E101</f>
        <v/>
      </c>
    </row>
    <row r="102">
      <c r="A102" s="15" t="n">
        <v>91</v>
      </c>
      <c r="B102" s="16">
        <f>F101</f>
        <v/>
      </c>
      <c r="C102" s="16">
        <f>E6</f>
        <v/>
      </c>
      <c r="D102" s="16">
        <f>-IPMT(E4,91,E5,B4)</f>
        <v/>
      </c>
      <c r="E102" s="16">
        <f>-PPMT(E4,91,E5,B4)</f>
        <v/>
      </c>
      <c r="F102" s="16">
        <f>B102-E102</f>
        <v/>
      </c>
    </row>
    <row r="103">
      <c r="A103" s="15" t="n">
        <v>92</v>
      </c>
      <c r="B103" s="16">
        <f>F102</f>
        <v/>
      </c>
      <c r="C103" s="16">
        <f>E6</f>
        <v/>
      </c>
      <c r="D103" s="16">
        <f>-IPMT(E4,92,E5,B4)</f>
        <v/>
      </c>
      <c r="E103" s="16">
        <f>-PPMT(E4,92,E5,B4)</f>
        <v/>
      </c>
      <c r="F103" s="16">
        <f>B103-E103</f>
        <v/>
      </c>
    </row>
    <row r="104">
      <c r="A104" s="15" t="n">
        <v>93</v>
      </c>
      <c r="B104" s="16">
        <f>F103</f>
        <v/>
      </c>
      <c r="C104" s="16">
        <f>E6</f>
        <v/>
      </c>
      <c r="D104" s="16">
        <f>-IPMT(E4,93,E5,B4)</f>
        <v/>
      </c>
      <c r="E104" s="16">
        <f>-PPMT(E4,93,E5,B4)</f>
        <v/>
      </c>
      <c r="F104" s="16">
        <f>B104-E104</f>
        <v/>
      </c>
    </row>
    <row r="105">
      <c r="A105" s="15" t="n">
        <v>94</v>
      </c>
      <c r="B105" s="16">
        <f>F104</f>
        <v/>
      </c>
      <c r="C105" s="16">
        <f>E6</f>
        <v/>
      </c>
      <c r="D105" s="16">
        <f>-IPMT(E4,94,E5,B4)</f>
        <v/>
      </c>
      <c r="E105" s="16">
        <f>-PPMT(E4,94,E5,B4)</f>
        <v/>
      </c>
      <c r="F105" s="16">
        <f>B105-E105</f>
        <v/>
      </c>
    </row>
    <row r="106">
      <c r="A106" s="15" t="n">
        <v>95</v>
      </c>
      <c r="B106" s="16">
        <f>F105</f>
        <v/>
      </c>
      <c r="C106" s="16">
        <f>E6</f>
        <v/>
      </c>
      <c r="D106" s="16">
        <f>-IPMT(E4,95,E5,B4)</f>
        <v/>
      </c>
      <c r="E106" s="16">
        <f>-PPMT(E4,95,E5,B4)</f>
        <v/>
      </c>
      <c r="F106" s="16">
        <f>B106-E106</f>
        <v/>
      </c>
    </row>
    <row r="107">
      <c r="A107" s="15" t="n">
        <v>96</v>
      </c>
      <c r="B107" s="16">
        <f>F106</f>
        <v/>
      </c>
      <c r="C107" s="16">
        <f>E6</f>
        <v/>
      </c>
      <c r="D107" s="16">
        <f>-IPMT(E4,96,E5,B4)</f>
        <v/>
      </c>
      <c r="E107" s="16">
        <f>-PPMT(E4,96,E5,B4)</f>
        <v/>
      </c>
      <c r="F107" s="16">
        <f>B107-E107</f>
        <v/>
      </c>
    </row>
    <row r="108">
      <c r="A108" s="15" t="n">
        <v>97</v>
      </c>
      <c r="B108" s="16">
        <f>F107</f>
        <v/>
      </c>
      <c r="C108" s="16">
        <f>E6</f>
        <v/>
      </c>
      <c r="D108" s="16">
        <f>-IPMT(E4,97,E5,B4)</f>
        <v/>
      </c>
      <c r="E108" s="16">
        <f>-PPMT(E4,97,E5,B4)</f>
        <v/>
      </c>
      <c r="F108" s="16">
        <f>B108-E108</f>
        <v/>
      </c>
    </row>
    <row r="109">
      <c r="A109" s="15" t="n">
        <v>98</v>
      </c>
      <c r="B109" s="16">
        <f>F108</f>
        <v/>
      </c>
      <c r="C109" s="16">
        <f>E6</f>
        <v/>
      </c>
      <c r="D109" s="16">
        <f>-IPMT(E4,98,E5,B4)</f>
        <v/>
      </c>
      <c r="E109" s="16">
        <f>-PPMT(E4,98,E5,B4)</f>
        <v/>
      </c>
      <c r="F109" s="16">
        <f>B109-E109</f>
        <v/>
      </c>
    </row>
    <row r="110">
      <c r="A110" s="15" t="n">
        <v>99</v>
      </c>
      <c r="B110" s="16">
        <f>F109</f>
        <v/>
      </c>
      <c r="C110" s="16">
        <f>E6</f>
        <v/>
      </c>
      <c r="D110" s="16">
        <f>-IPMT(E4,99,E5,B4)</f>
        <v/>
      </c>
      <c r="E110" s="16">
        <f>-PPMT(E4,99,E5,B4)</f>
        <v/>
      </c>
      <c r="F110" s="16">
        <f>B110-E110</f>
        <v/>
      </c>
    </row>
    <row r="111">
      <c r="A111" s="15" t="n">
        <v>100</v>
      </c>
      <c r="B111" s="16">
        <f>F110</f>
        <v/>
      </c>
      <c r="C111" s="16">
        <f>E6</f>
        <v/>
      </c>
      <c r="D111" s="16">
        <f>-IPMT(E4,100,E5,B4)</f>
        <v/>
      </c>
      <c r="E111" s="16">
        <f>-PPMT(E4,100,E5,B4)</f>
        <v/>
      </c>
      <c r="F111" s="16">
        <f>B111-E111</f>
        <v/>
      </c>
    </row>
    <row r="112">
      <c r="A112" s="15" t="n">
        <v>101</v>
      </c>
      <c r="B112" s="16">
        <f>F111</f>
        <v/>
      </c>
      <c r="C112" s="16">
        <f>E6</f>
        <v/>
      </c>
      <c r="D112" s="16">
        <f>-IPMT(E4,101,E5,B4)</f>
        <v/>
      </c>
      <c r="E112" s="16">
        <f>-PPMT(E4,101,E5,B4)</f>
        <v/>
      </c>
      <c r="F112" s="16">
        <f>B112-E112</f>
        <v/>
      </c>
    </row>
    <row r="113">
      <c r="A113" s="15" t="n">
        <v>102</v>
      </c>
      <c r="B113" s="16">
        <f>F112</f>
        <v/>
      </c>
      <c r="C113" s="16">
        <f>E6</f>
        <v/>
      </c>
      <c r="D113" s="16">
        <f>-IPMT(E4,102,E5,B4)</f>
        <v/>
      </c>
      <c r="E113" s="16">
        <f>-PPMT(E4,102,E5,B4)</f>
        <v/>
      </c>
      <c r="F113" s="16">
        <f>B113-E113</f>
        <v/>
      </c>
    </row>
    <row r="114">
      <c r="A114" s="15" t="n">
        <v>103</v>
      </c>
      <c r="B114" s="16">
        <f>F113</f>
        <v/>
      </c>
      <c r="C114" s="16">
        <f>E6</f>
        <v/>
      </c>
      <c r="D114" s="16">
        <f>-IPMT(E4,103,E5,B4)</f>
        <v/>
      </c>
      <c r="E114" s="16">
        <f>-PPMT(E4,103,E5,B4)</f>
        <v/>
      </c>
      <c r="F114" s="16">
        <f>B114-E114</f>
        <v/>
      </c>
    </row>
    <row r="115">
      <c r="A115" s="15" t="n">
        <v>104</v>
      </c>
      <c r="B115" s="16">
        <f>F114</f>
        <v/>
      </c>
      <c r="C115" s="16">
        <f>E6</f>
        <v/>
      </c>
      <c r="D115" s="16">
        <f>-IPMT(E4,104,E5,B4)</f>
        <v/>
      </c>
      <c r="E115" s="16">
        <f>-PPMT(E4,104,E5,B4)</f>
        <v/>
      </c>
      <c r="F115" s="16">
        <f>B115-E115</f>
        <v/>
      </c>
    </row>
    <row r="116">
      <c r="A116" s="15" t="n">
        <v>105</v>
      </c>
      <c r="B116" s="16">
        <f>F115</f>
        <v/>
      </c>
      <c r="C116" s="16">
        <f>E6</f>
        <v/>
      </c>
      <c r="D116" s="16">
        <f>-IPMT(E4,105,E5,B4)</f>
        <v/>
      </c>
      <c r="E116" s="16">
        <f>-PPMT(E4,105,E5,B4)</f>
        <v/>
      </c>
      <c r="F116" s="16">
        <f>B116-E116</f>
        <v/>
      </c>
    </row>
    <row r="117">
      <c r="A117" s="15" t="n">
        <v>106</v>
      </c>
      <c r="B117" s="16">
        <f>F116</f>
        <v/>
      </c>
      <c r="C117" s="16">
        <f>E6</f>
        <v/>
      </c>
      <c r="D117" s="16">
        <f>-IPMT(E4,106,E5,B4)</f>
        <v/>
      </c>
      <c r="E117" s="16">
        <f>-PPMT(E4,106,E5,B4)</f>
        <v/>
      </c>
      <c r="F117" s="16">
        <f>B117-E117</f>
        <v/>
      </c>
    </row>
    <row r="118">
      <c r="A118" s="15" t="n">
        <v>107</v>
      </c>
      <c r="B118" s="16">
        <f>F117</f>
        <v/>
      </c>
      <c r="C118" s="16">
        <f>E6</f>
        <v/>
      </c>
      <c r="D118" s="16">
        <f>-IPMT(E4,107,E5,B4)</f>
        <v/>
      </c>
      <c r="E118" s="16">
        <f>-PPMT(E4,107,E5,B4)</f>
        <v/>
      </c>
      <c r="F118" s="16">
        <f>B118-E118</f>
        <v/>
      </c>
    </row>
    <row r="119">
      <c r="A119" s="15" t="n">
        <v>108</v>
      </c>
      <c r="B119" s="16">
        <f>F118</f>
        <v/>
      </c>
      <c r="C119" s="16">
        <f>E6</f>
        <v/>
      </c>
      <c r="D119" s="16">
        <f>-IPMT(E4,108,E5,B4)</f>
        <v/>
      </c>
      <c r="E119" s="16">
        <f>-PPMT(E4,108,E5,B4)</f>
        <v/>
      </c>
      <c r="F119" s="16">
        <f>B119-E119</f>
        <v/>
      </c>
    </row>
    <row r="120">
      <c r="A120" s="15" t="n">
        <v>109</v>
      </c>
      <c r="B120" s="16">
        <f>F119</f>
        <v/>
      </c>
      <c r="C120" s="16">
        <f>E6</f>
        <v/>
      </c>
      <c r="D120" s="16">
        <f>-IPMT(E4,109,E5,B4)</f>
        <v/>
      </c>
      <c r="E120" s="16">
        <f>-PPMT(E4,109,E5,B4)</f>
        <v/>
      </c>
      <c r="F120" s="16">
        <f>B120-E120</f>
        <v/>
      </c>
    </row>
    <row r="121">
      <c r="A121" s="15" t="n">
        <v>110</v>
      </c>
      <c r="B121" s="16">
        <f>F120</f>
        <v/>
      </c>
      <c r="C121" s="16">
        <f>E6</f>
        <v/>
      </c>
      <c r="D121" s="16">
        <f>-IPMT(E4,110,E5,B4)</f>
        <v/>
      </c>
      <c r="E121" s="16">
        <f>-PPMT(E4,110,E5,B4)</f>
        <v/>
      </c>
      <c r="F121" s="16">
        <f>B121-E121</f>
        <v/>
      </c>
    </row>
    <row r="122">
      <c r="A122" s="15" t="n">
        <v>111</v>
      </c>
      <c r="B122" s="16">
        <f>F121</f>
        <v/>
      </c>
      <c r="C122" s="16">
        <f>E6</f>
        <v/>
      </c>
      <c r="D122" s="16">
        <f>-IPMT(E4,111,E5,B4)</f>
        <v/>
      </c>
      <c r="E122" s="16">
        <f>-PPMT(E4,111,E5,B4)</f>
        <v/>
      </c>
      <c r="F122" s="16">
        <f>B122-E122</f>
        <v/>
      </c>
    </row>
    <row r="123">
      <c r="A123" s="15" t="n">
        <v>112</v>
      </c>
      <c r="B123" s="16">
        <f>F122</f>
        <v/>
      </c>
      <c r="C123" s="16">
        <f>E6</f>
        <v/>
      </c>
      <c r="D123" s="16">
        <f>-IPMT(E4,112,E5,B4)</f>
        <v/>
      </c>
      <c r="E123" s="16">
        <f>-PPMT(E4,112,E5,B4)</f>
        <v/>
      </c>
      <c r="F123" s="16">
        <f>B123-E123</f>
        <v/>
      </c>
    </row>
    <row r="124">
      <c r="A124" s="15" t="n">
        <v>113</v>
      </c>
      <c r="B124" s="16">
        <f>F123</f>
        <v/>
      </c>
      <c r="C124" s="16">
        <f>E6</f>
        <v/>
      </c>
      <c r="D124" s="16">
        <f>-IPMT(E4,113,E5,B4)</f>
        <v/>
      </c>
      <c r="E124" s="16">
        <f>-PPMT(E4,113,E5,B4)</f>
        <v/>
      </c>
      <c r="F124" s="16">
        <f>B124-E124</f>
        <v/>
      </c>
    </row>
    <row r="125">
      <c r="A125" s="15" t="n">
        <v>114</v>
      </c>
      <c r="B125" s="16">
        <f>F124</f>
        <v/>
      </c>
      <c r="C125" s="16">
        <f>E6</f>
        <v/>
      </c>
      <c r="D125" s="16">
        <f>-IPMT(E4,114,E5,B4)</f>
        <v/>
      </c>
      <c r="E125" s="16">
        <f>-PPMT(E4,114,E5,B4)</f>
        <v/>
      </c>
      <c r="F125" s="16">
        <f>B125-E125</f>
        <v/>
      </c>
    </row>
    <row r="126">
      <c r="A126" s="15" t="n">
        <v>115</v>
      </c>
      <c r="B126" s="16">
        <f>F125</f>
        <v/>
      </c>
      <c r="C126" s="16">
        <f>E6</f>
        <v/>
      </c>
      <c r="D126" s="16">
        <f>-IPMT(E4,115,E5,B4)</f>
        <v/>
      </c>
      <c r="E126" s="16">
        <f>-PPMT(E4,115,E5,B4)</f>
        <v/>
      </c>
      <c r="F126" s="16">
        <f>B126-E126</f>
        <v/>
      </c>
    </row>
    <row r="127">
      <c r="A127" s="15" t="n">
        <v>116</v>
      </c>
      <c r="B127" s="16">
        <f>F126</f>
        <v/>
      </c>
      <c r="C127" s="16">
        <f>E6</f>
        <v/>
      </c>
      <c r="D127" s="16">
        <f>-IPMT(E4,116,E5,B4)</f>
        <v/>
      </c>
      <c r="E127" s="16">
        <f>-PPMT(E4,116,E5,B4)</f>
        <v/>
      </c>
      <c r="F127" s="16">
        <f>B127-E127</f>
        <v/>
      </c>
    </row>
    <row r="128">
      <c r="A128" s="15" t="n">
        <v>117</v>
      </c>
      <c r="B128" s="16">
        <f>F127</f>
        <v/>
      </c>
      <c r="C128" s="16">
        <f>E6</f>
        <v/>
      </c>
      <c r="D128" s="16">
        <f>-IPMT(E4,117,E5,B4)</f>
        <v/>
      </c>
      <c r="E128" s="16">
        <f>-PPMT(E4,117,E5,B4)</f>
        <v/>
      </c>
      <c r="F128" s="16">
        <f>B128-E128</f>
        <v/>
      </c>
    </row>
    <row r="129">
      <c r="A129" s="15" t="n">
        <v>118</v>
      </c>
      <c r="B129" s="16">
        <f>F128</f>
        <v/>
      </c>
      <c r="C129" s="16">
        <f>E6</f>
        <v/>
      </c>
      <c r="D129" s="16">
        <f>-IPMT(E4,118,E5,B4)</f>
        <v/>
      </c>
      <c r="E129" s="16">
        <f>-PPMT(E4,118,E5,B4)</f>
        <v/>
      </c>
      <c r="F129" s="16">
        <f>B129-E129</f>
        <v/>
      </c>
    </row>
    <row r="130">
      <c r="A130" s="15" t="n">
        <v>119</v>
      </c>
      <c r="B130" s="16">
        <f>F129</f>
        <v/>
      </c>
      <c r="C130" s="16">
        <f>E6</f>
        <v/>
      </c>
      <c r="D130" s="16">
        <f>-IPMT(E4,119,E5,B4)</f>
        <v/>
      </c>
      <c r="E130" s="16">
        <f>-PPMT(E4,119,E5,B4)</f>
        <v/>
      </c>
      <c r="F130" s="16">
        <f>B130-E130</f>
        <v/>
      </c>
    </row>
    <row r="131">
      <c r="A131" s="15" t="n">
        <v>120</v>
      </c>
      <c r="B131" s="16">
        <f>F130</f>
        <v/>
      </c>
      <c r="C131" s="16">
        <f>E6</f>
        <v/>
      </c>
      <c r="D131" s="16">
        <f>-IPMT(E4,120,E5,B4)</f>
        <v/>
      </c>
      <c r="E131" s="16">
        <f>-PPMT(E4,120,E5,B4)</f>
        <v/>
      </c>
      <c r="F131" s="16">
        <f>B131-E131</f>
        <v/>
      </c>
    </row>
    <row r="132">
      <c r="A132" s="15" t="n">
        <v>121</v>
      </c>
      <c r="B132" s="16">
        <f>F131</f>
        <v/>
      </c>
      <c r="C132" s="16">
        <f>E6</f>
        <v/>
      </c>
      <c r="D132" s="16">
        <f>-IPMT(E4,121,E5,B4)</f>
        <v/>
      </c>
      <c r="E132" s="16">
        <f>-PPMT(E4,121,E5,B4)</f>
        <v/>
      </c>
      <c r="F132" s="16">
        <f>B132-E132</f>
        <v/>
      </c>
    </row>
    <row r="133">
      <c r="A133" s="15" t="n">
        <v>122</v>
      </c>
      <c r="B133" s="16">
        <f>F132</f>
        <v/>
      </c>
      <c r="C133" s="16">
        <f>E6</f>
        <v/>
      </c>
      <c r="D133" s="16">
        <f>-IPMT(E4,122,E5,B4)</f>
        <v/>
      </c>
      <c r="E133" s="16">
        <f>-PPMT(E4,122,E5,B4)</f>
        <v/>
      </c>
      <c r="F133" s="16">
        <f>B133-E133</f>
        <v/>
      </c>
    </row>
    <row r="134">
      <c r="A134" s="15" t="n">
        <v>123</v>
      </c>
      <c r="B134" s="16">
        <f>F133</f>
        <v/>
      </c>
      <c r="C134" s="16">
        <f>E6</f>
        <v/>
      </c>
      <c r="D134" s="16">
        <f>-IPMT(E4,123,E5,B4)</f>
        <v/>
      </c>
      <c r="E134" s="16">
        <f>-PPMT(E4,123,E5,B4)</f>
        <v/>
      </c>
      <c r="F134" s="16">
        <f>B134-E134</f>
        <v/>
      </c>
    </row>
    <row r="135">
      <c r="A135" s="15" t="n">
        <v>124</v>
      </c>
      <c r="B135" s="16">
        <f>F134</f>
        <v/>
      </c>
      <c r="C135" s="16">
        <f>E6</f>
        <v/>
      </c>
      <c r="D135" s="16">
        <f>-IPMT(E4,124,E5,B4)</f>
        <v/>
      </c>
      <c r="E135" s="16">
        <f>-PPMT(E4,124,E5,B4)</f>
        <v/>
      </c>
      <c r="F135" s="16">
        <f>B135-E135</f>
        <v/>
      </c>
    </row>
    <row r="136">
      <c r="A136" s="15" t="n">
        <v>125</v>
      </c>
      <c r="B136" s="16">
        <f>F135</f>
        <v/>
      </c>
      <c r="C136" s="16">
        <f>E6</f>
        <v/>
      </c>
      <c r="D136" s="16">
        <f>-IPMT(E4,125,E5,B4)</f>
        <v/>
      </c>
      <c r="E136" s="16">
        <f>-PPMT(E4,125,E5,B4)</f>
        <v/>
      </c>
      <c r="F136" s="16">
        <f>B136-E136</f>
        <v/>
      </c>
    </row>
    <row r="137">
      <c r="A137" s="15" t="n">
        <v>126</v>
      </c>
      <c r="B137" s="16">
        <f>F136</f>
        <v/>
      </c>
      <c r="C137" s="16">
        <f>E6</f>
        <v/>
      </c>
      <c r="D137" s="16">
        <f>-IPMT(E4,126,E5,B4)</f>
        <v/>
      </c>
      <c r="E137" s="16">
        <f>-PPMT(E4,126,E5,B4)</f>
        <v/>
      </c>
      <c r="F137" s="16">
        <f>B137-E137</f>
        <v/>
      </c>
    </row>
    <row r="138">
      <c r="A138" s="15" t="n">
        <v>127</v>
      </c>
      <c r="B138" s="16">
        <f>F137</f>
        <v/>
      </c>
      <c r="C138" s="16">
        <f>E6</f>
        <v/>
      </c>
      <c r="D138" s="16">
        <f>-IPMT(E4,127,E5,B4)</f>
        <v/>
      </c>
      <c r="E138" s="16">
        <f>-PPMT(E4,127,E5,B4)</f>
        <v/>
      </c>
      <c r="F138" s="16">
        <f>B138-E138</f>
        <v/>
      </c>
    </row>
    <row r="139">
      <c r="A139" s="15" t="n">
        <v>128</v>
      </c>
      <c r="B139" s="16">
        <f>F138</f>
        <v/>
      </c>
      <c r="C139" s="16">
        <f>E6</f>
        <v/>
      </c>
      <c r="D139" s="16">
        <f>-IPMT(E4,128,E5,B4)</f>
        <v/>
      </c>
      <c r="E139" s="16">
        <f>-PPMT(E4,128,E5,B4)</f>
        <v/>
      </c>
      <c r="F139" s="16">
        <f>B139-E139</f>
        <v/>
      </c>
    </row>
    <row r="140">
      <c r="A140" s="15" t="n">
        <v>129</v>
      </c>
      <c r="B140" s="16">
        <f>F139</f>
        <v/>
      </c>
      <c r="C140" s="16">
        <f>E6</f>
        <v/>
      </c>
      <c r="D140" s="16">
        <f>-IPMT(E4,129,E5,B4)</f>
        <v/>
      </c>
      <c r="E140" s="16">
        <f>-PPMT(E4,129,E5,B4)</f>
        <v/>
      </c>
      <c r="F140" s="16">
        <f>B140-E140</f>
        <v/>
      </c>
    </row>
    <row r="141">
      <c r="A141" s="15" t="n">
        <v>130</v>
      </c>
      <c r="B141" s="16">
        <f>F140</f>
        <v/>
      </c>
      <c r="C141" s="16">
        <f>E6</f>
        <v/>
      </c>
      <c r="D141" s="16">
        <f>-IPMT(E4,130,E5,B4)</f>
        <v/>
      </c>
      <c r="E141" s="16">
        <f>-PPMT(E4,130,E5,B4)</f>
        <v/>
      </c>
      <c r="F141" s="16">
        <f>B141-E141</f>
        <v/>
      </c>
    </row>
    <row r="142">
      <c r="A142" s="15" t="n">
        <v>131</v>
      </c>
      <c r="B142" s="16">
        <f>F141</f>
        <v/>
      </c>
      <c r="C142" s="16">
        <f>E6</f>
        <v/>
      </c>
      <c r="D142" s="16">
        <f>-IPMT(E4,131,E5,B4)</f>
        <v/>
      </c>
      <c r="E142" s="16">
        <f>-PPMT(E4,131,E5,B4)</f>
        <v/>
      </c>
      <c r="F142" s="16">
        <f>B142-E142</f>
        <v/>
      </c>
    </row>
    <row r="143">
      <c r="A143" s="15" t="n">
        <v>132</v>
      </c>
      <c r="B143" s="16">
        <f>F142</f>
        <v/>
      </c>
      <c r="C143" s="16">
        <f>E6</f>
        <v/>
      </c>
      <c r="D143" s="16">
        <f>-IPMT(E4,132,E5,B4)</f>
        <v/>
      </c>
      <c r="E143" s="16">
        <f>-PPMT(E4,132,E5,B4)</f>
        <v/>
      </c>
      <c r="F143" s="16">
        <f>B143-E143</f>
        <v/>
      </c>
    </row>
    <row r="144">
      <c r="A144" s="15" t="n">
        <v>133</v>
      </c>
      <c r="B144" s="16">
        <f>F143</f>
        <v/>
      </c>
      <c r="C144" s="16">
        <f>E6</f>
        <v/>
      </c>
      <c r="D144" s="16">
        <f>-IPMT(E4,133,E5,B4)</f>
        <v/>
      </c>
      <c r="E144" s="16">
        <f>-PPMT(E4,133,E5,B4)</f>
        <v/>
      </c>
      <c r="F144" s="16">
        <f>B144-E144</f>
        <v/>
      </c>
    </row>
    <row r="145">
      <c r="A145" s="15" t="n">
        <v>134</v>
      </c>
      <c r="B145" s="16">
        <f>F144</f>
        <v/>
      </c>
      <c r="C145" s="16">
        <f>E6</f>
        <v/>
      </c>
      <c r="D145" s="16">
        <f>-IPMT(E4,134,E5,B4)</f>
        <v/>
      </c>
      <c r="E145" s="16">
        <f>-PPMT(E4,134,E5,B4)</f>
        <v/>
      </c>
      <c r="F145" s="16">
        <f>B145-E145</f>
        <v/>
      </c>
    </row>
    <row r="146">
      <c r="A146" s="15" t="n">
        <v>135</v>
      </c>
      <c r="B146" s="16">
        <f>F145</f>
        <v/>
      </c>
      <c r="C146" s="16">
        <f>E6</f>
        <v/>
      </c>
      <c r="D146" s="16">
        <f>-IPMT(E4,135,E5,B4)</f>
        <v/>
      </c>
      <c r="E146" s="16">
        <f>-PPMT(E4,135,E5,B4)</f>
        <v/>
      </c>
      <c r="F146" s="16">
        <f>B146-E146</f>
        <v/>
      </c>
    </row>
    <row r="147">
      <c r="A147" s="15" t="n">
        <v>136</v>
      </c>
      <c r="B147" s="16">
        <f>F146</f>
        <v/>
      </c>
      <c r="C147" s="16">
        <f>E6</f>
        <v/>
      </c>
      <c r="D147" s="16">
        <f>-IPMT(E4,136,E5,B4)</f>
        <v/>
      </c>
      <c r="E147" s="16">
        <f>-PPMT(E4,136,E5,B4)</f>
        <v/>
      </c>
      <c r="F147" s="16">
        <f>B147-E147</f>
        <v/>
      </c>
    </row>
    <row r="148">
      <c r="A148" s="15" t="n">
        <v>137</v>
      </c>
      <c r="B148" s="16">
        <f>F147</f>
        <v/>
      </c>
      <c r="C148" s="16">
        <f>E6</f>
        <v/>
      </c>
      <c r="D148" s="16">
        <f>-IPMT(E4,137,E5,B4)</f>
        <v/>
      </c>
      <c r="E148" s="16">
        <f>-PPMT(E4,137,E5,B4)</f>
        <v/>
      </c>
      <c r="F148" s="16">
        <f>B148-E148</f>
        <v/>
      </c>
    </row>
    <row r="149">
      <c r="A149" s="15" t="n">
        <v>138</v>
      </c>
      <c r="B149" s="16">
        <f>F148</f>
        <v/>
      </c>
      <c r="C149" s="16">
        <f>E6</f>
        <v/>
      </c>
      <c r="D149" s="16">
        <f>-IPMT(E4,138,E5,B4)</f>
        <v/>
      </c>
      <c r="E149" s="16">
        <f>-PPMT(E4,138,E5,B4)</f>
        <v/>
      </c>
      <c r="F149" s="16">
        <f>B149-E149</f>
        <v/>
      </c>
    </row>
    <row r="150">
      <c r="A150" s="15" t="n">
        <v>139</v>
      </c>
      <c r="B150" s="16">
        <f>F149</f>
        <v/>
      </c>
      <c r="C150" s="16">
        <f>E6</f>
        <v/>
      </c>
      <c r="D150" s="16">
        <f>-IPMT(E4,139,E5,B4)</f>
        <v/>
      </c>
      <c r="E150" s="16">
        <f>-PPMT(E4,139,E5,B4)</f>
        <v/>
      </c>
      <c r="F150" s="16">
        <f>B150-E150</f>
        <v/>
      </c>
    </row>
    <row r="151">
      <c r="A151" s="15" t="n">
        <v>140</v>
      </c>
      <c r="B151" s="16">
        <f>F150</f>
        <v/>
      </c>
      <c r="C151" s="16">
        <f>E6</f>
        <v/>
      </c>
      <c r="D151" s="16">
        <f>-IPMT(E4,140,E5,B4)</f>
        <v/>
      </c>
      <c r="E151" s="16">
        <f>-PPMT(E4,140,E5,B4)</f>
        <v/>
      </c>
      <c r="F151" s="16">
        <f>B151-E151</f>
        <v/>
      </c>
    </row>
    <row r="152">
      <c r="A152" s="15" t="n">
        <v>141</v>
      </c>
      <c r="B152" s="16">
        <f>F151</f>
        <v/>
      </c>
      <c r="C152" s="16">
        <f>E6</f>
        <v/>
      </c>
      <c r="D152" s="16">
        <f>-IPMT(E4,141,E5,B4)</f>
        <v/>
      </c>
      <c r="E152" s="16">
        <f>-PPMT(E4,141,E5,B4)</f>
        <v/>
      </c>
      <c r="F152" s="16">
        <f>B152-E152</f>
        <v/>
      </c>
    </row>
    <row r="153">
      <c r="A153" s="15" t="n">
        <v>142</v>
      </c>
      <c r="B153" s="16">
        <f>F152</f>
        <v/>
      </c>
      <c r="C153" s="16">
        <f>E6</f>
        <v/>
      </c>
      <c r="D153" s="16">
        <f>-IPMT(E4,142,E5,B4)</f>
        <v/>
      </c>
      <c r="E153" s="16">
        <f>-PPMT(E4,142,E5,B4)</f>
        <v/>
      </c>
      <c r="F153" s="16">
        <f>B153-E153</f>
        <v/>
      </c>
    </row>
    <row r="154">
      <c r="A154" s="15" t="n">
        <v>143</v>
      </c>
      <c r="B154" s="16">
        <f>F153</f>
        <v/>
      </c>
      <c r="C154" s="16">
        <f>E6</f>
        <v/>
      </c>
      <c r="D154" s="16">
        <f>-IPMT(E4,143,E5,B4)</f>
        <v/>
      </c>
      <c r="E154" s="16">
        <f>-PPMT(E4,143,E5,B4)</f>
        <v/>
      </c>
      <c r="F154" s="16">
        <f>B154-E154</f>
        <v/>
      </c>
    </row>
    <row r="155">
      <c r="A155" s="15" t="n">
        <v>144</v>
      </c>
      <c r="B155" s="16">
        <f>F154</f>
        <v/>
      </c>
      <c r="C155" s="16">
        <f>E6</f>
        <v/>
      </c>
      <c r="D155" s="16">
        <f>-IPMT(E4,144,E5,B4)</f>
        <v/>
      </c>
      <c r="E155" s="16">
        <f>-PPMT(E4,144,E5,B4)</f>
        <v/>
      </c>
      <c r="F155" s="16">
        <f>B155-E155</f>
        <v/>
      </c>
    </row>
    <row r="156">
      <c r="A156" s="15" t="n">
        <v>145</v>
      </c>
      <c r="B156" s="16">
        <f>F155</f>
        <v/>
      </c>
      <c r="C156" s="16">
        <f>E6</f>
        <v/>
      </c>
      <c r="D156" s="16">
        <f>-IPMT(E4,145,E5,B4)</f>
        <v/>
      </c>
      <c r="E156" s="16">
        <f>-PPMT(E4,145,E5,B4)</f>
        <v/>
      </c>
      <c r="F156" s="16">
        <f>B156-E156</f>
        <v/>
      </c>
    </row>
    <row r="157">
      <c r="A157" s="15" t="n">
        <v>146</v>
      </c>
      <c r="B157" s="16">
        <f>F156</f>
        <v/>
      </c>
      <c r="C157" s="16">
        <f>E6</f>
        <v/>
      </c>
      <c r="D157" s="16">
        <f>-IPMT(E4,146,E5,B4)</f>
        <v/>
      </c>
      <c r="E157" s="16">
        <f>-PPMT(E4,146,E5,B4)</f>
        <v/>
      </c>
      <c r="F157" s="16">
        <f>B157-E157</f>
        <v/>
      </c>
    </row>
    <row r="158">
      <c r="A158" s="15" t="n">
        <v>147</v>
      </c>
      <c r="B158" s="16">
        <f>F157</f>
        <v/>
      </c>
      <c r="C158" s="16">
        <f>E6</f>
        <v/>
      </c>
      <c r="D158" s="16">
        <f>-IPMT(E4,147,E5,B4)</f>
        <v/>
      </c>
      <c r="E158" s="16">
        <f>-PPMT(E4,147,E5,B4)</f>
        <v/>
      </c>
      <c r="F158" s="16">
        <f>B158-E158</f>
        <v/>
      </c>
    </row>
    <row r="159">
      <c r="A159" s="15" t="n">
        <v>148</v>
      </c>
      <c r="B159" s="16">
        <f>F158</f>
        <v/>
      </c>
      <c r="C159" s="16">
        <f>E6</f>
        <v/>
      </c>
      <c r="D159" s="16">
        <f>-IPMT(E4,148,E5,B4)</f>
        <v/>
      </c>
      <c r="E159" s="16">
        <f>-PPMT(E4,148,E5,B4)</f>
        <v/>
      </c>
      <c r="F159" s="16">
        <f>B159-E159</f>
        <v/>
      </c>
    </row>
    <row r="160">
      <c r="A160" s="15" t="n">
        <v>149</v>
      </c>
      <c r="B160" s="16">
        <f>F159</f>
        <v/>
      </c>
      <c r="C160" s="16">
        <f>E6</f>
        <v/>
      </c>
      <c r="D160" s="16">
        <f>-IPMT(E4,149,E5,B4)</f>
        <v/>
      </c>
      <c r="E160" s="16">
        <f>-PPMT(E4,149,E5,B4)</f>
        <v/>
      </c>
      <c r="F160" s="16">
        <f>B160-E160</f>
        <v/>
      </c>
    </row>
    <row r="161">
      <c r="A161" s="15" t="n">
        <v>150</v>
      </c>
      <c r="B161" s="16">
        <f>F160</f>
        <v/>
      </c>
      <c r="C161" s="16">
        <f>E6</f>
        <v/>
      </c>
      <c r="D161" s="16">
        <f>-IPMT(E4,150,E5,B4)</f>
        <v/>
      </c>
      <c r="E161" s="16">
        <f>-PPMT(E4,150,E5,B4)</f>
        <v/>
      </c>
      <c r="F161" s="16">
        <f>B161-E161</f>
        <v/>
      </c>
    </row>
    <row r="162">
      <c r="A162" s="15" t="n">
        <v>151</v>
      </c>
      <c r="B162" s="16">
        <f>F161</f>
        <v/>
      </c>
      <c r="C162" s="16">
        <f>E6</f>
        <v/>
      </c>
      <c r="D162" s="16">
        <f>-IPMT(E4,151,E5,B4)</f>
        <v/>
      </c>
      <c r="E162" s="16">
        <f>-PPMT(E4,151,E5,B4)</f>
        <v/>
      </c>
      <c r="F162" s="16">
        <f>B162-E162</f>
        <v/>
      </c>
    </row>
    <row r="163">
      <c r="A163" s="15" t="n">
        <v>152</v>
      </c>
      <c r="B163" s="16">
        <f>F162</f>
        <v/>
      </c>
      <c r="C163" s="16">
        <f>E6</f>
        <v/>
      </c>
      <c r="D163" s="16">
        <f>-IPMT(E4,152,E5,B4)</f>
        <v/>
      </c>
      <c r="E163" s="16">
        <f>-PPMT(E4,152,E5,B4)</f>
        <v/>
      </c>
      <c r="F163" s="16">
        <f>B163-E163</f>
        <v/>
      </c>
    </row>
    <row r="164">
      <c r="A164" s="15" t="n">
        <v>153</v>
      </c>
      <c r="B164" s="16">
        <f>F163</f>
        <v/>
      </c>
      <c r="C164" s="16">
        <f>E6</f>
        <v/>
      </c>
      <c r="D164" s="16">
        <f>-IPMT(E4,153,E5,B4)</f>
        <v/>
      </c>
      <c r="E164" s="16">
        <f>-PPMT(E4,153,E5,B4)</f>
        <v/>
      </c>
      <c r="F164" s="16">
        <f>B164-E164</f>
        <v/>
      </c>
    </row>
    <row r="165">
      <c r="A165" s="15" t="n">
        <v>154</v>
      </c>
      <c r="B165" s="16">
        <f>F164</f>
        <v/>
      </c>
      <c r="C165" s="16">
        <f>E6</f>
        <v/>
      </c>
      <c r="D165" s="16">
        <f>-IPMT(E4,154,E5,B4)</f>
        <v/>
      </c>
      <c r="E165" s="16">
        <f>-PPMT(E4,154,E5,B4)</f>
        <v/>
      </c>
      <c r="F165" s="16">
        <f>B165-E165</f>
        <v/>
      </c>
    </row>
    <row r="166">
      <c r="A166" s="15" t="n">
        <v>155</v>
      </c>
      <c r="B166" s="16">
        <f>F165</f>
        <v/>
      </c>
      <c r="C166" s="16">
        <f>E6</f>
        <v/>
      </c>
      <c r="D166" s="16">
        <f>-IPMT(E4,155,E5,B4)</f>
        <v/>
      </c>
      <c r="E166" s="16">
        <f>-PPMT(E4,155,E5,B4)</f>
        <v/>
      </c>
      <c r="F166" s="16">
        <f>B166-E166</f>
        <v/>
      </c>
    </row>
    <row r="167">
      <c r="A167" s="15" t="n">
        <v>156</v>
      </c>
      <c r="B167" s="16">
        <f>F166</f>
        <v/>
      </c>
      <c r="C167" s="16">
        <f>E6</f>
        <v/>
      </c>
      <c r="D167" s="16">
        <f>-IPMT(E4,156,E5,B4)</f>
        <v/>
      </c>
      <c r="E167" s="16">
        <f>-PPMT(E4,156,E5,B4)</f>
        <v/>
      </c>
      <c r="F167" s="16">
        <f>B167-E167</f>
        <v/>
      </c>
    </row>
    <row r="168">
      <c r="A168" s="15" t="n">
        <v>157</v>
      </c>
      <c r="B168" s="16">
        <f>F167</f>
        <v/>
      </c>
      <c r="C168" s="16">
        <f>E6</f>
        <v/>
      </c>
      <c r="D168" s="16">
        <f>-IPMT(E4,157,E5,B4)</f>
        <v/>
      </c>
      <c r="E168" s="16">
        <f>-PPMT(E4,157,E5,B4)</f>
        <v/>
      </c>
      <c r="F168" s="16">
        <f>B168-E168</f>
        <v/>
      </c>
    </row>
    <row r="169">
      <c r="A169" s="15" t="n">
        <v>158</v>
      </c>
      <c r="B169" s="16">
        <f>F168</f>
        <v/>
      </c>
      <c r="C169" s="16">
        <f>E6</f>
        <v/>
      </c>
      <c r="D169" s="16">
        <f>-IPMT(E4,158,E5,B4)</f>
        <v/>
      </c>
      <c r="E169" s="16">
        <f>-PPMT(E4,158,E5,B4)</f>
        <v/>
      </c>
      <c r="F169" s="16">
        <f>B169-E169</f>
        <v/>
      </c>
    </row>
    <row r="170">
      <c r="A170" s="15" t="n">
        <v>159</v>
      </c>
      <c r="B170" s="16">
        <f>F169</f>
        <v/>
      </c>
      <c r="C170" s="16">
        <f>E6</f>
        <v/>
      </c>
      <c r="D170" s="16">
        <f>-IPMT(E4,159,E5,B4)</f>
        <v/>
      </c>
      <c r="E170" s="16">
        <f>-PPMT(E4,159,E5,B4)</f>
        <v/>
      </c>
      <c r="F170" s="16">
        <f>B170-E170</f>
        <v/>
      </c>
    </row>
    <row r="171">
      <c r="A171" s="15" t="n">
        <v>160</v>
      </c>
      <c r="B171" s="16">
        <f>F170</f>
        <v/>
      </c>
      <c r="C171" s="16">
        <f>E6</f>
        <v/>
      </c>
      <c r="D171" s="16">
        <f>-IPMT(E4,160,E5,B4)</f>
        <v/>
      </c>
      <c r="E171" s="16">
        <f>-PPMT(E4,160,E5,B4)</f>
        <v/>
      </c>
      <c r="F171" s="16">
        <f>B171-E171</f>
        <v/>
      </c>
    </row>
    <row r="172">
      <c r="A172" s="15" t="n">
        <v>161</v>
      </c>
      <c r="B172" s="16">
        <f>F171</f>
        <v/>
      </c>
      <c r="C172" s="16">
        <f>E6</f>
        <v/>
      </c>
      <c r="D172" s="16">
        <f>-IPMT(E4,161,E5,B4)</f>
        <v/>
      </c>
      <c r="E172" s="16">
        <f>-PPMT(E4,161,E5,B4)</f>
        <v/>
      </c>
      <c r="F172" s="16">
        <f>B172-E172</f>
        <v/>
      </c>
    </row>
    <row r="173">
      <c r="A173" s="15" t="n">
        <v>162</v>
      </c>
      <c r="B173" s="16">
        <f>F172</f>
        <v/>
      </c>
      <c r="C173" s="16">
        <f>E6</f>
        <v/>
      </c>
      <c r="D173" s="16">
        <f>-IPMT(E4,162,E5,B4)</f>
        <v/>
      </c>
      <c r="E173" s="16">
        <f>-PPMT(E4,162,E5,B4)</f>
        <v/>
      </c>
      <c r="F173" s="16">
        <f>B173-E173</f>
        <v/>
      </c>
    </row>
    <row r="174">
      <c r="A174" s="15" t="n">
        <v>163</v>
      </c>
      <c r="B174" s="16">
        <f>F173</f>
        <v/>
      </c>
      <c r="C174" s="16">
        <f>E6</f>
        <v/>
      </c>
      <c r="D174" s="16">
        <f>-IPMT(E4,163,E5,B4)</f>
        <v/>
      </c>
      <c r="E174" s="16">
        <f>-PPMT(E4,163,E5,B4)</f>
        <v/>
      </c>
      <c r="F174" s="16">
        <f>B174-E174</f>
        <v/>
      </c>
    </row>
    <row r="175">
      <c r="A175" s="15" t="n">
        <v>164</v>
      </c>
      <c r="B175" s="16">
        <f>F174</f>
        <v/>
      </c>
      <c r="C175" s="16">
        <f>E6</f>
        <v/>
      </c>
      <c r="D175" s="16">
        <f>-IPMT(E4,164,E5,B4)</f>
        <v/>
      </c>
      <c r="E175" s="16">
        <f>-PPMT(E4,164,E5,B4)</f>
        <v/>
      </c>
      <c r="F175" s="16">
        <f>B175-E175</f>
        <v/>
      </c>
    </row>
    <row r="176">
      <c r="A176" s="15" t="n">
        <v>165</v>
      </c>
      <c r="B176" s="16">
        <f>F175</f>
        <v/>
      </c>
      <c r="C176" s="16">
        <f>E6</f>
        <v/>
      </c>
      <c r="D176" s="16">
        <f>-IPMT(E4,165,E5,B4)</f>
        <v/>
      </c>
      <c r="E176" s="16">
        <f>-PPMT(E4,165,E5,B4)</f>
        <v/>
      </c>
      <c r="F176" s="16">
        <f>B176-E176</f>
        <v/>
      </c>
    </row>
    <row r="177">
      <c r="A177" s="15" t="n">
        <v>166</v>
      </c>
      <c r="B177" s="16">
        <f>F176</f>
        <v/>
      </c>
      <c r="C177" s="16">
        <f>E6</f>
        <v/>
      </c>
      <c r="D177" s="16">
        <f>-IPMT(E4,166,E5,B4)</f>
        <v/>
      </c>
      <c r="E177" s="16">
        <f>-PPMT(E4,166,E5,B4)</f>
        <v/>
      </c>
      <c r="F177" s="16">
        <f>B177-E177</f>
        <v/>
      </c>
    </row>
    <row r="178">
      <c r="A178" s="15" t="n">
        <v>167</v>
      </c>
      <c r="B178" s="16">
        <f>F177</f>
        <v/>
      </c>
      <c r="C178" s="16">
        <f>E6</f>
        <v/>
      </c>
      <c r="D178" s="16">
        <f>-IPMT(E4,167,E5,B4)</f>
        <v/>
      </c>
      <c r="E178" s="16">
        <f>-PPMT(E4,167,E5,B4)</f>
        <v/>
      </c>
      <c r="F178" s="16">
        <f>B178-E178</f>
        <v/>
      </c>
    </row>
    <row r="179">
      <c r="A179" s="15" t="n">
        <v>168</v>
      </c>
      <c r="B179" s="16">
        <f>F178</f>
        <v/>
      </c>
      <c r="C179" s="16">
        <f>E6</f>
        <v/>
      </c>
      <c r="D179" s="16">
        <f>-IPMT(E4,168,E5,B4)</f>
        <v/>
      </c>
      <c r="E179" s="16">
        <f>-PPMT(E4,168,E5,B4)</f>
        <v/>
      </c>
      <c r="F179" s="16">
        <f>B179-E179</f>
        <v/>
      </c>
    </row>
    <row r="180">
      <c r="A180" s="15" t="n">
        <v>169</v>
      </c>
      <c r="B180" s="16">
        <f>F179</f>
        <v/>
      </c>
      <c r="C180" s="16">
        <f>E6</f>
        <v/>
      </c>
      <c r="D180" s="16">
        <f>-IPMT(E4,169,E5,B4)</f>
        <v/>
      </c>
      <c r="E180" s="16">
        <f>-PPMT(E4,169,E5,B4)</f>
        <v/>
      </c>
      <c r="F180" s="16">
        <f>B180-E180</f>
        <v/>
      </c>
    </row>
    <row r="181">
      <c r="A181" s="15" t="n">
        <v>170</v>
      </c>
      <c r="B181" s="16">
        <f>F180</f>
        <v/>
      </c>
      <c r="C181" s="16">
        <f>E6</f>
        <v/>
      </c>
      <c r="D181" s="16">
        <f>-IPMT(E4,170,E5,B4)</f>
        <v/>
      </c>
      <c r="E181" s="16">
        <f>-PPMT(E4,170,E5,B4)</f>
        <v/>
      </c>
      <c r="F181" s="16">
        <f>B181-E181</f>
        <v/>
      </c>
    </row>
    <row r="182">
      <c r="A182" s="15" t="n">
        <v>171</v>
      </c>
      <c r="B182" s="16">
        <f>F181</f>
        <v/>
      </c>
      <c r="C182" s="16">
        <f>E6</f>
        <v/>
      </c>
      <c r="D182" s="16">
        <f>-IPMT(E4,171,E5,B4)</f>
        <v/>
      </c>
      <c r="E182" s="16">
        <f>-PPMT(E4,171,E5,B4)</f>
        <v/>
      </c>
      <c r="F182" s="16">
        <f>B182-E182</f>
        <v/>
      </c>
    </row>
    <row r="183">
      <c r="A183" s="15" t="n">
        <v>172</v>
      </c>
      <c r="B183" s="16">
        <f>F182</f>
        <v/>
      </c>
      <c r="C183" s="16">
        <f>E6</f>
        <v/>
      </c>
      <c r="D183" s="16">
        <f>-IPMT(E4,172,E5,B4)</f>
        <v/>
      </c>
      <c r="E183" s="16">
        <f>-PPMT(E4,172,E5,B4)</f>
        <v/>
      </c>
      <c r="F183" s="16">
        <f>B183-E183</f>
        <v/>
      </c>
    </row>
    <row r="184">
      <c r="A184" s="15" t="n">
        <v>173</v>
      </c>
      <c r="B184" s="16">
        <f>F183</f>
        <v/>
      </c>
      <c r="C184" s="16">
        <f>E6</f>
        <v/>
      </c>
      <c r="D184" s="16">
        <f>-IPMT(E4,173,E5,B4)</f>
        <v/>
      </c>
      <c r="E184" s="16">
        <f>-PPMT(E4,173,E5,B4)</f>
        <v/>
      </c>
      <c r="F184" s="16">
        <f>B184-E184</f>
        <v/>
      </c>
    </row>
    <row r="185">
      <c r="A185" s="15" t="n">
        <v>174</v>
      </c>
      <c r="B185" s="16">
        <f>F184</f>
        <v/>
      </c>
      <c r="C185" s="16">
        <f>E6</f>
        <v/>
      </c>
      <c r="D185" s="16">
        <f>-IPMT(E4,174,E5,B4)</f>
        <v/>
      </c>
      <c r="E185" s="16">
        <f>-PPMT(E4,174,E5,B4)</f>
        <v/>
      </c>
      <c r="F185" s="16">
        <f>B185-E185</f>
        <v/>
      </c>
    </row>
    <row r="186">
      <c r="A186" s="15" t="n">
        <v>175</v>
      </c>
      <c r="B186" s="16">
        <f>F185</f>
        <v/>
      </c>
      <c r="C186" s="16">
        <f>E6</f>
        <v/>
      </c>
      <c r="D186" s="16">
        <f>-IPMT(E4,175,E5,B4)</f>
        <v/>
      </c>
      <c r="E186" s="16">
        <f>-PPMT(E4,175,E5,B4)</f>
        <v/>
      </c>
      <c r="F186" s="16">
        <f>B186-E186</f>
        <v/>
      </c>
    </row>
    <row r="187">
      <c r="A187" s="15" t="n">
        <v>176</v>
      </c>
      <c r="B187" s="16">
        <f>F186</f>
        <v/>
      </c>
      <c r="C187" s="16">
        <f>E6</f>
        <v/>
      </c>
      <c r="D187" s="16">
        <f>-IPMT(E4,176,E5,B4)</f>
        <v/>
      </c>
      <c r="E187" s="16">
        <f>-PPMT(E4,176,E5,B4)</f>
        <v/>
      </c>
      <c r="F187" s="16">
        <f>B187-E187</f>
        <v/>
      </c>
    </row>
    <row r="188">
      <c r="A188" s="15" t="n">
        <v>177</v>
      </c>
      <c r="B188" s="16">
        <f>F187</f>
        <v/>
      </c>
      <c r="C188" s="16">
        <f>E6</f>
        <v/>
      </c>
      <c r="D188" s="16">
        <f>-IPMT(E4,177,E5,B4)</f>
        <v/>
      </c>
      <c r="E188" s="16">
        <f>-PPMT(E4,177,E5,B4)</f>
        <v/>
      </c>
      <c r="F188" s="16">
        <f>B188-E188</f>
        <v/>
      </c>
    </row>
    <row r="189">
      <c r="A189" s="15" t="n">
        <v>178</v>
      </c>
      <c r="B189" s="16">
        <f>F188</f>
        <v/>
      </c>
      <c r="C189" s="16">
        <f>E6</f>
        <v/>
      </c>
      <c r="D189" s="16">
        <f>-IPMT(E4,178,E5,B4)</f>
        <v/>
      </c>
      <c r="E189" s="16">
        <f>-PPMT(E4,178,E5,B4)</f>
        <v/>
      </c>
      <c r="F189" s="16">
        <f>B189-E189</f>
        <v/>
      </c>
    </row>
    <row r="190">
      <c r="A190" s="15" t="n">
        <v>179</v>
      </c>
      <c r="B190" s="16">
        <f>F189</f>
        <v/>
      </c>
      <c r="C190" s="16">
        <f>E6</f>
        <v/>
      </c>
      <c r="D190" s="16">
        <f>-IPMT(E4,179,E5,B4)</f>
        <v/>
      </c>
      <c r="E190" s="16">
        <f>-PPMT(E4,179,E5,B4)</f>
        <v/>
      </c>
      <c r="F190" s="16">
        <f>B190-E190</f>
        <v/>
      </c>
    </row>
    <row r="191">
      <c r="A191" s="15" t="n">
        <v>180</v>
      </c>
      <c r="B191" s="16">
        <f>F190</f>
        <v/>
      </c>
      <c r="C191" s="16">
        <f>E6</f>
        <v/>
      </c>
      <c r="D191" s="16">
        <f>-IPMT(E4,180,E5,B4)</f>
        <v/>
      </c>
      <c r="E191" s="16">
        <f>-PPMT(E4,180,E5,B4)</f>
        <v/>
      </c>
      <c r="F191" s="16">
        <f>B191-E191</f>
        <v/>
      </c>
    </row>
    <row r="192">
      <c r="A192" s="15" t="n">
        <v>181</v>
      </c>
      <c r="B192" s="16">
        <f>F191</f>
        <v/>
      </c>
      <c r="C192" s="16">
        <f>E6</f>
        <v/>
      </c>
      <c r="D192" s="16">
        <f>-IPMT(E4,181,E5,B4)</f>
        <v/>
      </c>
      <c r="E192" s="16">
        <f>-PPMT(E4,181,E5,B4)</f>
        <v/>
      </c>
      <c r="F192" s="16">
        <f>B192-E192</f>
        <v/>
      </c>
    </row>
    <row r="193">
      <c r="A193" s="15" t="n">
        <v>182</v>
      </c>
      <c r="B193" s="16">
        <f>F192</f>
        <v/>
      </c>
      <c r="C193" s="16">
        <f>E6</f>
        <v/>
      </c>
      <c r="D193" s="16">
        <f>-IPMT(E4,182,E5,B4)</f>
        <v/>
      </c>
      <c r="E193" s="16">
        <f>-PPMT(E4,182,E5,B4)</f>
        <v/>
      </c>
      <c r="F193" s="16">
        <f>B193-E193</f>
        <v/>
      </c>
    </row>
    <row r="194">
      <c r="A194" s="15" t="n">
        <v>183</v>
      </c>
      <c r="B194" s="16">
        <f>F193</f>
        <v/>
      </c>
      <c r="C194" s="16">
        <f>E6</f>
        <v/>
      </c>
      <c r="D194" s="16">
        <f>-IPMT(E4,183,E5,B4)</f>
        <v/>
      </c>
      <c r="E194" s="16">
        <f>-PPMT(E4,183,E5,B4)</f>
        <v/>
      </c>
      <c r="F194" s="16">
        <f>B194-E194</f>
        <v/>
      </c>
    </row>
    <row r="195">
      <c r="A195" s="15" t="n">
        <v>184</v>
      </c>
      <c r="B195" s="16">
        <f>F194</f>
        <v/>
      </c>
      <c r="C195" s="16">
        <f>E6</f>
        <v/>
      </c>
      <c r="D195" s="16">
        <f>-IPMT(E4,184,E5,B4)</f>
        <v/>
      </c>
      <c r="E195" s="16">
        <f>-PPMT(E4,184,E5,B4)</f>
        <v/>
      </c>
      <c r="F195" s="16">
        <f>B195-E195</f>
        <v/>
      </c>
    </row>
    <row r="196">
      <c r="A196" s="15" t="n">
        <v>185</v>
      </c>
      <c r="B196" s="16">
        <f>F195</f>
        <v/>
      </c>
      <c r="C196" s="16">
        <f>E6</f>
        <v/>
      </c>
      <c r="D196" s="16">
        <f>-IPMT(E4,185,E5,B4)</f>
        <v/>
      </c>
      <c r="E196" s="16">
        <f>-PPMT(E4,185,E5,B4)</f>
        <v/>
      </c>
      <c r="F196" s="16">
        <f>B196-E196</f>
        <v/>
      </c>
    </row>
    <row r="197">
      <c r="A197" s="15" t="n">
        <v>186</v>
      </c>
      <c r="B197" s="16">
        <f>F196</f>
        <v/>
      </c>
      <c r="C197" s="16">
        <f>E6</f>
        <v/>
      </c>
      <c r="D197" s="16">
        <f>-IPMT(E4,186,E5,B4)</f>
        <v/>
      </c>
      <c r="E197" s="16">
        <f>-PPMT(E4,186,E5,B4)</f>
        <v/>
      </c>
      <c r="F197" s="16">
        <f>B197-E197</f>
        <v/>
      </c>
    </row>
    <row r="198">
      <c r="A198" s="15" t="n">
        <v>187</v>
      </c>
      <c r="B198" s="16">
        <f>F197</f>
        <v/>
      </c>
      <c r="C198" s="16">
        <f>E6</f>
        <v/>
      </c>
      <c r="D198" s="16">
        <f>-IPMT(E4,187,E5,B4)</f>
        <v/>
      </c>
      <c r="E198" s="16">
        <f>-PPMT(E4,187,E5,B4)</f>
        <v/>
      </c>
      <c r="F198" s="16">
        <f>B198-E198</f>
        <v/>
      </c>
    </row>
    <row r="199">
      <c r="A199" s="15" t="n">
        <v>188</v>
      </c>
      <c r="B199" s="16">
        <f>F198</f>
        <v/>
      </c>
      <c r="C199" s="16">
        <f>E6</f>
        <v/>
      </c>
      <c r="D199" s="16">
        <f>-IPMT(E4,188,E5,B4)</f>
        <v/>
      </c>
      <c r="E199" s="16">
        <f>-PPMT(E4,188,E5,B4)</f>
        <v/>
      </c>
      <c r="F199" s="16">
        <f>B199-E199</f>
        <v/>
      </c>
    </row>
    <row r="200">
      <c r="A200" s="15" t="n">
        <v>189</v>
      </c>
      <c r="B200" s="16">
        <f>F199</f>
        <v/>
      </c>
      <c r="C200" s="16">
        <f>E6</f>
        <v/>
      </c>
      <c r="D200" s="16">
        <f>-IPMT(E4,189,E5,B4)</f>
        <v/>
      </c>
      <c r="E200" s="16">
        <f>-PPMT(E4,189,E5,B4)</f>
        <v/>
      </c>
      <c r="F200" s="16">
        <f>B200-E200</f>
        <v/>
      </c>
    </row>
    <row r="201">
      <c r="A201" s="15" t="n">
        <v>190</v>
      </c>
      <c r="B201" s="16">
        <f>F200</f>
        <v/>
      </c>
      <c r="C201" s="16">
        <f>E6</f>
        <v/>
      </c>
      <c r="D201" s="16">
        <f>-IPMT(E4,190,E5,B4)</f>
        <v/>
      </c>
      <c r="E201" s="16">
        <f>-PPMT(E4,190,E5,B4)</f>
        <v/>
      </c>
      <c r="F201" s="16">
        <f>B201-E201</f>
        <v/>
      </c>
    </row>
    <row r="202">
      <c r="A202" s="15" t="n">
        <v>191</v>
      </c>
      <c r="B202" s="16">
        <f>F201</f>
        <v/>
      </c>
      <c r="C202" s="16">
        <f>E6</f>
        <v/>
      </c>
      <c r="D202" s="16">
        <f>-IPMT(E4,191,E5,B4)</f>
        <v/>
      </c>
      <c r="E202" s="16">
        <f>-PPMT(E4,191,E5,B4)</f>
        <v/>
      </c>
      <c r="F202" s="16">
        <f>B202-E202</f>
        <v/>
      </c>
    </row>
    <row r="203">
      <c r="A203" s="15" t="n">
        <v>192</v>
      </c>
      <c r="B203" s="16">
        <f>F202</f>
        <v/>
      </c>
      <c r="C203" s="16">
        <f>E6</f>
        <v/>
      </c>
      <c r="D203" s="16">
        <f>-IPMT(E4,192,E5,B4)</f>
        <v/>
      </c>
      <c r="E203" s="16">
        <f>-PPMT(E4,192,E5,B4)</f>
        <v/>
      </c>
      <c r="F203" s="16">
        <f>B203-E203</f>
        <v/>
      </c>
    </row>
    <row r="204">
      <c r="A204" s="15" t="n">
        <v>193</v>
      </c>
      <c r="B204" s="16">
        <f>F203</f>
        <v/>
      </c>
      <c r="C204" s="16">
        <f>E6</f>
        <v/>
      </c>
      <c r="D204" s="16">
        <f>-IPMT(E4,193,E5,B4)</f>
        <v/>
      </c>
      <c r="E204" s="16">
        <f>-PPMT(E4,193,E5,B4)</f>
        <v/>
      </c>
      <c r="F204" s="16">
        <f>B204-E204</f>
        <v/>
      </c>
    </row>
    <row r="205">
      <c r="A205" s="15" t="n">
        <v>194</v>
      </c>
      <c r="B205" s="16">
        <f>F204</f>
        <v/>
      </c>
      <c r="C205" s="16">
        <f>E6</f>
        <v/>
      </c>
      <c r="D205" s="16">
        <f>-IPMT(E4,194,E5,B4)</f>
        <v/>
      </c>
      <c r="E205" s="16">
        <f>-PPMT(E4,194,E5,B4)</f>
        <v/>
      </c>
      <c r="F205" s="16">
        <f>B205-E205</f>
        <v/>
      </c>
    </row>
    <row r="206">
      <c r="A206" s="15" t="n">
        <v>195</v>
      </c>
      <c r="B206" s="16">
        <f>F205</f>
        <v/>
      </c>
      <c r="C206" s="16">
        <f>E6</f>
        <v/>
      </c>
      <c r="D206" s="16">
        <f>-IPMT(E4,195,E5,B4)</f>
        <v/>
      </c>
      <c r="E206" s="16">
        <f>-PPMT(E4,195,E5,B4)</f>
        <v/>
      </c>
      <c r="F206" s="16">
        <f>B206-E206</f>
        <v/>
      </c>
    </row>
    <row r="207">
      <c r="A207" s="15" t="n">
        <v>196</v>
      </c>
      <c r="B207" s="16">
        <f>F206</f>
        <v/>
      </c>
      <c r="C207" s="16">
        <f>E6</f>
        <v/>
      </c>
      <c r="D207" s="16">
        <f>-IPMT(E4,196,E5,B4)</f>
        <v/>
      </c>
      <c r="E207" s="16">
        <f>-PPMT(E4,196,E5,B4)</f>
        <v/>
      </c>
      <c r="F207" s="16">
        <f>B207-E207</f>
        <v/>
      </c>
    </row>
    <row r="208">
      <c r="A208" s="15" t="n">
        <v>197</v>
      </c>
      <c r="B208" s="16">
        <f>F207</f>
        <v/>
      </c>
      <c r="C208" s="16">
        <f>E6</f>
        <v/>
      </c>
      <c r="D208" s="16">
        <f>-IPMT(E4,197,E5,B4)</f>
        <v/>
      </c>
      <c r="E208" s="16">
        <f>-PPMT(E4,197,E5,B4)</f>
        <v/>
      </c>
      <c r="F208" s="16">
        <f>B208-E208</f>
        <v/>
      </c>
    </row>
    <row r="209">
      <c r="A209" s="15" t="n">
        <v>198</v>
      </c>
      <c r="B209" s="16">
        <f>F208</f>
        <v/>
      </c>
      <c r="C209" s="16">
        <f>E6</f>
        <v/>
      </c>
      <c r="D209" s="16">
        <f>-IPMT(E4,198,E5,B4)</f>
        <v/>
      </c>
      <c r="E209" s="16">
        <f>-PPMT(E4,198,E5,B4)</f>
        <v/>
      </c>
      <c r="F209" s="16">
        <f>B209-E209</f>
        <v/>
      </c>
    </row>
    <row r="210">
      <c r="A210" s="15" t="n">
        <v>199</v>
      </c>
      <c r="B210" s="16">
        <f>F209</f>
        <v/>
      </c>
      <c r="C210" s="16">
        <f>E6</f>
        <v/>
      </c>
      <c r="D210" s="16">
        <f>-IPMT(E4,199,E5,B4)</f>
        <v/>
      </c>
      <c r="E210" s="16">
        <f>-PPMT(E4,199,E5,B4)</f>
        <v/>
      </c>
      <c r="F210" s="16">
        <f>B210-E210</f>
        <v/>
      </c>
    </row>
    <row r="211">
      <c r="A211" s="15" t="n">
        <v>200</v>
      </c>
      <c r="B211" s="16">
        <f>F210</f>
        <v/>
      </c>
      <c r="C211" s="16">
        <f>E6</f>
        <v/>
      </c>
      <c r="D211" s="16">
        <f>-IPMT(E4,200,E5,B4)</f>
        <v/>
      </c>
      <c r="E211" s="16">
        <f>-PPMT(E4,200,E5,B4)</f>
        <v/>
      </c>
      <c r="F211" s="16">
        <f>B211-E211</f>
        <v/>
      </c>
    </row>
    <row r="212">
      <c r="A212" s="15" t="n">
        <v>201</v>
      </c>
      <c r="B212" s="16">
        <f>F211</f>
        <v/>
      </c>
      <c r="C212" s="16">
        <f>E6</f>
        <v/>
      </c>
      <c r="D212" s="16">
        <f>-IPMT(E4,201,E5,B4)</f>
        <v/>
      </c>
      <c r="E212" s="16">
        <f>-PPMT(E4,201,E5,B4)</f>
        <v/>
      </c>
      <c r="F212" s="16">
        <f>B212-E212</f>
        <v/>
      </c>
    </row>
    <row r="213">
      <c r="A213" s="15" t="n">
        <v>202</v>
      </c>
      <c r="B213" s="16">
        <f>F212</f>
        <v/>
      </c>
      <c r="C213" s="16">
        <f>E6</f>
        <v/>
      </c>
      <c r="D213" s="16">
        <f>-IPMT(E4,202,E5,B4)</f>
        <v/>
      </c>
      <c r="E213" s="16">
        <f>-PPMT(E4,202,E5,B4)</f>
        <v/>
      </c>
      <c r="F213" s="16">
        <f>B213-E213</f>
        <v/>
      </c>
    </row>
    <row r="214">
      <c r="A214" s="15" t="n">
        <v>203</v>
      </c>
      <c r="B214" s="16">
        <f>F213</f>
        <v/>
      </c>
      <c r="C214" s="16">
        <f>E6</f>
        <v/>
      </c>
      <c r="D214" s="16">
        <f>-IPMT(E4,203,E5,B4)</f>
        <v/>
      </c>
      <c r="E214" s="16">
        <f>-PPMT(E4,203,E5,B4)</f>
        <v/>
      </c>
      <c r="F214" s="16">
        <f>B214-E214</f>
        <v/>
      </c>
    </row>
    <row r="215">
      <c r="A215" s="15" t="n">
        <v>204</v>
      </c>
      <c r="B215" s="16">
        <f>F214</f>
        <v/>
      </c>
      <c r="C215" s="16">
        <f>E6</f>
        <v/>
      </c>
      <c r="D215" s="16">
        <f>-IPMT(E4,204,E5,B4)</f>
        <v/>
      </c>
      <c r="E215" s="16">
        <f>-PPMT(E4,204,E5,B4)</f>
        <v/>
      </c>
      <c r="F215" s="16">
        <f>B215-E215</f>
        <v/>
      </c>
    </row>
    <row r="216">
      <c r="A216" s="15" t="n">
        <v>205</v>
      </c>
      <c r="B216" s="16">
        <f>F215</f>
        <v/>
      </c>
      <c r="C216" s="16">
        <f>E6</f>
        <v/>
      </c>
      <c r="D216" s="16">
        <f>-IPMT(E4,205,E5,B4)</f>
        <v/>
      </c>
      <c r="E216" s="16">
        <f>-PPMT(E4,205,E5,B4)</f>
        <v/>
      </c>
      <c r="F216" s="16">
        <f>B216-E216</f>
        <v/>
      </c>
    </row>
    <row r="217">
      <c r="A217" s="15" t="n">
        <v>206</v>
      </c>
      <c r="B217" s="16">
        <f>F216</f>
        <v/>
      </c>
      <c r="C217" s="16">
        <f>E6</f>
        <v/>
      </c>
      <c r="D217" s="16">
        <f>-IPMT(E4,206,E5,B4)</f>
        <v/>
      </c>
      <c r="E217" s="16">
        <f>-PPMT(E4,206,E5,B4)</f>
        <v/>
      </c>
      <c r="F217" s="16">
        <f>B217-E217</f>
        <v/>
      </c>
    </row>
    <row r="218">
      <c r="A218" s="15" t="n">
        <v>207</v>
      </c>
      <c r="B218" s="16">
        <f>F217</f>
        <v/>
      </c>
      <c r="C218" s="16">
        <f>E6</f>
        <v/>
      </c>
      <c r="D218" s="16">
        <f>-IPMT(E4,207,E5,B4)</f>
        <v/>
      </c>
      <c r="E218" s="16">
        <f>-PPMT(E4,207,E5,B4)</f>
        <v/>
      </c>
      <c r="F218" s="16">
        <f>B218-E218</f>
        <v/>
      </c>
    </row>
    <row r="219">
      <c r="A219" s="15" t="n">
        <v>208</v>
      </c>
      <c r="B219" s="16">
        <f>F218</f>
        <v/>
      </c>
      <c r="C219" s="16">
        <f>E6</f>
        <v/>
      </c>
      <c r="D219" s="16">
        <f>-IPMT(E4,208,E5,B4)</f>
        <v/>
      </c>
      <c r="E219" s="16">
        <f>-PPMT(E4,208,E5,B4)</f>
        <v/>
      </c>
      <c r="F219" s="16">
        <f>B219-E219</f>
        <v/>
      </c>
    </row>
    <row r="220">
      <c r="A220" s="15" t="n">
        <v>209</v>
      </c>
      <c r="B220" s="16">
        <f>F219</f>
        <v/>
      </c>
      <c r="C220" s="16">
        <f>E6</f>
        <v/>
      </c>
      <c r="D220" s="16">
        <f>-IPMT(E4,209,E5,B4)</f>
        <v/>
      </c>
      <c r="E220" s="16">
        <f>-PPMT(E4,209,E5,B4)</f>
        <v/>
      </c>
      <c r="F220" s="16">
        <f>B220-E220</f>
        <v/>
      </c>
    </row>
    <row r="221">
      <c r="A221" s="15" t="n">
        <v>210</v>
      </c>
      <c r="B221" s="16">
        <f>F220</f>
        <v/>
      </c>
      <c r="C221" s="16">
        <f>E6</f>
        <v/>
      </c>
      <c r="D221" s="16">
        <f>-IPMT(E4,210,E5,B4)</f>
        <v/>
      </c>
      <c r="E221" s="16">
        <f>-PPMT(E4,210,E5,B4)</f>
        <v/>
      </c>
      <c r="F221" s="16">
        <f>B221-E221</f>
        <v/>
      </c>
    </row>
    <row r="222">
      <c r="A222" s="15" t="n">
        <v>211</v>
      </c>
      <c r="B222" s="16">
        <f>F221</f>
        <v/>
      </c>
      <c r="C222" s="16">
        <f>E6</f>
        <v/>
      </c>
      <c r="D222" s="16">
        <f>-IPMT(E4,211,E5,B4)</f>
        <v/>
      </c>
      <c r="E222" s="16">
        <f>-PPMT(E4,211,E5,B4)</f>
        <v/>
      </c>
      <c r="F222" s="16">
        <f>B222-E222</f>
        <v/>
      </c>
    </row>
    <row r="223">
      <c r="A223" s="15" t="n">
        <v>212</v>
      </c>
      <c r="B223" s="16">
        <f>F222</f>
        <v/>
      </c>
      <c r="C223" s="16">
        <f>E6</f>
        <v/>
      </c>
      <c r="D223" s="16">
        <f>-IPMT(E4,212,E5,B4)</f>
        <v/>
      </c>
      <c r="E223" s="16">
        <f>-PPMT(E4,212,E5,B4)</f>
        <v/>
      </c>
      <c r="F223" s="16">
        <f>B223-E223</f>
        <v/>
      </c>
    </row>
    <row r="224">
      <c r="A224" s="15" t="n">
        <v>213</v>
      </c>
      <c r="B224" s="16">
        <f>F223</f>
        <v/>
      </c>
      <c r="C224" s="16">
        <f>E6</f>
        <v/>
      </c>
      <c r="D224" s="16">
        <f>-IPMT(E4,213,E5,B4)</f>
        <v/>
      </c>
      <c r="E224" s="16">
        <f>-PPMT(E4,213,E5,B4)</f>
        <v/>
      </c>
      <c r="F224" s="16">
        <f>B224-E224</f>
        <v/>
      </c>
    </row>
    <row r="225">
      <c r="A225" s="15" t="n">
        <v>214</v>
      </c>
      <c r="B225" s="16">
        <f>F224</f>
        <v/>
      </c>
      <c r="C225" s="16">
        <f>E6</f>
        <v/>
      </c>
      <c r="D225" s="16">
        <f>-IPMT(E4,214,E5,B4)</f>
        <v/>
      </c>
      <c r="E225" s="16">
        <f>-PPMT(E4,214,E5,B4)</f>
        <v/>
      </c>
      <c r="F225" s="16">
        <f>B225-E225</f>
        <v/>
      </c>
    </row>
    <row r="226">
      <c r="A226" s="15" t="n">
        <v>215</v>
      </c>
      <c r="B226" s="16">
        <f>F225</f>
        <v/>
      </c>
      <c r="C226" s="16">
        <f>E6</f>
        <v/>
      </c>
      <c r="D226" s="16">
        <f>-IPMT(E4,215,E5,B4)</f>
        <v/>
      </c>
      <c r="E226" s="16">
        <f>-PPMT(E4,215,E5,B4)</f>
        <v/>
      </c>
      <c r="F226" s="16">
        <f>B226-E226</f>
        <v/>
      </c>
    </row>
    <row r="227">
      <c r="A227" s="15" t="n">
        <v>216</v>
      </c>
      <c r="B227" s="16">
        <f>F226</f>
        <v/>
      </c>
      <c r="C227" s="16">
        <f>E6</f>
        <v/>
      </c>
      <c r="D227" s="16">
        <f>-IPMT(E4,216,E5,B4)</f>
        <v/>
      </c>
      <c r="E227" s="16">
        <f>-PPMT(E4,216,E5,B4)</f>
        <v/>
      </c>
      <c r="F227" s="16">
        <f>B227-E227</f>
        <v/>
      </c>
    </row>
    <row r="228">
      <c r="A228" s="15" t="n">
        <v>217</v>
      </c>
      <c r="B228" s="16">
        <f>F227</f>
        <v/>
      </c>
      <c r="C228" s="16">
        <f>E6</f>
        <v/>
      </c>
      <c r="D228" s="16">
        <f>-IPMT(E4,217,E5,B4)</f>
        <v/>
      </c>
      <c r="E228" s="16">
        <f>-PPMT(E4,217,E5,B4)</f>
        <v/>
      </c>
      <c r="F228" s="16">
        <f>B228-E228</f>
        <v/>
      </c>
    </row>
    <row r="229">
      <c r="A229" s="15" t="n">
        <v>218</v>
      </c>
      <c r="B229" s="16">
        <f>F228</f>
        <v/>
      </c>
      <c r="C229" s="16">
        <f>E6</f>
        <v/>
      </c>
      <c r="D229" s="16">
        <f>-IPMT(E4,218,E5,B4)</f>
        <v/>
      </c>
      <c r="E229" s="16">
        <f>-PPMT(E4,218,E5,B4)</f>
        <v/>
      </c>
      <c r="F229" s="16">
        <f>B229-E229</f>
        <v/>
      </c>
    </row>
    <row r="230">
      <c r="A230" s="15" t="n">
        <v>219</v>
      </c>
      <c r="B230" s="16">
        <f>F229</f>
        <v/>
      </c>
      <c r="C230" s="16">
        <f>E6</f>
        <v/>
      </c>
      <c r="D230" s="16">
        <f>-IPMT(E4,219,E5,B4)</f>
        <v/>
      </c>
      <c r="E230" s="16">
        <f>-PPMT(E4,219,E5,B4)</f>
        <v/>
      </c>
      <c r="F230" s="16">
        <f>B230-E230</f>
        <v/>
      </c>
    </row>
    <row r="231">
      <c r="A231" s="15" t="n">
        <v>220</v>
      </c>
      <c r="B231" s="16">
        <f>F230</f>
        <v/>
      </c>
      <c r="C231" s="16">
        <f>E6</f>
        <v/>
      </c>
      <c r="D231" s="16">
        <f>-IPMT(E4,220,E5,B4)</f>
        <v/>
      </c>
      <c r="E231" s="16">
        <f>-PPMT(E4,220,E5,B4)</f>
        <v/>
      </c>
      <c r="F231" s="16">
        <f>B231-E231</f>
        <v/>
      </c>
    </row>
    <row r="232">
      <c r="A232" s="15" t="n">
        <v>221</v>
      </c>
      <c r="B232" s="16">
        <f>F231</f>
        <v/>
      </c>
      <c r="C232" s="16">
        <f>E6</f>
        <v/>
      </c>
      <c r="D232" s="16">
        <f>-IPMT(E4,221,E5,B4)</f>
        <v/>
      </c>
      <c r="E232" s="16">
        <f>-PPMT(E4,221,E5,B4)</f>
        <v/>
      </c>
      <c r="F232" s="16">
        <f>B232-E232</f>
        <v/>
      </c>
    </row>
    <row r="233">
      <c r="A233" s="15" t="n">
        <v>222</v>
      </c>
      <c r="B233" s="16">
        <f>F232</f>
        <v/>
      </c>
      <c r="C233" s="16">
        <f>E6</f>
        <v/>
      </c>
      <c r="D233" s="16">
        <f>-IPMT(E4,222,E5,B4)</f>
        <v/>
      </c>
      <c r="E233" s="16">
        <f>-PPMT(E4,222,E5,B4)</f>
        <v/>
      </c>
      <c r="F233" s="16">
        <f>B233-E233</f>
        <v/>
      </c>
    </row>
    <row r="234">
      <c r="A234" s="15" t="n">
        <v>223</v>
      </c>
      <c r="B234" s="16">
        <f>F233</f>
        <v/>
      </c>
      <c r="C234" s="16">
        <f>E6</f>
        <v/>
      </c>
      <c r="D234" s="16">
        <f>-IPMT(E4,223,E5,B4)</f>
        <v/>
      </c>
      <c r="E234" s="16">
        <f>-PPMT(E4,223,E5,B4)</f>
        <v/>
      </c>
      <c r="F234" s="16">
        <f>B234-E234</f>
        <v/>
      </c>
    </row>
    <row r="235">
      <c r="A235" s="15" t="n">
        <v>224</v>
      </c>
      <c r="B235" s="16">
        <f>F234</f>
        <v/>
      </c>
      <c r="C235" s="16">
        <f>E6</f>
        <v/>
      </c>
      <c r="D235" s="16">
        <f>-IPMT(E4,224,E5,B4)</f>
        <v/>
      </c>
      <c r="E235" s="16">
        <f>-PPMT(E4,224,E5,B4)</f>
        <v/>
      </c>
      <c r="F235" s="16">
        <f>B235-E235</f>
        <v/>
      </c>
    </row>
    <row r="236">
      <c r="A236" s="15" t="n">
        <v>225</v>
      </c>
      <c r="B236" s="16">
        <f>F235</f>
        <v/>
      </c>
      <c r="C236" s="16">
        <f>E6</f>
        <v/>
      </c>
      <c r="D236" s="16">
        <f>-IPMT(E4,225,E5,B4)</f>
        <v/>
      </c>
      <c r="E236" s="16">
        <f>-PPMT(E4,225,E5,B4)</f>
        <v/>
      </c>
      <c r="F236" s="16">
        <f>B236-E236</f>
        <v/>
      </c>
    </row>
    <row r="237">
      <c r="A237" s="15" t="n">
        <v>226</v>
      </c>
      <c r="B237" s="16">
        <f>F236</f>
        <v/>
      </c>
      <c r="C237" s="16">
        <f>E6</f>
        <v/>
      </c>
      <c r="D237" s="16">
        <f>-IPMT(E4,226,E5,B4)</f>
        <v/>
      </c>
      <c r="E237" s="16">
        <f>-PPMT(E4,226,E5,B4)</f>
        <v/>
      </c>
      <c r="F237" s="16">
        <f>B237-E237</f>
        <v/>
      </c>
    </row>
    <row r="238">
      <c r="A238" s="15" t="n">
        <v>227</v>
      </c>
      <c r="B238" s="16">
        <f>F237</f>
        <v/>
      </c>
      <c r="C238" s="16">
        <f>E6</f>
        <v/>
      </c>
      <c r="D238" s="16">
        <f>-IPMT(E4,227,E5,B4)</f>
        <v/>
      </c>
      <c r="E238" s="16">
        <f>-PPMT(E4,227,E5,B4)</f>
        <v/>
      </c>
      <c r="F238" s="16">
        <f>B238-E238</f>
        <v/>
      </c>
    </row>
    <row r="239">
      <c r="A239" s="15" t="n">
        <v>228</v>
      </c>
      <c r="B239" s="16">
        <f>F238</f>
        <v/>
      </c>
      <c r="C239" s="16">
        <f>E6</f>
        <v/>
      </c>
      <c r="D239" s="16">
        <f>-IPMT(E4,228,E5,B4)</f>
        <v/>
      </c>
      <c r="E239" s="16">
        <f>-PPMT(E4,228,E5,B4)</f>
        <v/>
      </c>
      <c r="F239" s="16">
        <f>B239-E239</f>
        <v/>
      </c>
    </row>
    <row r="240">
      <c r="A240" s="15" t="n">
        <v>229</v>
      </c>
      <c r="B240" s="16">
        <f>F239</f>
        <v/>
      </c>
      <c r="C240" s="16">
        <f>E6</f>
        <v/>
      </c>
      <c r="D240" s="16">
        <f>-IPMT(E4,229,E5,B4)</f>
        <v/>
      </c>
      <c r="E240" s="16">
        <f>-PPMT(E4,229,E5,B4)</f>
        <v/>
      </c>
      <c r="F240" s="16">
        <f>B240-E240</f>
        <v/>
      </c>
    </row>
    <row r="241">
      <c r="A241" s="15" t="n">
        <v>230</v>
      </c>
      <c r="B241" s="16">
        <f>F240</f>
        <v/>
      </c>
      <c r="C241" s="16">
        <f>E6</f>
        <v/>
      </c>
      <c r="D241" s="16">
        <f>-IPMT(E4,230,E5,B4)</f>
        <v/>
      </c>
      <c r="E241" s="16">
        <f>-PPMT(E4,230,E5,B4)</f>
        <v/>
      </c>
      <c r="F241" s="16">
        <f>B241-E241</f>
        <v/>
      </c>
    </row>
    <row r="242">
      <c r="A242" s="15" t="n">
        <v>231</v>
      </c>
      <c r="B242" s="16">
        <f>F241</f>
        <v/>
      </c>
      <c r="C242" s="16">
        <f>E6</f>
        <v/>
      </c>
      <c r="D242" s="16">
        <f>-IPMT(E4,231,E5,B4)</f>
        <v/>
      </c>
      <c r="E242" s="16">
        <f>-PPMT(E4,231,E5,B4)</f>
        <v/>
      </c>
      <c r="F242" s="16">
        <f>B242-E242</f>
        <v/>
      </c>
    </row>
    <row r="243">
      <c r="A243" s="15" t="n">
        <v>232</v>
      </c>
      <c r="B243" s="16">
        <f>F242</f>
        <v/>
      </c>
      <c r="C243" s="16">
        <f>E6</f>
        <v/>
      </c>
      <c r="D243" s="16">
        <f>-IPMT(E4,232,E5,B4)</f>
        <v/>
      </c>
      <c r="E243" s="16">
        <f>-PPMT(E4,232,E5,B4)</f>
        <v/>
      </c>
      <c r="F243" s="16">
        <f>B243-E243</f>
        <v/>
      </c>
    </row>
    <row r="244">
      <c r="A244" s="15" t="n">
        <v>233</v>
      </c>
      <c r="B244" s="16">
        <f>F243</f>
        <v/>
      </c>
      <c r="C244" s="16">
        <f>E6</f>
        <v/>
      </c>
      <c r="D244" s="16">
        <f>-IPMT(E4,233,E5,B4)</f>
        <v/>
      </c>
      <c r="E244" s="16">
        <f>-PPMT(E4,233,E5,B4)</f>
        <v/>
      </c>
      <c r="F244" s="16">
        <f>B244-E244</f>
        <v/>
      </c>
    </row>
    <row r="245">
      <c r="A245" s="15" t="n">
        <v>234</v>
      </c>
      <c r="B245" s="16">
        <f>F244</f>
        <v/>
      </c>
      <c r="C245" s="16">
        <f>E6</f>
        <v/>
      </c>
      <c r="D245" s="16">
        <f>-IPMT(E4,234,E5,B4)</f>
        <v/>
      </c>
      <c r="E245" s="16">
        <f>-PPMT(E4,234,E5,B4)</f>
        <v/>
      </c>
      <c r="F245" s="16">
        <f>B245-E245</f>
        <v/>
      </c>
    </row>
    <row r="246">
      <c r="A246" s="15" t="n">
        <v>235</v>
      </c>
      <c r="B246" s="16">
        <f>F245</f>
        <v/>
      </c>
      <c r="C246" s="16">
        <f>E6</f>
        <v/>
      </c>
      <c r="D246" s="16">
        <f>-IPMT(E4,235,E5,B4)</f>
        <v/>
      </c>
      <c r="E246" s="16">
        <f>-PPMT(E4,235,E5,B4)</f>
        <v/>
      </c>
      <c r="F246" s="16">
        <f>B246-E246</f>
        <v/>
      </c>
    </row>
    <row r="247">
      <c r="A247" s="15" t="n">
        <v>236</v>
      </c>
      <c r="B247" s="16">
        <f>F246</f>
        <v/>
      </c>
      <c r="C247" s="16">
        <f>E6</f>
        <v/>
      </c>
      <c r="D247" s="16">
        <f>-IPMT(E4,236,E5,B4)</f>
        <v/>
      </c>
      <c r="E247" s="16">
        <f>-PPMT(E4,236,E5,B4)</f>
        <v/>
      </c>
      <c r="F247" s="16">
        <f>B247-E247</f>
        <v/>
      </c>
    </row>
    <row r="248">
      <c r="A248" s="15" t="n">
        <v>237</v>
      </c>
      <c r="B248" s="16">
        <f>F247</f>
        <v/>
      </c>
      <c r="C248" s="16">
        <f>E6</f>
        <v/>
      </c>
      <c r="D248" s="16">
        <f>-IPMT(E4,237,E5,B4)</f>
        <v/>
      </c>
      <c r="E248" s="16">
        <f>-PPMT(E4,237,E5,B4)</f>
        <v/>
      </c>
      <c r="F248" s="16">
        <f>B248-E248</f>
        <v/>
      </c>
    </row>
    <row r="249">
      <c r="A249" s="15" t="n">
        <v>238</v>
      </c>
      <c r="B249" s="16">
        <f>F248</f>
        <v/>
      </c>
      <c r="C249" s="16">
        <f>E6</f>
        <v/>
      </c>
      <c r="D249" s="16">
        <f>-IPMT(E4,238,E5,B4)</f>
        <v/>
      </c>
      <c r="E249" s="16">
        <f>-PPMT(E4,238,E5,B4)</f>
        <v/>
      </c>
      <c r="F249" s="16">
        <f>B249-E249</f>
        <v/>
      </c>
    </row>
    <row r="250">
      <c r="A250" s="15" t="n">
        <v>239</v>
      </c>
      <c r="B250" s="16">
        <f>F249</f>
        <v/>
      </c>
      <c r="C250" s="16">
        <f>E6</f>
        <v/>
      </c>
      <c r="D250" s="16">
        <f>-IPMT(E4,239,E5,B4)</f>
        <v/>
      </c>
      <c r="E250" s="16">
        <f>-PPMT(E4,239,E5,B4)</f>
        <v/>
      </c>
      <c r="F250" s="16">
        <f>B250-E250</f>
        <v/>
      </c>
    </row>
    <row r="251">
      <c r="A251" s="15" t="n">
        <v>240</v>
      </c>
      <c r="B251" s="16">
        <f>F250</f>
        <v/>
      </c>
      <c r="C251" s="16">
        <f>E6</f>
        <v/>
      </c>
      <c r="D251" s="16">
        <f>-IPMT(E4,240,E5,B4)</f>
        <v/>
      </c>
      <c r="E251" s="16">
        <f>-PPMT(E4,240,E5,B4)</f>
        <v/>
      </c>
      <c r="F251" s="16">
        <f>B251-E251</f>
        <v/>
      </c>
    </row>
    <row r="252">
      <c r="A252" s="17" t="inlineStr">
        <is>
          <t>Totals:</t>
        </is>
      </c>
      <c r="C252" s="18">
        <f>SUM(C12:C251)</f>
        <v/>
      </c>
      <c r="D252" s="18">
        <f>SUM(D12:D251)</f>
        <v/>
      </c>
      <c r="E252" s="18">
        <f>SUM(E12:E251)</f>
        <v/>
      </c>
    </row>
  </sheetData>
  <sheetProtection selectLockedCells="0" selectUnlockedCells="0" algorithmName="SHA-512" sheet="1" objects="1" insertRows="0" insertHyperlinks="1" autoFilter="0" scenarios="1" formatColumns="0" deleteColumns="0" insertColumns="0" pivotTables="0" deleteRows="0" formatCells="0" saltValue="OS43FuzOJspY7zWpdhejPg==" formatRows="0" sort="0" spinCount="100000" password="AE3A" hashValue="f4RjevNLWpEO5ePey6TcLK4gLvL8PyacY7+qXYo6in9cD7TX5Srr50HqjftscCBuXNJho/66iB3bFN/N26PgHA=="/>
  <pageMargins left="0.75" right="0.75" top="1" bottom="1" header="0.5" footer="0.5"/>
</worksheet>
</file>

<file path=xl/worksheets/sheet4.xml><?xml version="1.0" encoding="utf-8"?>
<worksheet xmlns="http://schemas.openxmlformats.org/spreadsheetml/2006/main">
  <sheetPr>
    <tabColor rgb="FF3B83F6"/>
    <outlinePr summaryBelow="1" summaryRight="1"/>
    <pageSetUpPr/>
  </sheetPr>
  <dimension ref="A1:F28"/>
  <sheetViews>
    <sheetView workbookViewId="0">
      <pane ySplit="11" topLeftCell="A12" activePane="bottomLeft" state="frozen"/>
      <selection pane="bottomLeft" activeCell="A1" sqref="A1"/>
    </sheetView>
  </sheetViews>
  <sheetFormatPr baseColWidth="8" defaultRowHeight="14.5"/>
  <cols>
    <col width="10" customWidth="1" min="1" max="1"/>
    <col width="22" customWidth="1" min="2" max="2"/>
    <col width="18" customWidth="1" min="3" max="3"/>
    <col width="16" customWidth="1" min="4" max="5"/>
    <col width="20" customWidth="1" min="6" max="6"/>
  </cols>
  <sheetData>
    <row r="1" ht="18.5" customHeight="1">
      <c r="A1" s="1" t="inlineStr">
        <is>
          <t>Problem B – MSME Machinery (Quarterly)</t>
        </is>
      </c>
    </row>
    <row r="2"/>
    <row r="3">
      <c r="A3" s="8" t="inlineStr">
        <is>
          <t>Inputs</t>
        </is>
      </c>
      <c r="B3" s="8" t="n"/>
      <c r="D3" s="8" t="inlineStr">
        <is>
          <t>Key Outputs / Derived</t>
        </is>
      </c>
      <c r="E3" s="8" t="n"/>
    </row>
    <row r="4">
      <c r="A4" s="6" t="inlineStr">
        <is>
          <t>Principal (₹)</t>
        </is>
      </c>
      <c r="B4" s="9" t="n">
        <v>1800000</v>
      </c>
      <c r="D4" s="7" t="inlineStr">
        <is>
          <t>Periodic Rate</t>
        </is>
      </c>
      <c r="E4" s="10">
        <f>B5/B7</f>
        <v/>
      </c>
    </row>
    <row r="5">
      <c r="A5" s="6" t="inlineStr">
        <is>
          <t>Annual Interest Rate (p.a.)</t>
        </is>
      </c>
      <c r="B5" s="11" t="n">
        <v>0.112</v>
      </c>
      <c r="D5" s="7" t="inlineStr">
        <is>
          <t>Total Periods (nper)</t>
        </is>
      </c>
      <c r="E5" s="12">
        <f>B6*B7</f>
        <v/>
      </c>
    </row>
    <row r="6">
      <c r="A6" s="6" t="inlineStr">
        <is>
          <t>Term (years)</t>
        </is>
      </c>
      <c r="B6" s="13" t="n">
        <v>4</v>
      </c>
      <c r="D6" s="7" t="inlineStr">
        <is>
          <t>Installment (per period)</t>
        </is>
      </c>
      <c r="E6" s="14">
        <f>-PMT(E4,E5,B4)</f>
        <v/>
      </c>
    </row>
    <row r="7">
      <c r="A7" s="6" t="inlineStr">
        <is>
          <t>Payments per Year</t>
        </is>
      </c>
      <c r="B7" s="13" t="n">
        <v>4</v>
      </c>
      <c r="D7" s="7" t="inlineStr">
        <is>
          <t>Total Interest</t>
        </is>
      </c>
      <c r="E7" s="14">
        <f>D28</f>
        <v/>
      </c>
    </row>
    <row r="8">
      <c r="D8" s="7" t="inlineStr">
        <is>
          <t>Total Cost (Principal + Interest)</t>
        </is>
      </c>
      <c r="E8" s="14">
        <f>B4+E7</f>
        <v/>
      </c>
    </row>
    <row r="9"/>
    <row r="10"/>
    <row r="11">
      <c r="A11" s="2" t="inlineStr">
        <is>
          <t>Period</t>
        </is>
      </c>
      <c r="B11" s="2" t="inlineStr">
        <is>
          <t>Opening Balance (₹)</t>
        </is>
      </c>
      <c r="C11" s="2" t="inlineStr">
        <is>
          <t>Installment (₹)</t>
        </is>
      </c>
      <c r="D11" s="2" t="inlineStr">
        <is>
          <t>Interest (₹)</t>
        </is>
      </c>
      <c r="E11" s="2" t="inlineStr">
        <is>
          <t>Principal (₹)</t>
        </is>
      </c>
      <c r="F11" s="2" t="inlineStr">
        <is>
          <t>Closing Balance (₹)</t>
        </is>
      </c>
    </row>
    <row r="12">
      <c r="A12" s="15" t="n">
        <v>1</v>
      </c>
      <c r="B12" s="16">
        <f>B4</f>
        <v/>
      </c>
      <c r="C12" s="16">
        <f>E6</f>
        <v/>
      </c>
      <c r="D12" s="16">
        <f>-IPMT(E4,1,E5,B4)</f>
        <v/>
      </c>
      <c r="E12" s="16">
        <f>-PPMT(E4,1,E5,B4)</f>
        <v/>
      </c>
      <c r="F12" s="16">
        <f>B12-E12</f>
        <v/>
      </c>
    </row>
    <row r="13">
      <c r="A13" s="15" t="n">
        <v>2</v>
      </c>
      <c r="B13" s="16">
        <f>F12</f>
        <v/>
      </c>
      <c r="C13" s="16">
        <f>E6</f>
        <v/>
      </c>
      <c r="D13" s="16">
        <f>-IPMT(E4,2,E5,B4)</f>
        <v/>
      </c>
      <c r="E13" s="16">
        <f>-PPMT(E4,2,E5,B4)</f>
        <v/>
      </c>
      <c r="F13" s="16">
        <f>B13-E13</f>
        <v/>
      </c>
    </row>
    <row r="14">
      <c r="A14" s="15" t="n">
        <v>3</v>
      </c>
      <c r="B14" s="16">
        <f>F13</f>
        <v/>
      </c>
      <c r="C14" s="16">
        <f>E6</f>
        <v/>
      </c>
      <c r="D14" s="16">
        <f>-IPMT(E4,3,E5,B4)</f>
        <v/>
      </c>
      <c r="E14" s="16">
        <f>-PPMT(E4,3,E5,B4)</f>
        <v/>
      </c>
      <c r="F14" s="16">
        <f>B14-E14</f>
        <v/>
      </c>
    </row>
    <row r="15">
      <c r="A15" s="15" t="n">
        <v>4</v>
      </c>
      <c r="B15" s="16">
        <f>F14</f>
        <v/>
      </c>
      <c r="C15" s="16">
        <f>E6</f>
        <v/>
      </c>
      <c r="D15" s="16">
        <f>-IPMT(E4,4,E5,B4)</f>
        <v/>
      </c>
      <c r="E15" s="16">
        <f>-PPMT(E4,4,E5,B4)</f>
        <v/>
      </c>
      <c r="F15" s="16">
        <f>B15-E15</f>
        <v/>
      </c>
    </row>
    <row r="16">
      <c r="A16" s="15" t="n">
        <v>5</v>
      </c>
      <c r="B16" s="16">
        <f>F15</f>
        <v/>
      </c>
      <c r="C16" s="16">
        <f>E6</f>
        <v/>
      </c>
      <c r="D16" s="16">
        <f>-IPMT(E4,5,E5,B4)</f>
        <v/>
      </c>
      <c r="E16" s="16">
        <f>-PPMT(E4,5,E5,B4)</f>
        <v/>
      </c>
      <c r="F16" s="16">
        <f>B16-E16</f>
        <v/>
      </c>
    </row>
    <row r="17">
      <c r="A17" s="15" t="n">
        <v>6</v>
      </c>
      <c r="B17" s="16">
        <f>F16</f>
        <v/>
      </c>
      <c r="C17" s="16">
        <f>E6</f>
        <v/>
      </c>
      <c r="D17" s="16">
        <f>-IPMT(E4,6,E5,B4)</f>
        <v/>
      </c>
      <c r="E17" s="16">
        <f>-PPMT(E4,6,E5,B4)</f>
        <v/>
      </c>
      <c r="F17" s="16">
        <f>B17-E17</f>
        <v/>
      </c>
    </row>
    <row r="18">
      <c r="A18" s="15" t="n">
        <v>7</v>
      </c>
      <c r="B18" s="16">
        <f>F17</f>
        <v/>
      </c>
      <c r="C18" s="16">
        <f>E6</f>
        <v/>
      </c>
      <c r="D18" s="16">
        <f>-IPMT(E4,7,E5,B4)</f>
        <v/>
      </c>
      <c r="E18" s="16">
        <f>-PPMT(E4,7,E5,B4)</f>
        <v/>
      </c>
      <c r="F18" s="16">
        <f>B18-E18</f>
        <v/>
      </c>
    </row>
    <row r="19">
      <c r="A19" s="15" t="n">
        <v>8</v>
      </c>
      <c r="B19" s="16">
        <f>F18</f>
        <v/>
      </c>
      <c r="C19" s="16">
        <f>E6</f>
        <v/>
      </c>
      <c r="D19" s="16">
        <f>-IPMT(E4,8,E5,B4)</f>
        <v/>
      </c>
      <c r="E19" s="16">
        <f>-PPMT(E4,8,E5,B4)</f>
        <v/>
      </c>
      <c r="F19" s="16">
        <f>B19-E19</f>
        <v/>
      </c>
    </row>
    <row r="20">
      <c r="A20" s="15" t="n">
        <v>9</v>
      </c>
      <c r="B20" s="16">
        <f>F19</f>
        <v/>
      </c>
      <c r="C20" s="16">
        <f>E6</f>
        <v/>
      </c>
      <c r="D20" s="16">
        <f>-IPMT(E4,9,E5,B4)</f>
        <v/>
      </c>
      <c r="E20" s="16">
        <f>-PPMT(E4,9,E5,B4)</f>
        <v/>
      </c>
      <c r="F20" s="16">
        <f>B20-E20</f>
        <v/>
      </c>
    </row>
    <row r="21">
      <c r="A21" s="15" t="n">
        <v>10</v>
      </c>
      <c r="B21" s="16">
        <f>F20</f>
        <v/>
      </c>
      <c r="C21" s="16">
        <f>E6</f>
        <v/>
      </c>
      <c r="D21" s="16">
        <f>-IPMT(E4,10,E5,B4)</f>
        <v/>
      </c>
      <c r="E21" s="16">
        <f>-PPMT(E4,10,E5,B4)</f>
        <v/>
      </c>
      <c r="F21" s="16">
        <f>B21-E21</f>
        <v/>
      </c>
    </row>
    <row r="22">
      <c r="A22" s="15" t="n">
        <v>11</v>
      </c>
      <c r="B22" s="16">
        <f>F21</f>
        <v/>
      </c>
      <c r="C22" s="16">
        <f>E6</f>
        <v/>
      </c>
      <c r="D22" s="16">
        <f>-IPMT(E4,11,E5,B4)</f>
        <v/>
      </c>
      <c r="E22" s="16">
        <f>-PPMT(E4,11,E5,B4)</f>
        <v/>
      </c>
      <c r="F22" s="16">
        <f>B22-E22</f>
        <v/>
      </c>
    </row>
    <row r="23">
      <c r="A23" s="15" t="n">
        <v>12</v>
      </c>
      <c r="B23" s="16">
        <f>F22</f>
        <v/>
      </c>
      <c r="C23" s="16">
        <f>E6</f>
        <v/>
      </c>
      <c r="D23" s="16">
        <f>-IPMT(E4,12,E5,B4)</f>
        <v/>
      </c>
      <c r="E23" s="16">
        <f>-PPMT(E4,12,E5,B4)</f>
        <v/>
      </c>
      <c r="F23" s="16">
        <f>B23-E23</f>
        <v/>
      </c>
    </row>
    <row r="24">
      <c r="A24" s="15" t="n">
        <v>13</v>
      </c>
      <c r="B24" s="16">
        <f>F23</f>
        <v/>
      </c>
      <c r="C24" s="16">
        <f>E6</f>
        <v/>
      </c>
      <c r="D24" s="16">
        <f>-IPMT(E4,13,E5,B4)</f>
        <v/>
      </c>
      <c r="E24" s="16">
        <f>-PPMT(E4,13,E5,B4)</f>
        <v/>
      </c>
      <c r="F24" s="16">
        <f>B24-E24</f>
        <v/>
      </c>
    </row>
    <row r="25">
      <c r="A25" s="15" t="n">
        <v>14</v>
      </c>
      <c r="B25" s="16">
        <f>F24</f>
        <v/>
      </c>
      <c r="C25" s="16">
        <f>E6</f>
        <v/>
      </c>
      <c r="D25" s="16">
        <f>-IPMT(E4,14,E5,B4)</f>
        <v/>
      </c>
      <c r="E25" s="16">
        <f>-PPMT(E4,14,E5,B4)</f>
        <v/>
      </c>
      <c r="F25" s="16">
        <f>B25-E25</f>
        <v/>
      </c>
    </row>
    <row r="26">
      <c r="A26" s="15" t="n">
        <v>15</v>
      </c>
      <c r="B26" s="16">
        <f>F25</f>
        <v/>
      </c>
      <c r="C26" s="16">
        <f>E6</f>
        <v/>
      </c>
      <c r="D26" s="16">
        <f>-IPMT(E4,15,E5,B4)</f>
        <v/>
      </c>
      <c r="E26" s="16">
        <f>-PPMT(E4,15,E5,B4)</f>
        <v/>
      </c>
      <c r="F26" s="16">
        <f>B26-E26</f>
        <v/>
      </c>
    </row>
    <row r="27">
      <c r="A27" s="15" t="n">
        <v>16</v>
      </c>
      <c r="B27" s="16">
        <f>F26</f>
        <v/>
      </c>
      <c r="C27" s="16">
        <f>E6</f>
        <v/>
      </c>
      <c r="D27" s="16">
        <f>-IPMT(E4,16,E5,B4)</f>
        <v/>
      </c>
      <c r="E27" s="16">
        <f>-PPMT(E4,16,E5,B4)</f>
        <v/>
      </c>
      <c r="F27" s="16">
        <f>B27-E27</f>
        <v/>
      </c>
    </row>
    <row r="28">
      <c r="A28" s="17" t="inlineStr">
        <is>
          <t>Totals:</t>
        </is>
      </c>
      <c r="C28" s="18">
        <f>SUM(C12:C27)</f>
        <v/>
      </c>
      <c r="D28" s="18">
        <f>SUM(D12:D27)</f>
        <v/>
      </c>
      <c r="E28" s="18">
        <f>SUM(E12:E27)</f>
        <v/>
      </c>
    </row>
  </sheetData>
  <sheetProtection selectLockedCells="0" selectUnlockedCells="0" sheet="1" objects="1" insertRows="0" insertHyperlinks="1" autoFilter="0" scenarios="1" formatColumns="0" deleteColumns="0" insertColumns="0" pivotTables="0" deleteRows="0" formatCells="0" formatRows="0" sort="0" password="AE3A"/>
  <pageMargins left="0.75" right="0.75" top="1" bottom="1" header="0.5" footer="0.5"/>
</worksheet>
</file>

<file path=xl/worksheets/sheet5.xml><?xml version="1.0" encoding="utf-8"?>
<worksheet xmlns="http://schemas.openxmlformats.org/spreadsheetml/2006/main">
  <sheetPr>
    <tabColor rgb="FF3B83F6"/>
    <outlinePr summaryBelow="1" summaryRight="1"/>
    <pageSetUpPr/>
  </sheetPr>
  <dimension ref="A1:F90"/>
  <sheetViews>
    <sheetView workbookViewId="0">
      <pane ySplit="11" topLeftCell="A12" activePane="bottomLeft" state="frozen"/>
      <selection pane="bottomLeft" activeCell="A1" sqref="A1"/>
    </sheetView>
  </sheetViews>
  <sheetFormatPr baseColWidth="8" defaultRowHeight="14.5"/>
  <cols>
    <col width="10" customWidth="1" min="1" max="1"/>
    <col width="22" customWidth="1" min="2" max="2"/>
    <col width="18" customWidth="1" min="3" max="3"/>
    <col width="16" customWidth="1" min="4" max="5"/>
    <col width="20" customWidth="1" min="6" max="6"/>
  </cols>
  <sheetData>
    <row r="1" ht="18.5" customHeight="1">
      <c r="A1" s="1" t="inlineStr">
        <is>
          <t>Problem C – Personal Loan (Fortnightly)</t>
        </is>
      </c>
    </row>
    <row r="2"/>
    <row r="3">
      <c r="A3" s="8" t="inlineStr">
        <is>
          <t>Inputs</t>
        </is>
      </c>
      <c r="B3" s="8" t="n"/>
      <c r="D3" s="8" t="inlineStr">
        <is>
          <t>Key Outputs / Derived</t>
        </is>
      </c>
      <c r="E3" s="8" t="n"/>
    </row>
    <row r="4">
      <c r="A4" s="6" t="inlineStr">
        <is>
          <t>Principal (₹)</t>
        </is>
      </c>
      <c r="B4" s="9" t="n">
        <v>480000</v>
      </c>
      <c r="D4" s="7" t="inlineStr">
        <is>
          <t>Periodic Rate</t>
        </is>
      </c>
      <c r="E4" s="10">
        <f>B5/B7</f>
        <v/>
      </c>
    </row>
    <row r="5">
      <c r="A5" s="6" t="inlineStr">
        <is>
          <t>Annual Interest Rate (p.a.)</t>
        </is>
      </c>
      <c r="B5" s="11" t="n">
        <v>0.135</v>
      </c>
      <c r="D5" s="7" t="inlineStr">
        <is>
          <t>Total Periods (nper)</t>
        </is>
      </c>
      <c r="E5" s="12">
        <f>B6*B7</f>
        <v/>
      </c>
    </row>
    <row r="6">
      <c r="A6" s="6" t="inlineStr">
        <is>
          <t>Term (years)</t>
        </is>
      </c>
      <c r="B6" s="13" t="n">
        <v>3</v>
      </c>
      <c r="D6" s="7" t="inlineStr">
        <is>
          <t>Installment (per period)</t>
        </is>
      </c>
      <c r="E6" s="14">
        <f>-PMT(E4,E5,B4)</f>
        <v/>
      </c>
    </row>
    <row r="7">
      <c r="A7" s="6" t="inlineStr">
        <is>
          <t>Payments per Year</t>
        </is>
      </c>
      <c r="B7" s="13" t="n">
        <v>26</v>
      </c>
      <c r="D7" s="7" t="inlineStr">
        <is>
          <t>Total Interest</t>
        </is>
      </c>
      <c r="E7" s="14">
        <f>D90</f>
        <v/>
      </c>
    </row>
    <row r="8">
      <c r="D8" s="7" t="inlineStr">
        <is>
          <t>Total Cost (Principal + Interest)</t>
        </is>
      </c>
      <c r="E8" s="14">
        <f>B4+E7</f>
        <v/>
      </c>
    </row>
    <row r="9"/>
    <row r="10"/>
    <row r="11">
      <c r="A11" s="2" t="inlineStr">
        <is>
          <t>Period</t>
        </is>
      </c>
      <c r="B11" s="2" t="inlineStr">
        <is>
          <t>Opening Balance (₹)</t>
        </is>
      </c>
      <c r="C11" s="2" t="inlineStr">
        <is>
          <t>Installment (₹)</t>
        </is>
      </c>
      <c r="D11" s="2" t="inlineStr">
        <is>
          <t>Interest (₹)</t>
        </is>
      </c>
      <c r="E11" s="2" t="inlineStr">
        <is>
          <t>Principal (₹)</t>
        </is>
      </c>
      <c r="F11" s="2" t="inlineStr">
        <is>
          <t>Closing Balance (₹)</t>
        </is>
      </c>
    </row>
    <row r="12">
      <c r="A12" s="15" t="n">
        <v>1</v>
      </c>
      <c r="B12" s="16">
        <f>B4</f>
        <v/>
      </c>
      <c r="C12" s="16">
        <f>E6</f>
        <v/>
      </c>
      <c r="D12" s="16">
        <f>-IPMT(E4,1,E5,B4)</f>
        <v/>
      </c>
      <c r="E12" s="16">
        <f>-PPMT(E4,1,E5,B4)</f>
        <v/>
      </c>
      <c r="F12" s="16">
        <f>B12-E12</f>
        <v/>
      </c>
    </row>
    <row r="13">
      <c r="A13" s="15" t="n">
        <v>2</v>
      </c>
      <c r="B13" s="16">
        <f>F12</f>
        <v/>
      </c>
      <c r="C13" s="16">
        <f>E6</f>
        <v/>
      </c>
      <c r="D13" s="16">
        <f>-IPMT(E4,2,E5,B4)</f>
        <v/>
      </c>
      <c r="E13" s="16">
        <f>-PPMT(E4,2,E5,B4)</f>
        <v/>
      </c>
      <c r="F13" s="16">
        <f>B13-E13</f>
        <v/>
      </c>
    </row>
    <row r="14">
      <c r="A14" s="15" t="n">
        <v>3</v>
      </c>
      <c r="B14" s="16">
        <f>F13</f>
        <v/>
      </c>
      <c r="C14" s="16">
        <f>E6</f>
        <v/>
      </c>
      <c r="D14" s="16">
        <f>-IPMT(E4,3,E5,B4)</f>
        <v/>
      </c>
      <c r="E14" s="16">
        <f>-PPMT(E4,3,E5,B4)</f>
        <v/>
      </c>
      <c r="F14" s="16">
        <f>B14-E14</f>
        <v/>
      </c>
    </row>
    <row r="15">
      <c r="A15" s="15" t="n">
        <v>4</v>
      </c>
      <c r="B15" s="16">
        <f>F14</f>
        <v/>
      </c>
      <c r="C15" s="16">
        <f>E6</f>
        <v/>
      </c>
      <c r="D15" s="16">
        <f>-IPMT(E4,4,E5,B4)</f>
        <v/>
      </c>
      <c r="E15" s="16">
        <f>-PPMT(E4,4,E5,B4)</f>
        <v/>
      </c>
      <c r="F15" s="16">
        <f>B15-E15</f>
        <v/>
      </c>
    </row>
    <row r="16">
      <c r="A16" s="15" t="n">
        <v>5</v>
      </c>
      <c r="B16" s="16">
        <f>F15</f>
        <v/>
      </c>
      <c r="C16" s="16">
        <f>E6</f>
        <v/>
      </c>
      <c r="D16" s="16">
        <f>-IPMT(E4,5,E5,B4)</f>
        <v/>
      </c>
      <c r="E16" s="16">
        <f>-PPMT(E4,5,E5,B4)</f>
        <v/>
      </c>
      <c r="F16" s="16">
        <f>B16-E16</f>
        <v/>
      </c>
    </row>
    <row r="17">
      <c r="A17" s="15" t="n">
        <v>6</v>
      </c>
      <c r="B17" s="16">
        <f>F16</f>
        <v/>
      </c>
      <c r="C17" s="16">
        <f>E6</f>
        <v/>
      </c>
      <c r="D17" s="16">
        <f>-IPMT(E4,6,E5,B4)</f>
        <v/>
      </c>
      <c r="E17" s="16">
        <f>-PPMT(E4,6,E5,B4)</f>
        <v/>
      </c>
      <c r="F17" s="16">
        <f>B17-E17</f>
        <v/>
      </c>
    </row>
    <row r="18">
      <c r="A18" s="15" t="n">
        <v>7</v>
      </c>
      <c r="B18" s="16">
        <f>F17</f>
        <v/>
      </c>
      <c r="C18" s="16">
        <f>E6</f>
        <v/>
      </c>
      <c r="D18" s="16">
        <f>-IPMT(E4,7,E5,B4)</f>
        <v/>
      </c>
      <c r="E18" s="16">
        <f>-PPMT(E4,7,E5,B4)</f>
        <v/>
      </c>
      <c r="F18" s="16">
        <f>B18-E18</f>
        <v/>
      </c>
    </row>
    <row r="19">
      <c r="A19" s="15" t="n">
        <v>8</v>
      </c>
      <c r="B19" s="16">
        <f>F18</f>
        <v/>
      </c>
      <c r="C19" s="16">
        <f>E6</f>
        <v/>
      </c>
      <c r="D19" s="16">
        <f>-IPMT(E4,8,E5,B4)</f>
        <v/>
      </c>
      <c r="E19" s="16">
        <f>-PPMT(E4,8,E5,B4)</f>
        <v/>
      </c>
      <c r="F19" s="16">
        <f>B19-E19</f>
        <v/>
      </c>
    </row>
    <row r="20">
      <c r="A20" s="15" t="n">
        <v>9</v>
      </c>
      <c r="B20" s="16">
        <f>F19</f>
        <v/>
      </c>
      <c r="C20" s="16">
        <f>E6</f>
        <v/>
      </c>
      <c r="D20" s="16">
        <f>-IPMT(E4,9,E5,B4)</f>
        <v/>
      </c>
      <c r="E20" s="16">
        <f>-PPMT(E4,9,E5,B4)</f>
        <v/>
      </c>
      <c r="F20" s="16">
        <f>B20-E20</f>
        <v/>
      </c>
    </row>
    <row r="21">
      <c r="A21" s="15" t="n">
        <v>10</v>
      </c>
      <c r="B21" s="16">
        <f>F20</f>
        <v/>
      </c>
      <c r="C21" s="16">
        <f>E6</f>
        <v/>
      </c>
      <c r="D21" s="16">
        <f>-IPMT(E4,10,E5,B4)</f>
        <v/>
      </c>
      <c r="E21" s="16">
        <f>-PPMT(E4,10,E5,B4)</f>
        <v/>
      </c>
      <c r="F21" s="16">
        <f>B21-E21</f>
        <v/>
      </c>
    </row>
    <row r="22">
      <c r="A22" s="15" t="n">
        <v>11</v>
      </c>
      <c r="B22" s="16">
        <f>F21</f>
        <v/>
      </c>
      <c r="C22" s="16">
        <f>E6</f>
        <v/>
      </c>
      <c r="D22" s="16">
        <f>-IPMT(E4,11,E5,B4)</f>
        <v/>
      </c>
      <c r="E22" s="16">
        <f>-PPMT(E4,11,E5,B4)</f>
        <v/>
      </c>
      <c r="F22" s="16">
        <f>B22-E22</f>
        <v/>
      </c>
    </row>
    <row r="23">
      <c r="A23" s="15" t="n">
        <v>12</v>
      </c>
      <c r="B23" s="16">
        <f>F22</f>
        <v/>
      </c>
      <c r="C23" s="16">
        <f>E6</f>
        <v/>
      </c>
      <c r="D23" s="16">
        <f>-IPMT(E4,12,E5,B4)</f>
        <v/>
      </c>
      <c r="E23" s="16">
        <f>-PPMT(E4,12,E5,B4)</f>
        <v/>
      </c>
      <c r="F23" s="16">
        <f>B23-E23</f>
        <v/>
      </c>
    </row>
    <row r="24">
      <c r="A24" s="15" t="n">
        <v>13</v>
      </c>
      <c r="B24" s="16">
        <f>F23</f>
        <v/>
      </c>
      <c r="C24" s="16">
        <f>E6</f>
        <v/>
      </c>
      <c r="D24" s="16">
        <f>-IPMT(E4,13,E5,B4)</f>
        <v/>
      </c>
      <c r="E24" s="16">
        <f>-PPMT(E4,13,E5,B4)</f>
        <v/>
      </c>
      <c r="F24" s="16">
        <f>B24-E24</f>
        <v/>
      </c>
    </row>
    <row r="25">
      <c r="A25" s="15" t="n">
        <v>14</v>
      </c>
      <c r="B25" s="16">
        <f>F24</f>
        <v/>
      </c>
      <c r="C25" s="16">
        <f>E6</f>
        <v/>
      </c>
      <c r="D25" s="16">
        <f>-IPMT(E4,14,E5,B4)</f>
        <v/>
      </c>
      <c r="E25" s="16">
        <f>-PPMT(E4,14,E5,B4)</f>
        <v/>
      </c>
      <c r="F25" s="16">
        <f>B25-E25</f>
        <v/>
      </c>
    </row>
    <row r="26">
      <c r="A26" s="15" t="n">
        <v>15</v>
      </c>
      <c r="B26" s="16">
        <f>F25</f>
        <v/>
      </c>
      <c r="C26" s="16">
        <f>E6</f>
        <v/>
      </c>
      <c r="D26" s="16">
        <f>-IPMT(E4,15,E5,B4)</f>
        <v/>
      </c>
      <c r="E26" s="16">
        <f>-PPMT(E4,15,E5,B4)</f>
        <v/>
      </c>
      <c r="F26" s="16">
        <f>B26-E26</f>
        <v/>
      </c>
    </row>
    <row r="27">
      <c r="A27" s="15" t="n">
        <v>16</v>
      </c>
      <c r="B27" s="16">
        <f>F26</f>
        <v/>
      </c>
      <c r="C27" s="16">
        <f>E6</f>
        <v/>
      </c>
      <c r="D27" s="16">
        <f>-IPMT(E4,16,E5,B4)</f>
        <v/>
      </c>
      <c r="E27" s="16">
        <f>-PPMT(E4,16,E5,B4)</f>
        <v/>
      </c>
      <c r="F27" s="16">
        <f>B27-E27</f>
        <v/>
      </c>
    </row>
    <row r="28">
      <c r="A28" s="15" t="n">
        <v>17</v>
      </c>
      <c r="B28" s="16">
        <f>F27</f>
        <v/>
      </c>
      <c r="C28" s="16">
        <f>E6</f>
        <v/>
      </c>
      <c r="D28" s="16">
        <f>-IPMT(E4,17,E5,B4)</f>
        <v/>
      </c>
      <c r="E28" s="16">
        <f>-PPMT(E4,17,E5,B4)</f>
        <v/>
      </c>
      <c r="F28" s="16">
        <f>B28-E28</f>
        <v/>
      </c>
    </row>
    <row r="29">
      <c r="A29" s="15" t="n">
        <v>18</v>
      </c>
      <c r="B29" s="16">
        <f>F28</f>
        <v/>
      </c>
      <c r="C29" s="16">
        <f>E6</f>
        <v/>
      </c>
      <c r="D29" s="16">
        <f>-IPMT(E4,18,E5,B4)</f>
        <v/>
      </c>
      <c r="E29" s="16">
        <f>-PPMT(E4,18,E5,B4)</f>
        <v/>
      </c>
      <c r="F29" s="16">
        <f>B29-E29</f>
        <v/>
      </c>
    </row>
    <row r="30">
      <c r="A30" s="15" t="n">
        <v>19</v>
      </c>
      <c r="B30" s="16">
        <f>F29</f>
        <v/>
      </c>
      <c r="C30" s="16">
        <f>E6</f>
        <v/>
      </c>
      <c r="D30" s="16">
        <f>-IPMT(E4,19,E5,B4)</f>
        <v/>
      </c>
      <c r="E30" s="16">
        <f>-PPMT(E4,19,E5,B4)</f>
        <v/>
      </c>
      <c r="F30" s="16">
        <f>B30-E30</f>
        <v/>
      </c>
    </row>
    <row r="31">
      <c r="A31" s="15" t="n">
        <v>20</v>
      </c>
      <c r="B31" s="16">
        <f>F30</f>
        <v/>
      </c>
      <c r="C31" s="16">
        <f>E6</f>
        <v/>
      </c>
      <c r="D31" s="16">
        <f>-IPMT(E4,20,E5,B4)</f>
        <v/>
      </c>
      <c r="E31" s="16">
        <f>-PPMT(E4,20,E5,B4)</f>
        <v/>
      </c>
      <c r="F31" s="16">
        <f>B31-E31</f>
        <v/>
      </c>
    </row>
    <row r="32">
      <c r="A32" s="15" t="n">
        <v>21</v>
      </c>
      <c r="B32" s="16">
        <f>F31</f>
        <v/>
      </c>
      <c r="C32" s="16">
        <f>E6</f>
        <v/>
      </c>
      <c r="D32" s="16">
        <f>-IPMT(E4,21,E5,B4)</f>
        <v/>
      </c>
      <c r="E32" s="16">
        <f>-PPMT(E4,21,E5,B4)</f>
        <v/>
      </c>
      <c r="F32" s="16">
        <f>B32-E32</f>
        <v/>
      </c>
    </row>
    <row r="33">
      <c r="A33" s="15" t="n">
        <v>22</v>
      </c>
      <c r="B33" s="16">
        <f>F32</f>
        <v/>
      </c>
      <c r="C33" s="16">
        <f>E6</f>
        <v/>
      </c>
      <c r="D33" s="16">
        <f>-IPMT(E4,22,E5,B4)</f>
        <v/>
      </c>
      <c r="E33" s="16">
        <f>-PPMT(E4,22,E5,B4)</f>
        <v/>
      </c>
      <c r="F33" s="16">
        <f>B33-E33</f>
        <v/>
      </c>
    </row>
    <row r="34">
      <c r="A34" s="15" t="n">
        <v>23</v>
      </c>
      <c r="B34" s="16">
        <f>F33</f>
        <v/>
      </c>
      <c r="C34" s="16">
        <f>E6</f>
        <v/>
      </c>
      <c r="D34" s="16">
        <f>-IPMT(E4,23,E5,B4)</f>
        <v/>
      </c>
      <c r="E34" s="16">
        <f>-PPMT(E4,23,E5,B4)</f>
        <v/>
      </c>
      <c r="F34" s="16">
        <f>B34-E34</f>
        <v/>
      </c>
    </row>
    <row r="35">
      <c r="A35" s="15" t="n">
        <v>24</v>
      </c>
      <c r="B35" s="16">
        <f>F34</f>
        <v/>
      </c>
      <c r="C35" s="16">
        <f>E6</f>
        <v/>
      </c>
      <c r="D35" s="16">
        <f>-IPMT(E4,24,E5,B4)</f>
        <v/>
      </c>
      <c r="E35" s="16">
        <f>-PPMT(E4,24,E5,B4)</f>
        <v/>
      </c>
      <c r="F35" s="16">
        <f>B35-E35</f>
        <v/>
      </c>
    </row>
    <row r="36">
      <c r="A36" s="15" t="n">
        <v>25</v>
      </c>
      <c r="B36" s="16">
        <f>F35</f>
        <v/>
      </c>
      <c r="C36" s="16">
        <f>E6</f>
        <v/>
      </c>
      <c r="D36" s="16">
        <f>-IPMT(E4,25,E5,B4)</f>
        <v/>
      </c>
      <c r="E36" s="16">
        <f>-PPMT(E4,25,E5,B4)</f>
        <v/>
      </c>
      <c r="F36" s="16">
        <f>B36-E36</f>
        <v/>
      </c>
    </row>
    <row r="37">
      <c r="A37" s="15" t="n">
        <v>26</v>
      </c>
      <c r="B37" s="16">
        <f>F36</f>
        <v/>
      </c>
      <c r="C37" s="16">
        <f>E6</f>
        <v/>
      </c>
      <c r="D37" s="16">
        <f>-IPMT(E4,26,E5,B4)</f>
        <v/>
      </c>
      <c r="E37" s="16">
        <f>-PPMT(E4,26,E5,B4)</f>
        <v/>
      </c>
      <c r="F37" s="16">
        <f>B37-E37</f>
        <v/>
      </c>
    </row>
    <row r="38">
      <c r="A38" s="15" t="n">
        <v>27</v>
      </c>
      <c r="B38" s="16">
        <f>F37</f>
        <v/>
      </c>
      <c r="C38" s="16">
        <f>E6</f>
        <v/>
      </c>
      <c r="D38" s="16">
        <f>-IPMT(E4,27,E5,B4)</f>
        <v/>
      </c>
      <c r="E38" s="16">
        <f>-PPMT(E4,27,E5,B4)</f>
        <v/>
      </c>
      <c r="F38" s="16">
        <f>B38-E38</f>
        <v/>
      </c>
    </row>
    <row r="39">
      <c r="A39" s="15" t="n">
        <v>28</v>
      </c>
      <c r="B39" s="16">
        <f>F38</f>
        <v/>
      </c>
      <c r="C39" s="16">
        <f>E6</f>
        <v/>
      </c>
      <c r="D39" s="16">
        <f>-IPMT(E4,28,E5,B4)</f>
        <v/>
      </c>
      <c r="E39" s="16">
        <f>-PPMT(E4,28,E5,B4)</f>
        <v/>
      </c>
      <c r="F39" s="16">
        <f>B39-E39</f>
        <v/>
      </c>
    </row>
    <row r="40">
      <c r="A40" s="15" t="n">
        <v>29</v>
      </c>
      <c r="B40" s="16">
        <f>F39</f>
        <v/>
      </c>
      <c r="C40" s="16">
        <f>E6</f>
        <v/>
      </c>
      <c r="D40" s="16">
        <f>-IPMT(E4,29,E5,B4)</f>
        <v/>
      </c>
      <c r="E40" s="16">
        <f>-PPMT(E4,29,E5,B4)</f>
        <v/>
      </c>
      <c r="F40" s="16">
        <f>B40-E40</f>
        <v/>
      </c>
    </row>
    <row r="41">
      <c r="A41" s="15" t="n">
        <v>30</v>
      </c>
      <c r="B41" s="16">
        <f>F40</f>
        <v/>
      </c>
      <c r="C41" s="16">
        <f>E6</f>
        <v/>
      </c>
      <c r="D41" s="16">
        <f>-IPMT(E4,30,E5,B4)</f>
        <v/>
      </c>
      <c r="E41" s="16">
        <f>-PPMT(E4,30,E5,B4)</f>
        <v/>
      </c>
      <c r="F41" s="16">
        <f>B41-E41</f>
        <v/>
      </c>
    </row>
    <row r="42">
      <c r="A42" s="15" t="n">
        <v>31</v>
      </c>
      <c r="B42" s="16">
        <f>F41</f>
        <v/>
      </c>
      <c r="C42" s="16">
        <f>E6</f>
        <v/>
      </c>
      <c r="D42" s="16">
        <f>-IPMT(E4,31,E5,B4)</f>
        <v/>
      </c>
      <c r="E42" s="16">
        <f>-PPMT(E4,31,E5,B4)</f>
        <v/>
      </c>
      <c r="F42" s="16">
        <f>B42-E42</f>
        <v/>
      </c>
    </row>
    <row r="43">
      <c r="A43" s="15" t="n">
        <v>32</v>
      </c>
      <c r="B43" s="16">
        <f>F42</f>
        <v/>
      </c>
      <c r="C43" s="16">
        <f>E6</f>
        <v/>
      </c>
      <c r="D43" s="16">
        <f>-IPMT(E4,32,E5,B4)</f>
        <v/>
      </c>
      <c r="E43" s="16">
        <f>-PPMT(E4,32,E5,B4)</f>
        <v/>
      </c>
      <c r="F43" s="16">
        <f>B43-E43</f>
        <v/>
      </c>
    </row>
    <row r="44">
      <c r="A44" s="15" t="n">
        <v>33</v>
      </c>
      <c r="B44" s="16">
        <f>F43</f>
        <v/>
      </c>
      <c r="C44" s="16">
        <f>E6</f>
        <v/>
      </c>
      <c r="D44" s="16">
        <f>-IPMT(E4,33,E5,B4)</f>
        <v/>
      </c>
      <c r="E44" s="16">
        <f>-PPMT(E4,33,E5,B4)</f>
        <v/>
      </c>
      <c r="F44" s="16">
        <f>B44-E44</f>
        <v/>
      </c>
    </row>
    <row r="45">
      <c r="A45" s="15" t="n">
        <v>34</v>
      </c>
      <c r="B45" s="16">
        <f>F44</f>
        <v/>
      </c>
      <c r="C45" s="16">
        <f>E6</f>
        <v/>
      </c>
      <c r="D45" s="16">
        <f>-IPMT(E4,34,E5,B4)</f>
        <v/>
      </c>
      <c r="E45" s="16">
        <f>-PPMT(E4,34,E5,B4)</f>
        <v/>
      </c>
      <c r="F45" s="16">
        <f>B45-E45</f>
        <v/>
      </c>
    </row>
    <row r="46">
      <c r="A46" s="15" t="n">
        <v>35</v>
      </c>
      <c r="B46" s="16">
        <f>F45</f>
        <v/>
      </c>
      <c r="C46" s="16">
        <f>E6</f>
        <v/>
      </c>
      <c r="D46" s="16">
        <f>-IPMT(E4,35,E5,B4)</f>
        <v/>
      </c>
      <c r="E46" s="16">
        <f>-PPMT(E4,35,E5,B4)</f>
        <v/>
      </c>
      <c r="F46" s="16">
        <f>B46-E46</f>
        <v/>
      </c>
    </row>
    <row r="47">
      <c r="A47" s="15" t="n">
        <v>36</v>
      </c>
      <c r="B47" s="16">
        <f>F46</f>
        <v/>
      </c>
      <c r="C47" s="16">
        <f>E6</f>
        <v/>
      </c>
      <c r="D47" s="16">
        <f>-IPMT(E4,36,E5,B4)</f>
        <v/>
      </c>
      <c r="E47" s="16">
        <f>-PPMT(E4,36,E5,B4)</f>
        <v/>
      </c>
      <c r="F47" s="16">
        <f>B47-E47</f>
        <v/>
      </c>
    </row>
    <row r="48">
      <c r="A48" s="15" t="n">
        <v>37</v>
      </c>
      <c r="B48" s="16">
        <f>F47</f>
        <v/>
      </c>
      <c r="C48" s="16">
        <f>E6</f>
        <v/>
      </c>
      <c r="D48" s="16">
        <f>-IPMT(E4,37,E5,B4)</f>
        <v/>
      </c>
      <c r="E48" s="16">
        <f>-PPMT(E4,37,E5,B4)</f>
        <v/>
      </c>
      <c r="F48" s="16">
        <f>B48-E48</f>
        <v/>
      </c>
    </row>
    <row r="49">
      <c r="A49" s="15" t="n">
        <v>38</v>
      </c>
      <c r="B49" s="16">
        <f>F48</f>
        <v/>
      </c>
      <c r="C49" s="16">
        <f>E6</f>
        <v/>
      </c>
      <c r="D49" s="16">
        <f>-IPMT(E4,38,E5,B4)</f>
        <v/>
      </c>
      <c r="E49" s="16">
        <f>-PPMT(E4,38,E5,B4)</f>
        <v/>
      </c>
      <c r="F49" s="16">
        <f>B49-E49</f>
        <v/>
      </c>
    </row>
    <row r="50">
      <c r="A50" s="15" t="n">
        <v>39</v>
      </c>
      <c r="B50" s="16">
        <f>F49</f>
        <v/>
      </c>
      <c r="C50" s="16">
        <f>E6</f>
        <v/>
      </c>
      <c r="D50" s="16">
        <f>-IPMT(E4,39,E5,B4)</f>
        <v/>
      </c>
      <c r="E50" s="16">
        <f>-PPMT(E4,39,E5,B4)</f>
        <v/>
      </c>
      <c r="F50" s="16">
        <f>B50-E50</f>
        <v/>
      </c>
    </row>
    <row r="51">
      <c r="A51" s="15" t="n">
        <v>40</v>
      </c>
      <c r="B51" s="16">
        <f>F50</f>
        <v/>
      </c>
      <c r="C51" s="16">
        <f>E6</f>
        <v/>
      </c>
      <c r="D51" s="16">
        <f>-IPMT(E4,40,E5,B4)</f>
        <v/>
      </c>
      <c r="E51" s="16">
        <f>-PPMT(E4,40,E5,B4)</f>
        <v/>
      </c>
      <c r="F51" s="16">
        <f>B51-E51</f>
        <v/>
      </c>
    </row>
    <row r="52">
      <c r="A52" s="15" t="n">
        <v>41</v>
      </c>
      <c r="B52" s="16">
        <f>F51</f>
        <v/>
      </c>
      <c r="C52" s="16">
        <f>E6</f>
        <v/>
      </c>
      <c r="D52" s="16">
        <f>-IPMT(E4,41,E5,B4)</f>
        <v/>
      </c>
      <c r="E52" s="16">
        <f>-PPMT(E4,41,E5,B4)</f>
        <v/>
      </c>
      <c r="F52" s="16">
        <f>B52-E52</f>
        <v/>
      </c>
    </row>
    <row r="53">
      <c r="A53" s="15" t="n">
        <v>42</v>
      </c>
      <c r="B53" s="16">
        <f>F52</f>
        <v/>
      </c>
      <c r="C53" s="16">
        <f>E6</f>
        <v/>
      </c>
      <c r="D53" s="16">
        <f>-IPMT(E4,42,E5,B4)</f>
        <v/>
      </c>
      <c r="E53" s="16">
        <f>-PPMT(E4,42,E5,B4)</f>
        <v/>
      </c>
      <c r="F53" s="16">
        <f>B53-E53</f>
        <v/>
      </c>
    </row>
    <row r="54">
      <c r="A54" s="15" t="n">
        <v>43</v>
      </c>
      <c r="B54" s="16">
        <f>F53</f>
        <v/>
      </c>
      <c r="C54" s="16">
        <f>E6</f>
        <v/>
      </c>
      <c r="D54" s="16">
        <f>-IPMT(E4,43,E5,B4)</f>
        <v/>
      </c>
      <c r="E54" s="16">
        <f>-PPMT(E4,43,E5,B4)</f>
        <v/>
      </c>
      <c r="F54" s="16">
        <f>B54-E54</f>
        <v/>
      </c>
    </row>
    <row r="55">
      <c r="A55" s="15" t="n">
        <v>44</v>
      </c>
      <c r="B55" s="16">
        <f>F54</f>
        <v/>
      </c>
      <c r="C55" s="16">
        <f>E6</f>
        <v/>
      </c>
      <c r="D55" s="16">
        <f>-IPMT(E4,44,E5,B4)</f>
        <v/>
      </c>
      <c r="E55" s="16">
        <f>-PPMT(E4,44,E5,B4)</f>
        <v/>
      </c>
      <c r="F55" s="16">
        <f>B55-E55</f>
        <v/>
      </c>
    </row>
    <row r="56">
      <c r="A56" s="15" t="n">
        <v>45</v>
      </c>
      <c r="B56" s="16">
        <f>F55</f>
        <v/>
      </c>
      <c r="C56" s="16">
        <f>E6</f>
        <v/>
      </c>
      <c r="D56" s="16">
        <f>-IPMT(E4,45,E5,B4)</f>
        <v/>
      </c>
      <c r="E56" s="16">
        <f>-PPMT(E4,45,E5,B4)</f>
        <v/>
      </c>
      <c r="F56" s="16">
        <f>B56-E56</f>
        <v/>
      </c>
    </row>
    <row r="57">
      <c r="A57" s="15" t="n">
        <v>46</v>
      </c>
      <c r="B57" s="16">
        <f>F56</f>
        <v/>
      </c>
      <c r="C57" s="16">
        <f>E6</f>
        <v/>
      </c>
      <c r="D57" s="16">
        <f>-IPMT(E4,46,E5,B4)</f>
        <v/>
      </c>
      <c r="E57" s="16">
        <f>-PPMT(E4,46,E5,B4)</f>
        <v/>
      </c>
      <c r="F57" s="16">
        <f>B57-E57</f>
        <v/>
      </c>
    </row>
    <row r="58">
      <c r="A58" s="15" t="n">
        <v>47</v>
      </c>
      <c r="B58" s="16">
        <f>F57</f>
        <v/>
      </c>
      <c r="C58" s="16">
        <f>E6</f>
        <v/>
      </c>
      <c r="D58" s="16">
        <f>-IPMT(E4,47,E5,B4)</f>
        <v/>
      </c>
      <c r="E58" s="16">
        <f>-PPMT(E4,47,E5,B4)</f>
        <v/>
      </c>
      <c r="F58" s="16">
        <f>B58-E58</f>
        <v/>
      </c>
    </row>
    <row r="59">
      <c r="A59" s="15" t="n">
        <v>48</v>
      </c>
      <c r="B59" s="16">
        <f>F58</f>
        <v/>
      </c>
      <c r="C59" s="16">
        <f>E6</f>
        <v/>
      </c>
      <c r="D59" s="16">
        <f>-IPMT(E4,48,E5,B4)</f>
        <v/>
      </c>
      <c r="E59" s="16">
        <f>-PPMT(E4,48,E5,B4)</f>
        <v/>
      </c>
      <c r="F59" s="16">
        <f>B59-E59</f>
        <v/>
      </c>
    </row>
    <row r="60">
      <c r="A60" s="15" t="n">
        <v>49</v>
      </c>
      <c r="B60" s="16">
        <f>F59</f>
        <v/>
      </c>
      <c r="C60" s="16">
        <f>E6</f>
        <v/>
      </c>
      <c r="D60" s="16">
        <f>-IPMT(E4,49,E5,B4)</f>
        <v/>
      </c>
      <c r="E60" s="16">
        <f>-PPMT(E4,49,E5,B4)</f>
        <v/>
      </c>
      <c r="F60" s="16">
        <f>B60-E60</f>
        <v/>
      </c>
    </row>
    <row r="61">
      <c r="A61" s="15" t="n">
        <v>50</v>
      </c>
      <c r="B61" s="16">
        <f>F60</f>
        <v/>
      </c>
      <c r="C61" s="16">
        <f>E6</f>
        <v/>
      </c>
      <c r="D61" s="16">
        <f>-IPMT(E4,50,E5,B4)</f>
        <v/>
      </c>
      <c r="E61" s="16">
        <f>-PPMT(E4,50,E5,B4)</f>
        <v/>
      </c>
      <c r="F61" s="16">
        <f>B61-E61</f>
        <v/>
      </c>
    </row>
    <row r="62">
      <c r="A62" s="15" t="n">
        <v>51</v>
      </c>
      <c r="B62" s="16">
        <f>F61</f>
        <v/>
      </c>
      <c r="C62" s="16">
        <f>E6</f>
        <v/>
      </c>
      <c r="D62" s="16">
        <f>-IPMT(E4,51,E5,B4)</f>
        <v/>
      </c>
      <c r="E62" s="16">
        <f>-PPMT(E4,51,E5,B4)</f>
        <v/>
      </c>
      <c r="F62" s="16">
        <f>B62-E62</f>
        <v/>
      </c>
    </row>
    <row r="63">
      <c r="A63" s="15" t="n">
        <v>52</v>
      </c>
      <c r="B63" s="16">
        <f>F62</f>
        <v/>
      </c>
      <c r="C63" s="16">
        <f>E6</f>
        <v/>
      </c>
      <c r="D63" s="16">
        <f>-IPMT(E4,52,E5,B4)</f>
        <v/>
      </c>
      <c r="E63" s="16">
        <f>-PPMT(E4,52,E5,B4)</f>
        <v/>
      </c>
      <c r="F63" s="16">
        <f>B63-E63</f>
        <v/>
      </c>
    </row>
    <row r="64">
      <c r="A64" s="15" t="n">
        <v>53</v>
      </c>
      <c r="B64" s="16">
        <f>F63</f>
        <v/>
      </c>
      <c r="C64" s="16">
        <f>E6</f>
        <v/>
      </c>
      <c r="D64" s="16">
        <f>-IPMT(E4,53,E5,B4)</f>
        <v/>
      </c>
      <c r="E64" s="16">
        <f>-PPMT(E4,53,E5,B4)</f>
        <v/>
      </c>
      <c r="F64" s="16">
        <f>B64-E64</f>
        <v/>
      </c>
    </row>
    <row r="65">
      <c r="A65" s="15" t="n">
        <v>54</v>
      </c>
      <c r="B65" s="16">
        <f>F64</f>
        <v/>
      </c>
      <c r="C65" s="16">
        <f>E6</f>
        <v/>
      </c>
      <c r="D65" s="16">
        <f>-IPMT(E4,54,E5,B4)</f>
        <v/>
      </c>
      <c r="E65" s="16">
        <f>-PPMT(E4,54,E5,B4)</f>
        <v/>
      </c>
      <c r="F65" s="16">
        <f>B65-E65</f>
        <v/>
      </c>
    </row>
    <row r="66">
      <c r="A66" s="15" t="n">
        <v>55</v>
      </c>
      <c r="B66" s="16">
        <f>F65</f>
        <v/>
      </c>
      <c r="C66" s="16">
        <f>E6</f>
        <v/>
      </c>
      <c r="D66" s="16">
        <f>-IPMT(E4,55,E5,B4)</f>
        <v/>
      </c>
      <c r="E66" s="16">
        <f>-PPMT(E4,55,E5,B4)</f>
        <v/>
      </c>
      <c r="F66" s="16">
        <f>B66-E66</f>
        <v/>
      </c>
    </row>
    <row r="67">
      <c r="A67" s="15" t="n">
        <v>56</v>
      </c>
      <c r="B67" s="16">
        <f>F66</f>
        <v/>
      </c>
      <c r="C67" s="16">
        <f>E6</f>
        <v/>
      </c>
      <c r="D67" s="16">
        <f>-IPMT(E4,56,E5,B4)</f>
        <v/>
      </c>
      <c r="E67" s="16">
        <f>-PPMT(E4,56,E5,B4)</f>
        <v/>
      </c>
      <c r="F67" s="16">
        <f>B67-E67</f>
        <v/>
      </c>
    </row>
    <row r="68">
      <c r="A68" s="15" t="n">
        <v>57</v>
      </c>
      <c r="B68" s="16">
        <f>F67</f>
        <v/>
      </c>
      <c r="C68" s="16">
        <f>E6</f>
        <v/>
      </c>
      <c r="D68" s="16">
        <f>-IPMT(E4,57,E5,B4)</f>
        <v/>
      </c>
      <c r="E68" s="16">
        <f>-PPMT(E4,57,E5,B4)</f>
        <v/>
      </c>
      <c r="F68" s="16">
        <f>B68-E68</f>
        <v/>
      </c>
    </row>
    <row r="69">
      <c r="A69" s="15" t="n">
        <v>58</v>
      </c>
      <c r="B69" s="16">
        <f>F68</f>
        <v/>
      </c>
      <c r="C69" s="16">
        <f>E6</f>
        <v/>
      </c>
      <c r="D69" s="16">
        <f>-IPMT(E4,58,E5,B4)</f>
        <v/>
      </c>
      <c r="E69" s="16">
        <f>-PPMT(E4,58,E5,B4)</f>
        <v/>
      </c>
      <c r="F69" s="16">
        <f>B69-E69</f>
        <v/>
      </c>
    </row>
    <row r="70">
      <c r="A70" s="15" t="n">
        <v>59</v>
      </c>
      <c r="B70" s="16">
        <f>F69</f>
        <v/>
      </c>
      <c r="C70" s="16">
        <f>E6</f>
        <v/>
      </c>
      <c r="D70" s="16">
        <f>-IPMT(E4,59,E5,B4)</f>
        <v/>
      </c>
      <c r="E70" s="16">
        <f>-PPMT(E4,59,E5,B4)</f>
        <v/>
      </c>
      <c r="F70" s="16">
        <f>B70-E70</f>
        <v/>
      </c>
    </row>
    <row r="71">
      <c r="A71" s="15" t="n">
        <v>60</v>
      </c>
      <c r="B71" s="16">
        <f>F70</f>
        <v/>
      </c>
      <c r="C71" s="16">
        <f>E6</f>
        <v/>
      </c>
      <c r="D71" s="16">
        <f>-IPMT(E4,60,E5,B4)</f>
        <v/>
      </c>
      <c r="E71" s="16">
        <f>-PPMT(E4,60,E5,B4)</f>
        <v/>
      </c>
      <c r="F71" s="16">
        <f>B71-E71</f>
        <v/>
      </c>
    </row>
    <row r="72">
      <c r="A72" s="15" t="n">
        <v>61</v>
      </c>
      <c r="B72" s="16">
        <f>F71</f>
        <v/>
      </c>
      <c r="C72" s="16">
        <f>E6</f>
        <v/>
      </c>
      <c r="D72" s="16">
        <f>-IPMT(E4,61,E5,B4)</f>
        <v/>
      </c>
      <c r="E72" s="16">
        <f>-PPMT(E4,61,E5,B4)</f>
        <v/>
      </c>
      <c r="F72" s="16">
        <f>B72-E72</f>
        <v/>
      </c>
    </row>
    <row r="73">
      <c r="A73" s="15" t="n">
        <v>62</v>
      </c>
      <c r="B73" s="16">
        <f>F72</f>
        <v/>
      </c>
      <c r="C73" s="16">
        <f>E6</f>
        <v/>
      </c>
      <c r="D73" s="16">
        <f>-IPMT(E4,62,E5,B4)</f>
        <v/>
      </c>
      <c r="E73" s="16">
        <f>-PPMT(E4,62,E5,B4)</f>
        <v/>
      </c>
      <c r="F73" s="16">
        <f>B73-E73</f>
        <v/>
      </c>
    </row>
    <row r="74">
      <c r="A74" s="15" t="n">
        <v>63</v>
      </c>
      <c r="B74" s="16">
        <f>F73</f>
        <v/>
      </c>
      <c r="C74" s="16">
        <f>E6</f>
        <v/>
      </c>
      <c r="D74" s="16">
        <f>-IPMT(E4,63,E5,B4)</f>
        <v/>
      </c>
      <c r="E74" s="16">
        <f>-PPMT(E4,63,E5,B4)</f>
        <v/>
      </c>
      <c r="F74" s="16">
        <f>B74-E74</f>
        <v/>
      </c>
    </row>
    <row r="75">
      <c r="A75" s="15" t="n">
        <v>64</v>
      </c>
      <c r="B75" s="16">
        <f>F74</f>
        <v/>
      </c>
      <c r="C75" s="16">
        <f>E6</f>
        <v/>
      </c>
      <c r="D75" s="16">
        <f>-IPMT(E4,64,E5,B4)</f>
        <v/>
      </c>
      <c r="E75" s="16">
        <f>-PPMT(E4,64,E5,B4)</f>
        <v/>
      </c>
      <c r="F75" s="16">
        <f>B75-E75</f>
        <v/>
      </c>
    </row>
    <row r="76">
      <c r="A76" s="15" t="n">
        <v>65</v>
      </c>
      <c r="B76" s="16">
        <f>F75</f>
        <v/>
      </c>
      <c r="C76" s="16">
        <f>E6</f>
        <v/>
      </c>
      <c r="D76" s="16">
        <f>-IPMT(E4,65,E5,B4)</f>
        <v/>
      </c>
      <c r="E76" s="16">
        <f>-PPMT(E4,65,E5,B4)</f>
        <v/>
      </c>
      <c r="F76" s="16">
        <f>B76-E76</f>
        <v/>
      </c>
    </row>
    <row r="77">
      <c r="A77" s="15" t="n">
        <v>66</v>
      </c>
      <c r="B77" s="16">
        <f>F76</f>
        <v/>
      </c>
      <c r="C77" s="16">
        <f>E6</f>
        <v/>
      </c>
      <c r="D77" s="16">
        <f>-IPMT(E4,66,E5,B4)</f>
        <v/>
      </c>
      <c r="E77" s="16">
        <f>-PPMT(E4,66,E5,B4)</f>
        <v/>
      </c>
      <c r="F77" s="16">
        <f>B77-E77</f>
        <v/>
      </c>
    </row>
    <row r="78">
      <c r="A78" s="15" t="n">
        <v>67</v>
      </c>
      <c r="B78" s="16">
        <f>F77</f>
        <v/>
      </c>
      <c r="C78" s="16">
        <f>E6</f>
        <v/>
      </c>
      <c r="D78" s="16">
        <f>-IPMT(E4,67,E5,B4)</f>
        <v/>
      </c>
      <c r="E78" s="16">
        <f>-PPMT(E4,67,E5,B4)</f>
        <v/>
      </c>
      <c r="F78" s="16">
        <f>B78-E78</f>
        <v/>
      </c>
    </row>
    <row r="79">
      <c r="A79" s="15" t="n">
        <v>68</v>
      </c>
      <c r="B79" s="16">
        <f>F78</f>
        <v/>
      </c>
      <c r="C79" s="16">
        <f>E6</f>
        <v/>
      </c>
      <c r="D79" s="16">
        <f>-IPMT(E4,68,E5,B4)</f>
        <v/>
      </c>
      <c r="E79" s="16">
        <f>-PPMT(E4,68,E5,B4)</f>
        <v/>
      </c>
      <c r="F79" s="16">
        <f>B79-E79</f>
        <v/>
      </c>
    </row>
    <row r="80">
      <c r="A80" s="15" t="n">
        <v>69</v>
      </c>
      <c r="B80" s="16">
        <f>F79</f>
        <v/>
      </c>
      <c r="C80" s="16">
        <f>E6</f>
        <v/>
      </c>
      <c r="D80" s="16">
        <f>-IPMT(E4,69,E5,B4)</f>
        <v/>
      </c>
      <c r="E80" s="16">
        <f>-PPMT(E4,69,E5,B4)</f>
        <v/>
      </c>
      <c r="F80" s="16">
        <f>B80-E80</f>
        <v/>
      </c>
    </row>
    <row r="81">
      <c r="A81" s="15" t="n">
        <v>70</v>
      </c>
      <c r="B81" s="16">
        <f>F80</f>
        <v/>
      </c>
      <c r="C81" s="16">
        <f>E6</f>
        <v/>
      </c>
      <c r="D81" s="16">
        <f>-IPMT(E4,70,E5,B4)</f>
        <v/>
      </c>
      <c r="E81" s="16">
        <f>-PPMT(E4,70,E5,B4)</f>
        <v/>
      </c>
      <c r="F81" s="16">
        <f>B81-E81</f>
        <v/>
      </c>
    </row>
    <row r="82">
      <c r="A82" s="15" t="n">
        <v>71</v>
      </c>
      <c r="B82" s="16">
        <f>F81</f>
        <v/>
      </c>
      <c r="C82" s="16">
        <f>E6</f>
        <v/>
      </c>
      <c r="D82" s="16">
        <f>-IPMT(E4,71,E5,B4)</f>
        <v/>
      </c>
      <c r="E82" s="16">
        <f>-PPMT(E4,71,E5,B4)</f>
        <v/>
      </c>
      <c r="F82" s="16">
        <f>B82-E82</f>
        <v/>
      </c>
    </row>
    <row r="83">
      <c r="A83" s="15" t="n">
        <v>72</v>
      </c>
      <c r="B83" s="16">
        <f>F82</f>
        <v/>
      </c>
      <c r="C83" s="16">
        <f>E6</f>
        <v/>
      </c>
      <c r="D83" s="16">
        <f>-IPMT(E4,72,E5,B4)</f>
        <v/>
      </c>
      <c r="E83" s="16">
        <f>-PPMT(E4,72,E5,B4)</f>
        <v/>
      </c>
      <c r="F83" s="16">
        <f>B83-E83</f>
        <v/>
      </c>
    </row>
    <row r="84">
      <c r="A84" s="15" t="n">
        <v>73</v>
      </c>
      <c r="B84" s="16">
        <f>F83</f>
        <v/>
      </c>
      <c r="C84" s="16">
        <f>E6</f>
        <v/>
      </c>
      <c r="D84" s="16">
        <f>-IPMT(E4,73,E5,B4)</f>
        <v/>
      </c>
      <c r="E84" s="16">
        <f>-PPMT(E4,73,E5,B4)</f>
        <v/>
      </c>
      <c r="F84" s="16">
        <f>B84-E84</f>
        <v/>
      </c>
    </row>
    <row r="85">
      <c r="A85" s="15" t="n">
        <v>74</v>
      </c>
      <c r="B85" s="16">
        <f>F84</f>
        <v/>
      </c>
      <c r="C85" s="16">
        <f>E6</f>
        <v/>
      </c>
      <c r="D85" s="16">
        <f>-IPMT(E4,74,E5,B4)</f>
        <v/>
      </c>
      <c r="E85" s="16">
        <f>-PPMT(E4,74,E5,B4)</f>
        <v/>
      </c>
      <c r="F85" s="16">
        <f>B85-E85</f>
        <v/>
      </c>
    </row>
    <row r="86">
      <c r="A86" s="15" t="n">
        <v>75</v>
      </c>
      <c r="B86" s="16">
        <f>F85</f>
        <v/>
      </c>
      <c r="C86" s="16">
        <f>E6</f>
        <v/>
      </c>
      <c r="D86" s="16">
        <f>-IPMT(E4,75,E5,B4)</f>
        <v/>
      </c>
      <c r="E86" s="16">
        <f>-PPMT(E4,75,E5,B4)</f>
        <v/>
      </c>
      <c r="F86" s="16">
        <f>B86-E86</f>
        <v/>
      </c>
    </row>
    <row r="87">
      <c r="A87" s="15" t="n">
        <v>76</v>
      </c>
      <c r="B87" s="16">
        <f>F86</f>
        <v/>
      </c>
      <c r="C87" s="16">
        <f>E6</f>
        <v/>
      </c>
      <c r="D87" s="16">
        <f>-IPMT(E4,76,E5,B4)</f>
        <v/>
      </c>
      <c r="E87" s="16">
        <f>-PPMT(E4,76,E5,B4)</f>
        <v/>
      </c>
      <c r="F87" s="16">
        <f>B87-E87</f>
        <v/>
      </c>
    </row>
    <row r="88">
      <c r="A88" s="15" t="n">
        <v>77</v>
      </c>
      <c r="B88" s="16">
        <f>F87</f>
        <v/>
      </c>
      <c r="C88" s="16">
        <f>E6</f>
        <v/>
      </c>
      <c r="D88" s="16">
        <f>-IPMT(E4,77,E5,B4)</f>
        <v/>
      </c>
      <c r="E88" s="16">
        <f>-PPMT(E4,77,E5,B4)</f>
        <v/>
      </c>
      <c r="F88" s="16">
        <f>B88-E88</f>
        <v/>
      </c>
    </row>
    <row r="89">
      <c r="A89" s="15" t="n">
        <v>78</v>
      </c>
      <c r="B89" s="16">
        <f>F88</f>
        <v/>
      </c>
      <c r="C89" s="16">
        <f>E6</f>
        <v/>
      </c>
      <c r="D89" s="16">
        <f>-IPMT(E4,78,E5,B4)</f>
        <v/>
      </c>
      <c r="E89" s="16">
        <f>-PPMT(E4,78,E5,B4)</f>
        <v/>
      </c>
      <c r="F89" s="16">
        <f>B89-E89</f>
        <v/>
      </c>
    </row>
    <row r="90">
      <c r="A90" s="17" t="inlineStr">
        <is>
          <t>Totals:</t>
        </is>
      </c>
      <c r="C90" s="18">
        <f>SUM(C12:C89)</f>
        <v/>
      </c>
      <c r="D90" s="18">
        <f>SUM(D12:D89)</f>
        <v/>
      </c>
      <c r="E90" s="18">
        <f>SUM(E12:E89)</f>
        <v/>
      </c>
    </row>
  </sheetData>
  <sheetProtection selectLockedCells="0" selectUnlockedCells="0" sheet="1" objects="1" insertRows="0" insertHyperlinks="1" autoFilter="0" scenarios="1" formatColumns="0" deleteColumns="0" insertColumns="0" pivotTables="0" deleteRows="0" formatCells="0" formatRows="0" sort="0" password="AE3A"/>
  <pageMargins left="0.75" right="0.75" top="1" bottom="1" header="0.5" footer="0.5"/>
</worksheet>
</file>

<file path=xl/worksheets/sheet6.xml><?xml version="1.0" encoding="utf-8"?>
<worksheet xmlns="http://schemas.openxmlformats.org/spreadsheetml/2006/main">
  <sheetPr>
    <tabColor rgb="FF3B83F6"/>
    <outlinePr summaryBelow="1" summaryRight="1"/>
    <pageSetUpPr/>
  </sheetPr>
  <dimension ref="A1:F116"/>
  <sheetViews>
    <sheetView workbookViewId="0">
      <pane ySplit="11" topLeftCell="A12" activePane="bottomLeft" state="frozen"/>
      <selection pane="bottomLeft" activeCell="A1" sqref="A1"/>
    </sheetView>
  </sheetViews>
  <sheetFormatPr baseColWidth="8" defaultRowHeight="14.5"/>
  <cols>
    <col width="10" customWidth="1" min="1" max="1"/>
    <col width="22" customWidth="1" min="2" max="2"/>
    <col width="18" customWidth="1" min="3" max="3"/>
    <col width="16" customWidth="1" min="4" max="5"/>
    <col width="20" customWidth="1" min="6" max="6"/>
  </cols>
  <sheetData>
    <row r="1" ht="18.5" customHeight="1">
      <c r="A1" s="1" t="inlineStr">
        <is>
          <t>Problem D – Two-Wheeler (Weekly)</t>
        </is>
      </c>
    </row>
    <row r="2"/>
    <row r="3">
      <c r="A3" s="8" t="inlineStr">
        <is>
          <t>Inputs</t>
        </is>
      </c>
      <c r="B3" s="8" t="n"/>
      <c r="D3" s="8" t="inlineStr">
        <is>
          <t>Key Outputs / Derived</t>
        </is>
      </c>
      <c r="E3" s="8" t="n"/>
    </row>
    <row r="4">
      <c r="A4" s="6" t="inlineStr">
        <is>
          <t>Principal (₹)</t>
        </is>
      </c>
      <c r="B4" s="9" t="n">
        <v>120000</v>
      </c>
      <c r="D4" s="7" t="inlineStr">
        <is>
          <t>Periodic Rate</t>
        </is>
      </c>
      <c r="E4" s="10">
        <f>B5/B7</f>
        <v/>
      </c>
    </row>
    <row r="5">
      <c r="A5" s="6" t="inlineStr">
        <is>
          <t>Annual Interest Rate (p.a.)</t>
        </is>
      </c>
      <c r="B5" s="11" t="n">
        <v>0.1275</v>
      </c>
      <c r="D5" s="7" t="inlineStr">
        <is>
          <t>Total Periods (nper)</t>
        </is>
      </c>
      <c r="E5" s="12">
        <f>B6*B7</f>
        <v/>
      </c>
    </row>
    <row r="6">
      <c r="A6" s="6" t="inlineStr">
        <is>
          <t>Term (years)</t>
        </is>
      </c>
      <c r="B6" s="13" t="n">
        <v>2</v>
      </c>
      <c r="D6" s="7" t="inlineStr">
        <is>
          <t>Installment (per period)</t>
        </is>
      </c>
      <c r="E6" s="14">
        <f>-PMT(E4,E5,B4)</f>
        <v/>
      </c>
    </row>
    <row r="7">
      <c r="A7" s="6" t="inlineStr">
        <is>
          <t>Payments per Year</t>
        </is>
      </c>
      <c r="B7" s="13" t="n">
        <v>52</v>
      </c>
      <c r="D7" s="7" t="inlineStr">
        <is>
          <t>Total Interest</t>
        </is>
      </c>
      <c r="E7" s="14">
        <f>D116</f>
        <v/>
      </c>
    </row>
    <row r="8">
      <c r="D8" s="7" t="inlineStr">
        <is>
          <t>Total Cost (Principal + Interest)</t>
        </is>
      </c>
      <c r="E8" s="14">
        <f>B4+E7</f>
        <v/>
      </c>
    </row>
    <row r="9"/>
    <row r="10"/>
    <row r="11">
      <c r="A11" s="2" t="inlineStr">
        <is>
          <t>Period</t>
        </is>
      </c>
      <c r="B11" s="2" t="inlineStr">
        <is>
          <t>Opening Balance (₹)</t>
        </is>
      </c>
      <c r="C11" s="2" t="inlineStr">
        <is>
          <t>Installment (₹)</t>
        </is>
      </c>
      <c r="D11" s="2" t="inlineStr">
        <is>
          <t>Interest (₹)</t>
        </is>
      </c>
      <c r="E11" s="2" t="inlineStr">
        <is>
          <t>Principal (₹)</t>
        </is>
      </c>
      <c r="F11" s="2" t="inlineStr">
        <is>
          <t>Closing Balance (₹)</t>
        </is>
      </c>
    </row>
    <row r="12">
      <c r="A12" s="15" t="n">
        <v>1</v>
      </c>
      <c r="B12" s="16">
        <f>B4</f>
        <v/>
      </c>
      <c r="C12" s="16">
        <f>E6</f>
        <v/>
      </c>
      <c r="D12" s="16">
        <f>-IPMT(E4,1,E5,B4)</f>
        <v/>
      </c>
      <c r="E12" s="16">
        <f>-PPMT(E4,1,E5,B4)</f>
        <v/>
      </c>
      <c r="F12" s="16">
        <f>B12-E12</f>
        <v/>
      </c>
    </row>
    <row r="13">
      <c r="A13" s="15" t="n">
        <v>2</v>
      </c>
      <c r="B13" s="16">
        <f>F12</f>
        <v/>
      </c>
      <c r="C13" s="16">
        <f>E6</f>
        <v/>
      </c>
      <c r="D13" s="16">
        <f>-IPMT(E4,2,E5,B4)</f>
        <v/>
      </c>
      <c r="E13" s="16">
        <f>-PPMT(E4,2,E5,B4)</f>
        <v/>
      </c>
      <c r="F13" s="16">
        <f>B13-E13</f>
        <v/>
      </c>
    </row>
    <row r="14">
      <c r="A14" s="15" t="n">
        <v>3</v>
      </c>
      <c r="B14" s="16">
        <f>F13</f>
        <v/>
      </c>
      <c r="C14" s="16">
        <f>E6</f>
        <v/>
      </c>
      <c r="D14" s="16">
        <f>-IPMT(E4,3,E5,B4)</f>
        <v/>
      </c>
      <c r="E14" s="16">
        <f>-PPMT(E4,3,E5,B4)</f>
        <v/>
      </c>
      <c r="F14" s="16">
        <f>B14-E14</f>
        <v/>
      </c>
    </row>
    <row r="15">
      <c r="A15" s="15" t="n">
        <v>4</v>
      </c>
      <c r="B15" s="16">
        <f>F14</f>
        <v/>
      </c>
      <c r="C15" s="16">
        <f>E6</f>
        <v/>
      </c>
      <c r="D15" s="16">
        <f>-IPMT(E4,4,E5,B4)</f>
        <v/>
      </c>
      <c r="E15" s="16">
        <f>-PPMT(E4,4,E5,B4)</f>
        <v/>
      </c>
      <c r="F15" s="16">
        <f>B15-E15</f>
        <v/>
      </c>
    </row>
    <row r="16">
      <c r="A16" s="15" t="n">
        <v>5</v>
      </c>
      <c r="B16" s="16">
        <f>F15</f>
        <v/>
      </c>
      <c r="C16" s="16">
        <f>E6</f>
        <v/>
      </c>
      <c r="D16" s="16">
        <f>-IPMT(E4,5,E5,B4)</f>
        <v/>
      </c>
      <c r="E16" s="16">
        <f>-PPMT(E4,5,E5,B4)</f>
        <v/>
      </c>
      <c r="F16" s="16">
        <f>B16-E16</f>
        <v/>
      </c>
    </row>
    <row r="17">
      <c r="A17" s="15" t="n">
        <v>6</v>
      </c>
      <c r="B17" s="16">
        <f>F16</f>
        <v/>
      </c>
      <c r="C17" s="16">
        <f>E6</f>
        <v/>
      </c>
      <c r="D17" s="16">
        <f>-IPMT(E4,6,E5,B4)</f>
        <v/>
      </c>
      <c r="E17" s="16">
        <f>-PPMT(E4,6,E5,B4)</f>
        <v/>
      </c>
      <c r="F17" s="16">
        <f>B17-E17</f>
        <v/>
      </c>
    </row>
    <row r="18">
      <c r="A18" s="15" t="n">
        <v>7</v>
      </c>
      <c r="B18" s="16">
        <f>F17</f>
        <v/>
      </c>
      <c r="C18" s="16">
        <f>E6</f>
        <v/>
      </c>
      <c r="D18" s="16">
        <f>-IPMT(E4,7,E5,B4)</f>
        <v/>
      </c>
      <c r="E18" s="16">
        <f>-PPMT(E4,7,E5,B4)</f>
        <v/>
      </c>
      <c r="F18" s="16">
        <f>B18-E18</f>
        <v/>
      </c>
    </row>
    <row r="19">
      <c r="A19" s="15" t="n">
        <v>8</v>
      </c>
      <c r="B19" s="16">
        <f>F18</f>
        <v/>
      </c>
      <c r="C19" s="16">
        <f>E6</f>
        <v/>
      </c>
      <c r="D19" s="16">
        <f>-IPMT(E4,8,E5,B4)</f>
        <v/>
      </c>
      <c r="E19" s="16">
        <f>-PPMT(E4,8,E5,B4)</f>
        <v/>
      </c>
      <c r="F19" s="16">
        <f>B19-E19</f>
        <v/>
      </c>
    </row>
    <row r="20">
      <c r="A20" s="15" t="n">
        <v>9</v>
      </c>
      <c r="B20" s="16">
        <f>F19</f>
        <v/>
      </c>
      <c r="C20" s="16">
        <f>E6</f>
        <v/>
      </c>
      <c r="D20" s="16">
        <f>-IPMT(E4,9,E5,B4)</f>
        <v/>
      </c>
      <c r="E20" s="16">
        <f>-PPMT(E4,9,E5,B4)</f>
        <v/>
      </c>
      <c r="F20" s="16">
        <f>B20-E20</f>
        <v/>
      </c>
    </row>
    <row r="21">
      <c r="A21" s="15" t="n">
        <v>10</v>
      </c>
      <c r="B21" s="16">
        <f>F20</f>
        <v/>
      </c>
      <c r="C21" s="16">
        <f>E6</f>
        <v/>
      </c>
      <c r="D21" s="16">
        <f>-IPMT(E4,10,E5,B4)</f>
        <v/>
      </c>
      <c r="E21" s="16">
        <f>-PPMT(E4,10,E5,B4)</f>
        <v/>
      </c>
      <c r="F21" s="16">
        <f>B21-E21</f>
        <v/>
      </c>
    </row>
    <row r="22">
      <c r="A22" s="15" t="n">
        <v>11</v>
      </c>
      <c r="B22" s="16">
        <f>F21</f>
        <v/>
      </c>
      <c r="C22" s="16">
        <f>E6</f>
        <v/>
      </c>
      <c r="D22" s="16">
        <f>-IPMT(E4,11,E5,B4)</f>
        <v/>
      </c>
      <c r="E22" s="16">
        <f>-PPMT(E4,11,E5,B4)</f>
        <v/>
      </c>
      <c r="F22" s="16">
        <f>B22-E22</f>
        <v/>
      </c>
    </row>
    <row r="23">
      <c r="A23" s="15" t="n">
        <v>12</v>
      </c>
      <c r="B23" s="16">
        <f>F22</f>
        <v/>
      </c>
      <c r="C23" s="16">
        <f>E6</f>
        <v/>
      </c>
      <c r="D23" s="16">
        <f>-IPMT(E4,12,E5,B4)</f>
        <v/>
      </c>
      <c r="E23" s="16">
        <f>-PPMT(E4,12,E5,B4)</f>
        <v/>
      </c>
      <c r="F23" s="16">
        <f>B23-E23</f>
        <v/>
      </c>
    </row>
    <row r="24">
      <c r="A24" s="15" t="n">
        <v>13</v>
      </c>
      <c r="B24" s="16">
        <f>F23</f>
        <v/>
      </c>
      <c r="C24" s="16">
        <f>E6</f>
        <v/>
      </c>
      <c r="D24" s="16">
        <f>-IPMT(E4,13,E5,B4)</f>
        <v/>
      </c>
      <c r="E24" s="16">
        <f>-PPMT(E4,13,E5,B4)</f>
        <v/>
      </c>
      <c r="F24" s="16">
        <f>B24-E24</f>
        <v/>
      </c>
    </row>
    <row r="25">
      <c r="A25" s="15" t="n">
        <v>14</v>
      </c>
      <c r="B25" s="16">
        <f>F24</f>
        <v/>
      </c>
      <c r="C25" s="16">
        <f>E6</f>
        <v/>
      </c>
      <c r="D25" s="16">
        <f>-IPMT(E4,14,E5,B4)</f>
        <v/>
      </c>
      <c r="E25" s="16">
        <f>-PPMT(E4,14,E5,B4)</f>
        <v/>
      </c>
      <c r="F25" s="16">
        <f>B25-E25</f>
        <v/>
      </c>
    </row>
    <row r="26">
      <c r="A26" s="15" t="n">
        <v>15</v>
      </c>
      <c r="B26" s="16">
        <f>F25</f>
        <v/>
      </c>
      <c r="C26" s="16">
        <f>E6</f>
        <v/>
      </c>
      <c r="D26" s="16">
        <f>-IPMT(E4,15,E5,B4)</f>
        <v/>
      </c>
      <c r="E26" s="16">
        <f>-PPMT(E4,15,E5,B4)</f>
        <v/>
      </c>
      <c r="F26" s="16">
        <f>B26-E26</f>
        <v/>
      </c>
    </row>
    <row r="27">
      <c r="A27" s="15" t="n">
        <v>16</v>
      </c>
      <c r="B27" s="16">
        <f>F26</f>
        <v/>
      </c>
      <c r="C27" s="16">
        <f>E6</f>
        <v/>
      </c>
      <c r="D27" s="16">
        <f>-IPMT(E4,16,E5,B4)</f>
        <v/>
      </c>
      <c r="E27" s="16">
        <f>-PPMT(E4,16,E5,B4)</f>
        <v/>
      </c>
      <c r="F27" s="16">
        <f>B27-E27</f>
        <v/>
      </c>
    </row>
    <row r="28">
      <c r="A28" s="15" t="n">
        <v>17</v>
      </c>
      <c r="B28" s="16">
        <f>F27</f>
        <v/>
      </c>
      <c r="C28" s="16">
        <f>E6</f>
        <v/>
      </c>
      <c r="D28" s="16">
        <f>-IPMT(E4,17,E5,B4)</f>
        <v/>
      </c>
      <c r="E28" s="16">
        <f>-PPMT(E4,17,E5,B4)</f>
        <v/>
      </c>
      <c r="F28" s="16">
        <f>B28-E28</f>
        <v/>
      </c>
    </row>
    <row r="29">
      <c r="A29" s="15" t="n">
        <v>18</v>
      </c>
      <c r="B29" s="16">
        <f>F28</f>
        <v/>
      </c>
      <c r="C29" s="16">
        <f>E6</f>
        <v/>
      </c>
      <c r="D29" s="16">
        <f>-IPMT(E4,18,E5,B4)</f>
        <v/>
      </c>
      <c r="E29" s="16">
        <f>-PPMT(E4,18,E5,B4)</f>
        <v/>
      </c>
      <c r="F29" s="16">
        <f>B29-E29</f>
        <v/>
      </c>
    </row>
    <row r="30">
      <c r="A30" s="15" t="n">
        <v>19</v>
      </c>
      <c r="B30" s="16">
        <f>F29</f>
        <v/>
      </c>
      <c r="C30" s="16">
        <f>E6</f>
        <v/>
      </c>
      <c r="D30" s="16">
        <f>-IPMT(E4,19,E5,B4)</f>
        <v/>
      </c>
      <c r="E30" s="16">
        <f>-PPMT(E4,19,E5,B4)</f>
        <v/>
      </c>
      <c r="F30" s="16">
        <f>B30-E30</f>
        <v/>
      </c>
    </row>
    <row r="31">
      <c r="A31" s="15" t="n">
        <v>20</v>
      </c>
      <c r="B31" s="16">
        <f>F30</f>
        <v/>
      </c>
      <c r="C31" s="16">
        <f>E6</f>
        <v/>
      </c>
      <c r="D31" s="16">
        <f>-IPMT(E4,20,E5,B4)</f>
        <v/>
      </c>
      <c r="E31" s="16">
        <f>-PPMT(E4,20,E5,B4)</f>
        <v/>
      </c>
      <c r="F31" s="16">
        <f>B31-E31</f>
        <v/>
      </c>
    </row>
    <row r="32">
      <c r="A32" s="15" t="n">
        <v>21</v>
      </c>
      <c r="B32" s="16">
        <f>F31</f>
        <v/>
      </c>
      <c r="C32" s="16">
        <f>E6</f>
        <v/>
      </c>
      <c r="D32" s="16">
        <f>-IPMT(E4,21,E5,B4)</f>
        <v/>
      </c>
      <c r="E32" s="16">
        <f>-PPMT(E4,21,E5,B4)</f>
        <v/>
      </c>
      <c r="F32" s="16">
        <f>B32-E32</f>
        <v/>
      </c>
    </row>
    <row r="33">
      <c r="A33" s="15" t="n">
        <v>22</v>
      </c>
      <c r="B33" s="16">
        <f>F32</f>
        <v/>
      </c>
      <c r="C33" s="16">
        <f>E6</f>
        <v/>
      </c>
      <c r="D33" s="16">
        <f>-IPMT(E4,22,E5,B4)</f>
        <v/>
      </c>
      <c r="E33" s="16">
        <f>-PPMT(E4,22,E5,B4)</f>
        <v/>
      </c>
      <c r="F33" s="16">
        <f>B33-E33</f>
        <v/>
      </c>
    </row>
    <row r="34">
      <c r="A34" s="15" t="n">
        <v>23</v>
      </c>
      <c r="B34" s="16">
        <f>F33</f>
        <v/>
      </c>
      <c r="C34" s="16">
        <f>E6</f>
        <v/>
      </c>
      <c r="D34" s="16">
        <f>-IPMT(E4,23,E5,B4)</f>
        <v/>
      </c>
      <c r="E34" s="16">
        <f>-PPMT(E4,23,E5,B4)</f>
        <v/>
      </c>
      <c r="F34" s="16">
        <f>B34-E34</f>
        <v/>
      </c>
    </row>
    <row r="35">
      <c r="A35" s="15" t="n">
        <v>24</v>
      </c>
      <c r="B35" s="16">
        <f>F34</f>
        <v/>
      </c>
      <c r="C35" s="16">
        <f>E6</f>
        <v/>
      </c>
      <c r="D35" s="16">
        <f>-IPMT(E4,24,E5,B4)</f>
        <v/>
      </c>
      <c r="E35" s="16">
        <f>-PPMT(E4,24,E5,B4)</f>
        <v/>
      </c>
      <c r="F35" s="16">
        <f>B35-E35</f>
        <v/>
      </c>
    </row>
    <row r="36">
      <c r="A36" s="15" t="n">
        <v>25</v>
      </c>
      <c r="B36" s="16">
        <f>F35</f>
        <v/>
      </c>
      <c r="C36" s="16">
        <f>E6</f>
        <v/>
      </c>
      <c r="D36" s="16">
        <f>-IPMT(E4,25,E5,B4)</f>
        <v/>
      </c>
      <c r="E36" s="16">
        <f>-PPMT(E4,25,E5,B4)</f>
        <v/>
      </c>
      <c r="F36" s="16">
        <f>B36-E36</f>
        <v/>
      </c>
    </row>
    <row r="37">
      <c r="A37" s="15" t="n">
        <v>26</v>
      </c>
      <c r="B37" s="16">
        <f>F36</f>
        <v/>
      </c>
      <c r="C37" s="16">
        <f>E6</f>
        <v/>
      </c>
      <c r="D37" s="16">
        <f>-IPMT(E4,26,E5,B4)</f>
        <v/>
      </c>
      <c r="E37" s="16">
        <f>-PPMT(E4,26,E5,B4)</f>
        <v/>
      </c>
      <c r="F37" s="16">
        <f>B37-E37</f>
        <v/>
      </c>
    </row>
    <row r="38">
      <c r="A38" s="15" t="n">
        <v>27</v>
      </c>
      <c r="B38" s="16">
        <f>F37</f>
        <v/>
      </c>
      <c r="C38" s="16">
        <f>E6</f>
        <v/>
      </c>
      <c r="D38" s="16">
        <f>-IPMT(E4,27,E5,B4)</f>
        <v/>
      </c>
      <c r="E38" s="16">
        <f>-PPMT(E4,27,E5,B4)</f>
        <v/>
      </c>
      <c r="F38" s="16">
        <f>B38-E38</f>
        <v/>
      </c>
    </row>
    <row r="39">
      <c r="A39" s="15" t="n">
        <v>28</v>
      </c>
      <c r="B39" s="16">
        <f>F38</f>
        <v/>
      </c>
      <c r="C39" s="16">
        <f>E6</f>
        <v/>
      </c>
      <c r="D39" s="16">
        <f>-IPMT(E4,28,E5,B4)</f>
        <v/>
      </c>
      <c r="E39" s="16">
        <f>-PPMT(E4,28,E5,B4)</f>
        <v/>
      </c>
      <c r="F39" s="16">
        <f>B39-E39</f>
        <v/>
      </c>
    </row>
    <row r="40">
      <c r="A40" s="15" t="n">
        <v>29</v>
      </c>
      <c r="B40" s="16">
        <f>F39</f>
        <v/>
      </c>
      <c r="C40" s="16">
        <f>E6</f>
        <v/>
      </c>
      <c r="D40" s="16">
        <f>-IPMT(E4,29,E5,B4)</f>
        <v/>
      </c>
      <c r="E40" s="16">
        <f>-PPMT(E4,29,E5,B4)</f>
        <v/>
      </c>
      <c r="F40" s="16">
        <f>B40-E40</f>
        <v/>
      </c>
    </row>
    <row r="41">
      <c r="A41" s="15" t="n">
        <v>30</v>
      </c>
      <c r="B41" s="16">
        <f>F40</f>
        <v/>
      </c>
      <c r="C41" s="16">
        <f>E6</f>
        <v/>
      </c>
      <c r="D41" s="16">
        <f>-IPMT(E4,30,E5,B4)</f>
        <v/>
      </c>
      <c r="E41" s="16">
        <f>-PPMT(E4,30,E5,B4)</f>
        <v/>
      </c>
      <c r="F41" s="16">
        <f>B41-E41</f>
        <v/>
      </c>
    </row>
    <row r="42">
      <c r="A42" s="15" t="n">
        <v>31</v>
      </c>
      <c r="B42" s="16">
        <f>F41</f>
        <v/>
      </c>
      <c r="C42" s="16">
        <f>E6</f>
        <v/>
      </c>
      <c r="D42" s="16">
        <f>-IPMT(E4,31,E5,B4)</f>
        <v/>
      </c>
      <c r="E42" s="16">
        <f>-PPMT(E4,31,E5,B4)</f>
        <v/>
      </c>
      <c r="F42" s="16">
        <f>B42-E42</f>
        <v/>
      </c>
    </row>
    <row r="43">
      <c r="A43" s="15" t="n">
        <v>32</v>
      </c>
      <c r="B43" s="16">
        <f>F42</f>
        <v/>
      </c>
      <c r="C43" s="16">
        <f>E6</f>
        <v/>
      </c>
      <c r="D43" s="16">
        <f>-IPMT(E4,32,E5,B4)</f>
        <v/>
      </c>
      <c r="E43" s="16">
        <f>-PPMT(E4,32,E5,B4)</f>
        <v/>
      </c>
      <c r="F43" s="16">
        <f>B43-E43</f>
        <v/>
      </c>
    </row>
    <row r="44">
      <c r="A44" s="15" t="n">
        <v>33</v>
      </c>
      <c r="B44" s="16">
        <f>F43</f>
        <v/>
      </c>
      <c r="C44" s="16">
        <f>E6</f>
        <v/>
      </c>
      <c r="D44" s="16">
        <f>-IPMT(E4,33,E5,B4)</f>
        <v/>
      </c>
      <c r="E44" s="16">
        <f>-PPMT(E4,33,E5,B4)</f>
        <v/>
      </c>
      <c r="F44" s="16">
        <f>B44-E44</f>
        <v/>
      </c>
    </row>
    <row r="45">
      <c r="A45" s="15" t="n">
        <v>34</v>
      </c>
      <c r="B45" s="16">
        <f>F44</f>
        <v/>
      </c>
      <c r="C45" s="16">
        <f>E6</f>
        <v/>
      </c>
      <c r="D45" s="16">
        <f>-IPMT(E4,34,E5,B4)</f>
        <v/>
      </c>
      <c r="E45" s="16">
        <f>-PPMT(E4,34,E5,B4)</f>
        <v/>
      </c>
      <c r="F45" s="16">
        <f>B45-E45</f>
        <v/>
      </c>
    </row>
    <row r="46">
      <c r="A46" s="15" t="n">
        <v>35</v>
      </c>
      <c r="B46" s="16">
        <f>F45</f>
        <v/>
      </c>
      <c r="C46" s="16">
        <f>E6</f>
        <v/>
      </c>
      <c r="D46" s="16">
        <f>-IPMT(E4,35,E5,B4)</f>
        <v/>
      </c>
      <c r="E46" s="16">
        <f>-PPMT(E4,35,E5,B4)</f>
        <v/>
      </c>
      <c r="F46" s="16">
        <f>B46-E46</f>
        <v/>
      </c>
    </row>
    <row r="47">
      <c r="A47" s="15" t="n">
        <v>36</v>
      </c>
      <c r="B47" s="16">
        <f>F46</f>
        <v/>
      </c>
      <c r="C47" s="16">
        <f>E6</f>
        <v/>
      </c>
      <c r="D47" s="16">
        <f>-IPMT(E4,36,E5,B4)</f>
        <v/>
      </c>
      <c r="E47" s="16">
        <f>-PPMT(E4,36,E5,B4)</f>
        <v/>
      </c>
      <c r="F47" s="16">
        <f>B47-E47</f>
        <v/>
      </c>
    </row>
    <row r="48">
      <c r="A48" s="15" t="n">
        <v>37</v>
      </c>
      <c r="B48" s="16">
        <f>F47</f>
        <v/>
      </c>
      <c r="C48" s="16">
        <f>E6</f>
        <v/>
      </c>
      <c r="D48" s="16">
        <f>-IPMT(E4,37,E5,B4)</f>
        <v/>
      </c>
      <c r="E48" s="16">
        <f>-PPMT(E4,37,E5,B4)</f>
        <v/>
      </c>
      <c r="F48" s="16">
        <f>B48-E48</f>
        <v/>
      </c>
    </row>
    <row r="49">
      <c r="A49" s="15" t="n">
        <v>38</v>
      </c>
      <c r="B49" s="16">
        <f>F48</f>
        <v/>
      </c>
      <c r="C49" s="16">
        <f>E6</f>
        <v/>
      </c>
      <c r="D49" s="16">
        <f>-IPMT(E4,38,E5,B4)</f>
        <v/>
      </c>
      <c r="E49" s="16">
        <f>-PPMT(E4,38,E5,B4)</f>
        <v/>
      </c>
      <c r="F49" s="16">
        <f>B49-E49</f>
        <v/>
      </c>
    </row>
    <row r="50">
      <c r="A50" s="15" t="n">
        <v>39</v>
      </c>
      <c r="B50" s="16">
        <f>F49</f>
        <v/>
      </c>
      <c r="C50" s="16">
        <f>E6</f>
        <v/>
      </c>
      <c r="D50" s="16">
        <f>-IPMT(E4,39,E5,B4)</f>
        <v/>
      </c>
      <c r="E50" s="16">
        <f>-PPMT(E4,39,E5,B4)</f>
        <v/>
      </c>
      <c r="F50" s="16">
        <f>B50-E50</f>
        <v/>
      </c>
    </row>
    <row r="51">
      <c r="A51" s="15" t="n">
        <v>40</v>
      </c>
      <c r="B51" s="16">
        <f>F50</f>
        <v/>
      </c>
      <c r="C51" s="16">
        <f>E6</f>
        <v/>
      </c>
      <c r="D51" s="16">
        <f>-IPMT(E4,40,E5,B4)</f>
        <v/>
      </c>
      <c r="E51" s="16">
        <f>-PPMT(E4,40,E5,B4)</f>
        <v/>
      </c>
      <c r="F51" s="16">
        <f>B51-E51</f>
        <v/>
      </c>
    </row>
    <row r="52">
      <c r="A52" s="15" t="n">
        <v>41</v>
      </c>
      <c r="B52" s="16">
        <f>F51</f>
        <v/>
      </c>
      <c r="C52" s="16">
        <f>E6</f>
        <v/>
      </c>
      <c r="D52" s="16">
        <f>-IPMT(E4,41,E5,B4)</f>
        <v/>
      </c>
      <c r="E52" s="16">
        <f>-PPMT(E4,41,E5,B4)</f>
        <v/>
      </c>
      <c r="F52" s="16">
        <f>B52-E52</f>
        <v/>
      </c>
    </row>
    <row r="53">
      <c r="A53" s="15" t="n">
        <v>42</v>
      </c>
      <c r="B53" s="16">
        <f>F52</f>
        <v/>
      </c>
      <c r="C53" s="16">
        <f>E6</f>
        <v/>
      </c>
      <c r="D53" s="16">
        <f>-IPMT(E4,42,E5,B4)</f>
        <v/>
      </c>
      <c r="E53" s="16">
        <f>-PPMT(E4,42,E5,B4)</f>
        <v/>
      </c>
      <c r="F53" s="16">
        <f>B53-E53</f>
        <v/>
      </c>
    </row>
    <row r="54">
      <c r="A54" s="15" t="n">
        <v>43</v>
      </c>
      <c r="B54" s="16">
        <f>F53</f>
        <v/>
      </c>
      <c r="C54" s="16">
        <f>E6</f>
        <v/>
      </c>
      <c r="D54" s="16">
        <f>-IPMT(E4,43,E5,B4)</f>
        <v/>
      </c>
      <c r="E54" s="16">
        <f>-PPMT(E4,43,E5,B4)</f>
        <v/>
      </c>
      <c r="F54" s="16">
        <f>B54-E54</f>
        <v/>
      </c>
    </row>
    <row r="55">
      <c r="A55" s="15" t="n">
        <v>44</v>
      </c>
      <c r="B55" s="16">
        <f>F54</f>
        <v/>
      </c>
      <c r="C55" s="16">
        <f>E6</f>
        <v/>
      </c>
      <c r="D55" s="16">
        <f>-IPMT(E4,44,E5,B4)</f>
        <v/>
      </c>
      <c r="E55" s="16">
        <f>-PPMT(E4,44,E5,B4)</f>
        <v/>
      </c>
      <c r="F55" s="16">
        <f>B55-E55</f>
        <v/>
      </c>
    </row>
    <row r="56">
      <c r="A56" s="15" t="n">
        <v>45</v>
      </c>
      <c r="B56" s="16">
        <f>F55</f>
        <v/>
      </c>
      <c r="C56" s="16">
        <f>E6</f>
        <v/>
      </c>
      <c r="D56" s="16">
        <f>-IPMT(E4,45,E5,B4)</f>
        <v/>
      </c>
      <c r="E56" s="16">
        <f>-PPMT(E4,45,E5,B4)</f>
        <v/>
      </c>
      <c r="F56" s="16">
        <f>B56-E56</f>
        <v/>
      </c>
    </row>
    <row r="57">
      <c r="A57" s="15" t="n">
        <v>46</v>
      </c>
      <c r="B57" s="16">
        <f>F56</f>
        <v/>
      </c>
      <c r="C57" s="16">
        <f>E6</f>
        <v/>
      </c>
      <c r="D57" s="16">
        <f>-IPMT(E4,46,E5,B4)</f>
        <v/>
      </c>
      <c r="E57" s="16">
        <f>-PPMT(E4,46,E5,B4)</f>
        <v/>
      </c>
      <c r="F57" s="16">
        <f>B57-E57</f>
        <v/>
      </c>
    </row>
    <row r="58">
      <c r="A58" s="15" t="n">
        <v>47</v>
      </c>
      <c r="B58" s="16">
        <f>F57</f>
        <v/>
      </c>
      <c r="C58" s="16">
        <f>E6</f>
        <v/>
      </c>
      <c r="D58" s="16">
        <f>-IPMT(E4,47,E5,B4)</f>
        <v/>
      </c>
      <c r="E58" s="16">
        <f>-PPMT(E4,47,E5,B4)</f>
        <v/>
      </c>
      <c r="F58" s="16">
        <f>B58-E58</f>
        <v/>
      </c>
    </row>
    <row r="59">
      <c r="A59" s="15" t="n">
        <v>48</v>
      </c>
      <c r="B59" s="16">
        <f>F58</f>
        <v/>
      </c>
      <c r="C59" s="16">
        <f>E6</f>
        <v/>
      </c>
      <c r="D59" s="16">
        <f>-IPMT(E4,48,E5,B4)</f>
        <v/>
      </c>
      <c r="E59" s="16">
        <f>-PPMT(E4,48,E5,B4)</f>
        <v/>
      </c>
      <c r="F59" s="16">
        <f>B59-E59</f>
        <v/>
      </c>
    </row>
    <row r="60">
      <c r="A60" s="15" t="n">
        <v>49</v>
      </c>
      <c r="B60" s="16">
        <f>F59</f>
        <v/>
      </c>
      <c r="C60" s="16">
        <f>E6</f>
        <v/>
      </c>
      <c r="D60" s="16">
        <f>-IPMT(E4,49,E5,B4)</f>
        <v/>
      </c>
      <c r="E60" s="16">
        <f>-PPMT(E4,49,E5,B4)</f>
        <v/>
      </c>
      <c r="F60" s="16">
        <f>B60-E60</f>
        <v/>
      </c>
    </row>
    <row r="61">
      <c r="A61" s="15" t="n">
        <v>50</v>
      </c>
      <c r="B61" s="16">
        <f>F60</f>
        <v/>
      </c>
      <c r="C61" s="16">
        <f>E6</f>
        <v/>
      </c>
      <c r="D61" s="16">
        <f>-IPMT(E4,50,E5,B4)</f>
        <v/>
      </c>
      <c r="E61" s="16">
        <f>-PPMT(E4,50,E5,B4)</f>
        <v/>
      </c>
      <c r="F61" s="16">
        <f>B61-E61</f>
        <v/>
      </c>
    </row>
    <row r="62">
      <c r="A62" s="15" t="n">
        <v>51</v>
      </c>
      <c r="B62" s="16">
        <f>F61</f>
        <v/>
      </c>
      <c r="C62" s="16">
        <f>E6</f>
        <v/>
      </c>
      <c r="D62" s="16">
        <f>-IPMT(E4,51,E5,B4)</f>
        <v/>
      </c>
      <c r="E62" s="16">
        <f>-PPMT(E4,51,E5,B4)</f>
        <v/>
      </c>
      <c r="F62" s="16">
        <f>B62-E62</f>
        <v/>
      </c>
    </row>
    <row r="63">
      <c r="A63" s="15" t="n">
        <v>52</v>
      </c>
      <c r="B63" s="16">
        <f>F62</f>
        <v/>
      </c>
      <c r="C63" s="16">
        <f>E6</f>
        <v/>
      </c>
      <c r="D63" s="16">
        <f>-IPMT(E4,52,E5,B4)</f>
        <v/>
      </c>
      <c r="E63" s="16">
        <f>-PPMT(E4,52,E5,B4)</f>
        <v/>
      </c>
      <c r="F63" s="16">
        <f>B63-E63</f>
        <v/>
      </c>
    </row>
    <row r="64">
      <c r="A64" s="15" t="n">
        <v>53</v>
      </c>
      <c r="B64" s="16">
        <f>F63</f>
        <v/>
      </c>
      <c r="C64" s="16">
        <f>E6</f>
        <v/>
      </c>
      <c r="D64" s="16">
        <f>-IPMT(E4,53,E5,B4)</f>
        <v/>
      </c>
      <c r="E64" s="16">
        <f>-PPMT(E4,53,E5,B4)</f>
        <v/>
      </c>
      <c r="F64" s="16">
        <f>B64-E64</f>
        <v/>
      </c>
    </row>
    <row r="65">
      <c r="A65" s="15" t="n">
        <v>54</v>
      </c>
      <c r="B65" s="16">
        <f>F64</f>
        <v/>
      </c>
      <c r="C65" s="16">
        <f>E6</f>
        <v/>
      </c>
      <c r="D65" s="16">
        <f>-IPMT(E4,54,E5,B4)</f>
        <v/>
      </c>
      <c r="E65" s="16">
        <f>-PPMT(E4,54,E5,B4)</f>
        <v/>
      </c>
      <c r="F65" s="16">
        <f>B65-E65</f>
        <v/>
      </c>
    </row>
    <row r="66">
      <c r="A66" s="15" t="n">
        <v>55</v>
      </c>
      <c r="B66" s="16">
        <f>F65</f>
        <v/>
      </c>
      <c r="C66" s="16">
        <f>E6</f>
        <v/>
      </c>
      <c r="D66" s="16">
        <f>-IPMT(E4,55,E5,B4)</f>
        <v/>
      </c>
      <c r="E66" s="16">
        <f>-PPMT(E4,55,E5,B4)</f>
        <v/>
      </c>
      <c r="F66" s="16">
        <f>B66-E66</f>
        <v/>
      </c>
    </row>
    <row r="67">
      <c r="A67" s="15" t="n">
        <v>56</v>
      </c>
      <c r="B67" s="16">
        <f>F66</f>
        <v/>
      </c>
      <c r="C67" s="16">
        <f>E6</f>
        <v/>
      </c>
      <c r="D67" s="16">
        <f>-IPMT(E4,56,E5,B4)</f>
        <v/>
      </c>
      <c r="E67" s="16">
        <f>-PPMT(E4,56,E5,B4)</f>
        <v/>
      </c>
      <c r="F67" s="16">
        <f>B67-E67</f>
        <v/>
      </c>
    </row>
    <row r="68">
      <c r="A68" s="15" t="n">
        <v>57</v>
      </c>
      <c r="B68" s="16">
        <f>F67</f>
        <v/>
      </c>
      <c r="C68" s="16">
        <f>E6</f>
        <v/>
      </c>
      <c r="D68" s="16">
        <f>-IPMT(E4,57,E5,B4)</f>
        <v/>
      </c>
      <c r="E68" s="16">
        <f>-PPMT(E4,57,E5,B4)</f>
        <v/>
      </c>
      <c r="F68" s="16">
        <f>B68-E68</f>
        <v/>
      </c>
    </row>
    <row r="69">
      <c r="A69" s="15" t="n">
        <v>58</v>
      </c>
      <c r="B69" s="16">
        <f>F68</f>
        <v/>
      </c>
      <c r="C69" s="16">
        <f>E6</f>
        <v/>
      </c>
      <c r="D69" s="16">
        <f>-IPMT(E4,58,E5,B4)</f>
        <v/>
      </c>
      <c r="E69" s="16">
        <f>-PPMT(E4,58,E5,B4)</f>
        <v/>
      </c>
      <c r="F69" s="16">
        <f>B69-E69</f>
        <v/>
      </c>
    </row>
    <row r="70">
      <c r="A70" s="15" t="n">
        <v>59</v>
      </c>
      <c r="B70" s="16">
        <f>F69</f>
        <v/>
      </c>
      <c r="C70" s="16">
        <f>E6</f>
        <v/>
      </c>
      <c r="D70" s="16">
        <f>-IPMT(E4,59,E5,B4)</f>
        <v/>
      </c>
      <c r="E70" s="16">
        <f>-PPMT(E4,59,E5,B4)</f>
        <v/>
      </c>
      <c r="F70" s="16">
        <f>B70-E70</f>
        <v/>
      </c>
    </row>
    <row r="71">
      <c r="A71" s="15" t="n">
        <v>60</v>
      </c>
      <c r="B71" s="16">
        <f>F70</f>
        <v/>
      </c>
      <c r="C71" s="16">
        <f>E6</f>
        <v/>
      </c>
      <c r="D71" s="16">
        <f>-IPMT(E4,60,E5,B4)</f>
        <v/>
      </c>
      <c r="E71" s="16">
        <f>-PPMT(E4,60,E5,B4)</f>
        <v/>
      </c>
      <c r="F71" s="16">
        <f>B71-E71</f>
        <v/>
      </c>
    </row>
    <row r="72">
      <c r="A72" s="15" t="n">
        <v>61</v>
      </c>
      <c r="B72" s="16">
        <f>F71</f>
        <v/>
      </c>
      <c r="C72" s="16">
        <f>E6</f>
        <v/>
      </c>
      <c r="D72" s="16">
        <f>-IPMT(E4,61,E5,B4)</f>
        <v/>
      </c>
      <c r="E72" s="16">
        <f>-PPMT(E4,61,E5,B4)</f>
        <v/>
      </c>
      <c r="F72" s="16">
        <f>B72-E72</f>
        <v/>
      </c>
    </row>
    <row r="73">
      <c r="A73" s="15" t="n">
        <v>62</v>
      </c>
      <c r="B73" s="16">
        <f>F72</f>
        <v/>
      </c>
      <c r="C73" s="16">
        <f>E6</f>
        <v/>
      </c>
      <c r="D73" s="16">
        <f>-IPMT(E4,62,E5,B4)</f>
        <v/>
      </c>
      <c r="E73" s="16">
        <f>-PPMT(E4,62,E5,B4)</f>
        <v/>
      </c>
      <c r="F73" s="16">
        <f>B73-E73</f>
        <v/>
      </c>
    </row>
    <row r="74">
      <c r="A74" s="15" t="n">
        <v>63</v>
      </c>
      <c r="B74" s="16">
        <f>F73</f>
        <v/>
      </c>
      <c r="C74" s="16">
        <f>E6</f>
        <v/>
      </c>
      <c r="D74" s="16">
        <f>-IPMT(E4,63,E5,B4)</f>
        <v/>
      </c>
      <c r="E74" s="16">
        <f>-PPMT(E4,63,E5,B4)</f>
        <v/>
      </c>
      <c r="F74" s="16">
        <f>B74-E74</f>
        <v/>
      </c>
    </row>
    <row r="75">
      <c r="A75" s="15" t="n">
        <v>64</v>
      </c>
      <c r="B75" s="16">
        <f>F74</f>
        <v/>
      </c>
      <c r="C75" s="16">
        <f>E6</f>
        <v/>
      </c>
      <c r="D75" s="16">
        <f>-IPMT(E4,64,E5,B4)</f>
        <v/>
      </c>
      <c r="E75" s="16">
        <f>-PPMT(E4,64,E5,B4)</f>
        <v/>
      </c>
      <c r="F75" s="16">
        <f>B75-E75</f>
        <v/>
      </c>
    </row>
    <row r="76">
      <c r="A76" s="15" t="n">
        <v>65</v>
      </c>
      <c r="B76" s="16">
        <f>F75</f>
        <v/>
      </c>
      <c r="C76" s="16">
        <f>E6</f>
        <v/>
      </c>
      <c r="D76" s="16">
        <f>-IPMT(E4,65,E5,B4)</f>
        <v/>
      </c>
      <c r="E76" s="16">
        <f>-PPMT(E4,65,E5,B4)</f>
        <v/>
      </c>
      <c r="F76" s="16">
        <f>B76-E76</f>
        <v/>
      </c>
    </row>
    <row r="77">
      <c r="A77" s="15" t="n">
        <v>66</v>
      </c>
      <c r="B77" s="16">
        <f>F76</f>
        <v/>
      </c>
      <c r="C77" s="16">
        <f>E6</f>
        <v/>
      </c>
      <c r="D77" s="16">
        <f>-IPMT(E4,66,E5,B4)</f>
        <v/>
      </c>
      <c r="E77" s="16">
        <f>-PPMT(E4,66,E5,B4)</f>
        <v/>
      </c>
      <c r="F77" s="16">
        <f>B77-E77</f>
        <v/>
      </c>
    </row>
    <row r="78">
      <c r="A78" s="15" t="n">
        <v>67</v>
      </c>
      <c r="B78" s="16">
        <f>F77</f>
        <v/>
      </c>
      <c r="C78" s="16">
        <f>E6</f>
        <v/>
      </c>
      <c r="D78" s="16">
        <f>-IPMT(E4,67,E5,B4)</f>
        <v/>
      </c>
      <c r="E78" s="16">
        <f>-PPMT(E4,67,E5,B4)</f>
        <v/>
      </c>
      <c r="F78" s="16">
        <f>B78-E78</f>
        <v/>
      </c>
    </row>
    <row r="79">
      <c r="A79" s="15" t="n">
        <v>68</v>
      </c>
      <c r="B79" s="16">
        <f>F78</f>
        <v/>
      </c>
      <c r="C79" s="16">
        <f>E6</f>
        <v/>
      </c>
      <c r="D79" s="16">
        <f>-IPMT(E4,68,E5,B4)</f>
        <v/>
      </c>
      <c r="E79" s="16">
        <f>-PPMT(E4,68,E5,B4)</f>
        <v/>
      </c>
      <c r="F79" s="16">
        <f>B79-E79</f>
        <v/>
      </c>
    </row>
    <row r="80">
      <c r="A80" s="15" t="n">
        <v>69</v>
      </c>
      <c r="B80" s="16">
        <f>F79</f>
        <v/>
      </c>
      <c r="C80" s="16">
        <f>E6</f>
        <v/>
      </c>
      <c r="D80" s="16">
        <f>-IPMT(E4,69,E5,B4)</f>
        <v/>
      </c>
      <c r="E80" s="16">
        <f>-PPMT(E4,69,E5,B4)</f>
        <v/>
      </c>
      <c r="F80" s="16">
        <f>B80-E80</f>
        <v/>
      </c>
    </row>
    <row r="81">
      <c r="A81" s="15" t="n">
        <v>70</v>
      </c>
      <c r="B81" s="16">
        <f>F80</f>
        <v/>
      </c>
      <c r="C81" s="16">
        <f>E6</f>
        <v/>
      </c>
      <c r="D81" s="16">
        <f>-IPMT(E4,70,E5,B4)</f>
        <v/>
      </c>
      <c r="E81" s="16">
        <f>-PPMT(E4,70,E5,B4)</f>
        <v/>
      </c>
      <c r="F81" s="16">
        <f>B81-E81</f>
        <v/>
      </c>
    </row>
    <row r="82">
      <c r="A82" s="15" t="n">
        <v>71</v>
      </c>
      <c r="B82" s="16">
        <f>F81</f>
        <v/>
      </c>
      <c r="C82" s="16">
        <f>E6</f>
        <v/>
      </c>
      <c r="D82" s="16">
        <f>-IPMT(E4,71,E5,B4)</f>
        <v/>
      </c>
      <c r="E82" s="16">
        <f>-PPMT(E4,71,E5,B4)</f>
        <v/>
      </c>
      <c r="F82" s="16">
        <f>B82-E82</f>
        <v/>
      </c>
    </row>
    <row r="83">
      <c r="A83" s="15" t="n">
        <v>72</v>
      </c>
      <c r="B83" s="16">
        <f>F82</f>
        <v/>
      </c>
      <c r="C83" s="16">
        <f>E6</f>
        <v/>
      </c>
      <c r="D83" s="16">
        <f>-IPMT(E4,72,E5,B4)</f>
        <v/>
      </c>
      <c r="E83" s="16">
        <f>-PPMT(E4,72,E5,B4)</f>
        <v/>
      </c>
      <c r="F83" s="16">
        <f>B83-E83</f>
        <v/>
      </c>
    </row>
    <row r="84">
      <c r="A84" s="15" t="n">
        <v>73</v>
      </c>
      <c r="B84" s="16">
        <f>F83</f>
        <v/>
      </c>
      <c r="C84" s="16">
        <f>E6</f>
        <v/>
      </c>
      <c r="D84" s="16">
        <f>-IPMT(E4,73,E5,B4)</f>
        <v/>
      </c>
      <c r="E84" s="16">
        <f>-PPMT(E4,73,E5,B4)</f>
        <v/>
      </c>
      <c r="F84" s="16">
        <f>B84-E84</f>
        <v/>
      </c>
    </row>
    <row r="85">
      <c r="A85" s="15" t="n">
        <v>74</v>
      </c>
      <c r="B85" s="16">
        <f>F84</f>
        <v/>
      </c>
      <c r="C85" s="16">
        <f>E6</f>
        <v/>
      </c>
      <c r="D85" s="16">
        <f>-IPMT(E4,74,E5,B4)</f>
        <v/>
      </c>
      <c r="E85" s="16">
        <f>-PPMT(E4,74,E5,B4)</f>
        <v/>
      </c>
      <c r="F85" s="16">
        <f>B85-E85</f>
        <v/>
      </c>
    </row>
    <row r="86">
      <c r="A86" s="15" t="n">
        <v>75</v>
      </c>
      <c r="B86" s="16">
        <f>F85</f>
        <v/>
      </c>
      <c r="C86" s="16">
        <f>E6</f>
        <v/>
      </c>
      <c r="D86" s="16">
        <f>-IPMT(E4,75,E5,B4)</f>
        <v/>
      </c>
      <c r="E86" s="16">
        <f>-PPMT(E4,75,E5,B4)</f>
        <v/>
      </c>
      <c r="F86" s="16">
        <f>B86-E86</f>
        <v/>
      </c>
    </row>
    <row r="87">
      <c r="A87" s="15" t="n">
        <v>76</v>
      </c>
      <c r="B87" s="16">
        <f>F86</f>
        <v/>
      </c>
      <c r="C87" s="16">
        <f>E6</f>
        <v/>
      </c>
      <c r="D87" s="16">
        <f>-IPMT(E4,76,E5,B4)</f>
        <v/>
      </c>
      <c r="E87" s="16">
        <f>-PPMT(E4,76,E5,B4)</f>
        <v/>
      </c>
      <c r="F87" s="16">
        <f>B87-E87</f>
        <v/>
      </c>
    </row>
    <row r="88">
      <c r="A88" s="15" t="n">
        <v>77</v>
      </c>
      <c r="B88" s="16">
        <f>F87</f>
        <v/>
      </c>
      <c r="C88" s="16">
        <f>E6</f>
        <v/>
      </c>
      <c r="D88" s="16">
        <f>-IPMT(E4,77,E5,B4)</f>
        <v/>
      </c>
      <c r="E88" s="16">
        <f>-PPMT(E4,77,E5,B4)</f>
        <v/>
      </c>
      <c r="F88" s="16">
        <f>B88-E88</f>
        <v/>
      </c>
    </row>
    <row r="89">
      <c r="A89" s="15" t="n">
        <v>78</v>
      </c>
      <c r="B89" s="16">
        <f>F88</f>
        <v/>
      </c>
      <c r="C89" s="16">
        <f>E6</f>
        <v/>
      </c>
      <c r="D89" s="16">
        <f>-IPMT(E4,78,E5,B4)</f>
        <v/>
      </c>
      <c r="E89" s="16">
        <f>-PPMT(E4,78,E5,B4)</f>
        <v/>
      </c>
      <c r="F89" s="16">
        <f>B89-E89</f>
        <v/>
      </c>
    </row>
    <row r="90">
      <c r="A90" s="15" t="n">
        <v>79</v>
      </c>
      <c r="B90" s="16">
        <f>F89</f>
        <v/>
      </c>
      <c r="C90" s="16">
        <f>E6</f>
        <v/>
      </c>
      <c r="D90" s="16">
        <f>-IPMT(E4,79,E5,B4)</f>
        <v/>
      </c>
      <c r="E90" s="16">
        <f>-PPMT(E4,79,E5,B4)</f>
        <v/>
      </c>
      <c r="F90" s="16">
        <f>B90-E90</f>
        <v/>
      </c>
    </row>
    <row r="91">
      <c r="A91" s="15" t="n">
        <v>80</v>
      </c>
      <c r="B91" s="16">
        <f>F90</f>
        <v/>
      </c>
      <c r="C91" s="16">
        <f>E6</f>
        <v/>
      </c>
      <c r="D91" s="16">
        <f>-IPMT(E4,80,E5,B4)</f>
        <v/>
      </c>
      <c r="E91" s="16">
        <f>-PPMT(E4,80,E5,B4)</f>
        <v/>
      </c>
      <c r="F91" s="16">
        <f>B91-E91</f>
        <v/>
      </c>
    </row>
    <row r="92">
      <c r="A92" s="15" t="n">
        <v>81</v>
      </c>
      <c r="B92" s="16">
        <f>F91</f>
        <v/>
      </c>
      <c r="C92" s="16">
        <f>E6</f>
        <v/>
      </c>
      <c r="D92" s="16">
        <f>-IPMT(E4,81,E5,B4)</f>
        <v/>
      </c>
      <c r="E92" s="16">
        <f>-PPMT(E4,81,E5,B4)</f>
        <v/>
      </c>
      <c r="F92" s="16">
        <f>B92-E92</f>
        <v/>
      </c>
    </row>
    <row r="93">
      <c r="A93" s="15" t="n">
        <v>82</v>
      </c>
      <c r="B93" s="16">
        <f>F92</f>
        <v/>
      </c>
      <c r="C93" s="16">
        <f>E6</f>
        <v/>
      </c>
      <c r="D93" s="16">
        <f>-IPMT(E4,82,E5,B4)</f>
        <v/>
      </c>
      <c r="E93" s="16">
        <f>-PPMT(E4,82,E5,B4)</f>
        <v/>
      </c>
      <c r="F93" s="16">
        <f>B93-E93</f>
        <v/>
      </c>
    </row>
    <row r="94">
      <c r="A94" s="15" t="n">
        <v>83</v>
      </c>
      <c r="B94" s="16">
        <f>F93</f>
        <v/>
      </c>
      <c r="C94" s="16">
        <f>E6</f>
        <v/>
      </c>
      <c r="D94" s="16">
        <f>-IPMT(E4,83,E5,B4)</f>
        <v/>
      </c>
      <c r="E94" s="16">
        <f>-PPMT(E4,83,E5,B4)</f>
        <v/>
      </c>
      <c r="F94" s="16">
        <f>B94-E94</f>
        <v/>
      </c>
    </row>
    <row r="95">
      <c r="A95" s="15" t="n">
        <v>84</v>
      </c>
      <c r="B95" s="16">
        <f>F94</f>
        <v/>
      </c>
      <c r="C95" s="16">
        <f>E6</f>
        <v/>
      </c>
      <c r="D95" s="16">
        <f>-IPMT(E4,84,E5,B4)</f>
        <v/>
      </c>
      <c r="E95" s="16">
        <f>-PPMT(E4,84,E5,B4)</f>
        <v/>
      </c>
      <c r="F95" s="16">
        <f>B95-E95</f>
        <v/>
      </c>
    </row>
    <row r="96">
      <c r="A96" s="15" t="n">
        <v>85</v>
      </c>
      <c r="B96" s="16">
        <f>F95</f>
        <v/>
      </c>
      <c r="C96" s="16">
        <f>E6</f>
        <v/>
      </c>
      <c r="D96" s="16">
        <f>-IPMT(E4,85,E5,B4)</f>
        <v/>
      </c>
      <c r="E96" s="16">
        <f>-PPMT(E4,85,E5,B4)</f>
        <v/>
      </c>
      <c r="F96" s="16">
        <f>B96-E96</f>
        <v/>
      </c>
    </row>
    <row r="97">
      <c r="A97" s="15" t="n">
        <v>86</v>
      </c>
      <c r="B97" s="16">
        <f>F96</f>
        <v/>
      </c>
      <c r="C97" s="16">
        <f>E6</f>
        <v/>
      </c>
      <c r="D97" s="16">
        <f>-IPMT(E4,86,E5,B4)</f>
        <v/>
      </c>
      <c r="E97" s="16">
        <f>-PPMT(E4,86,E5,B4)</f>
        <v/>
      </c>
      <c r="F97" s="16">
        <f>B97-E97</f>
        <v/>
      </c>
    </row>
    <row r="98">
      <c r="A98" s="15" t="n">
        <v>87</v>
      </c>
      <c r="B98" s="16">
        <f>F97</f>
        <v/>
      </c>
      <c r="C98" s="16">
        <f>E6</f>
        <v/>
      </c>
      <c r="D98" s="16">
        <f>-IPMT(E4,87,E5,B4)</f>
        <v/>
      </c>
      <c r="E98" s="16">
        <f>-PPMT(E4,87,E5,B4)</f>
        <v/>
      </c>
      <c r="F98" s="16">
        <f>B98-E98</f>
        <v/>
      </c>
    </row>
    <row r="99">
      <c r="A99" s="15" t="n">
        <v>88</v>
      </c>
      <c r="B99" s="16">
        <f>F98</f>
        <v/>
      </c>
      <c r="C99" s="16">
        <f>E6</f>
        <v/>
      </c>
      <c r="D99" s="16">
        <f>-IPMT(E4,88,E5,B4)</f>
        <v/>
      </c>
      <c r="E99" s="16">
        <f>-PPMT(E4,88,E5,B4)</f>
        <v/>
      </c>
      <c r="F99" s="16">
        <f>B99-E99</f>
        <v/>
      </c>
    </row>
    <row r="100">
      <c r="A100" s="15" t="n">
        <v>89</v>
      </c>
      <c r="B100" s="16">
        <f>F99</f>
        <v/>
      </c>
      <c r="C100" s="16">
        <f>E6</f>
        <v/>
      </c>
      <c r="D100" s="16">
        <f>-IPMT(E4,89,E5,B4)</f>
        <v/>
      </c>
      <c r="E100" s="16">
        <f>-PPMT(E4,89,E5,B4)</f>
        <v/>
      </c>
      <c r="F100" s="16">
        <f>B100-E100</f>
        <v/>
      </c>
    </row>
    <row r="101">
      <c r="A101" s="15" t="n">
        <v>90</v>
      </c>
      <c r="B101" s="16">
        <f>F100</f>
        <v/>
      </c>
      <c r="C101" s="16">
        <f>E6</f>
        <v/>
      </c>
      <c r="D101" s="16">
        <f>-IPMT(E4,90,E5,B4)</f>
        <v/>
      </c>
      <c r="E101" s="16">
        <f>-PPMT(E4,90,E5,B4)</f>
        <v/>
      </c>
      <c r="F101" s="16">
        <f>B101-E101</f>
        <v/>
      </c>
    </row>
    <row r="102">
      <c r="A102" s="15" t="n">
        <v>91</v>
      </c>
      <c r="B102" s="16">
        <f>F101</f>
        <v/>
      </c>
      <c r="C102" s="16">
        <f>E6</f>
        <v/>
      </c>
      <c r="D102" s="16">
        <f>-IPMT(E4,91,E5,B4)</f>
        <v/>
      </c>
      <c r="E102" s="16">
        <f>-PPMT(E4,91,E5,B4)</f>
        <v/>
      </c>
      <c r="F102" s="16">
        <f>B102-E102</f>
        <v/>
      </c>
    </row>
    <row r="103">
      <c r="A103" s="15" t="n">
        <v>92</v>
      </c>
      <c r="B103" s="16">
        <f>F102</f>
        <v/>
      </c>
      <c r="C103" s="16">
        <f>E6</f>
        <v/>
      </c>
      <c r="D103" s="16">
        <f>-IPMT(E4,92,E5,B4)</f>
        <v/>
      </c>
      <c r="E103" s="16">
        <f>-PPMT(E4,92,E5,B4)</f>
        <v/>
      </c>
      <c r="F103" s="16">
        <f>B103-E103</f>
        <v/>
      </c>
    </row>
    <row r="104">
      <c r="A104" s="15" t="n">
        <v>93</v>
      </c>
      <c r="B104" s="16">
        <f>F103</f>
        <v/>
      </c>
      <c r="C104" s="16">
        <f>E6</f>
        <v/>
      </c>
      <c r="D104" s="16">
        <f>-IPMT(E4,93,E5,B4)</f>
        <v/>
      </c>
      <c r="E104" s="16">
        <f>-PPMT(E4,93,E5,B4)</f>
        <v/>
      </c>
      <c r="F104" s="16">
        <f>B104-E104</f>
        <v/>
      </c>
    </row>
    <row r="105">
      <c r="A105" s="15" t="n">
        <v>94</v>
      </c>
      <c r="B105" s="16">
        <f>F104</f>
        <v/>
      </c>
      <c r="C105" s="16">
        <f>E6</f>
        <v/>
      </c>
      <c r="D105" s="16">
        <f>-IPMT(E4,94,E5,B4)</f>
        <v/>
      </c>
      <c r="E105" s="16">
        <f>-PPMT(E4,94,E5,B4)</f>
        <v/>
      </c>
      <c r="F105" s="16">
        <f>B105-E105</f>
        <v/>
      </c>
    </row>
    <row r="106">
      <c r="A106" s="15" t="n">
        <v>95</v>
      </c>
      <c r="B106" s="16">
        <f>F105</f>
        <v/>
      </c>
      <c r="C106" s="16">
        <f>E6</f>
        <v/>
      </c>
      <c r="D106" s="16">
        <f>-IPMT(E4,95,E5,B4)</f>
        <v/>
      </c>
      <c r="E106" s="16">
        <f>-PPMT(E4,95,E5,B4)</f>
        <v/>
      </c>
      <c r="F106" s="16">
        <f>B106-E106</f>
        <v/>
      </c>
    </row>
    <row r="107">
      <c r="A107" s="15" t="n">
        <v>96</v>
      </c>
      <c r="B107" s="16">
        <f>F106</f>
        <v/>
      </c>
      <c r="C107" s="16">
        <f>E6</f>
        <v/>
      </c>
      <c r="D107" s="16">
        <f>-IPMT(E4,96,E5,B4)</f>
        <v/>
      </c>
      <c r="E107" s="16">
        <f>-PPMT(E4,96,E5,B4)</f>
        <v/>
      </c>
      <c r="F107" s="16">
        <f>B107-E107</f>
        <v/>
      </c>
    </row>
    <row r="108">
      <c r="A108" s="15" t="n">
        <v>97</v>
      </c>
      <c r="B108" s="16">
        <f>F107</f>
        <v/>
      </c>
      <c r="C108" s="16">
        <f>E6</f>
        <v/>
      </c>
      <c r="D108" s="16">
        <f>-IPMT(E4,97,E5,B4)</f>
        <v/>
      </c>
      <c r="E108" s="16">
        <f>-PPMT(E4,97,E5,B4)</f>
        <v/>
      </c>
      <c r="F108" s="16">
        <f>B108-E108</f>
        <v/>
      </c>
    </row>
    <row r="109">
      <c r="A109" s="15" t="n">
        <v>98</v>
      </c>
      <c r="B109" s="16">
        <f>F108</f>
        <v/>
      </c>
      <c r="C109" s="16">
        <f>E6</f>
        <v/>
      </c>
      <c r="D109" s="16">
        <f>-IPMT(E4,98,E5,B4)</f>
        <v/>
      </c>
      <c r="E109" s="16">
        <f>-PPMT(E4,98,E5,B4)</f>
        <v/>
      </c>
      <c r="F109" s="16">
        <f>B109-E109</f>
        <v/>
      </c>
    </row>
    <row r="110">
      <c r="A110" s="15" t="n">
        <v>99</v>
      </c>
      <c r="B110" s="16">
        <f>F109</f>
        <v/>
      </c>
      <c r="C110" s="16">
        <f>E6</f>
        <v/>
      </c>
      <c r="D110" s="16">
        <f>-IPMT(E4,99,E5,B4)</f>
        <v/>
      </c>
      <c r="E110" s="16">
        <f>-PPMT(E4,99,E5,B4)</f>
        <v/>
      </c>
      <c r="F110" s="16">
        <f>B110-E110</f>
        <v/>
      </c>
    </row>
    <row r="111">
      <c r="A111" s="15" t="n">
        <v>100</v>
      </c>
      <c r="B111" s="16">
        <f>F110</f>
        <v/>
      </c>
      <c r="C111" s="16">
        <f>E6</f>
        <v/>
      </c>
      <c r="D111" s="16">
        <f>-IPMT(E4,100,E5,B4)</f>
        <v/>
      </c>
      <c r="E111" s="16">
        <f>-PPMT(E4,100,E5,B4)</f>
        <v/>
      </c>
      <c r="F111" s="16">
        <f>B111-E111</f>
        <v/>
      </c>
    </row>
    <row r="112">
      <c r="A112" s="15" t="n">
        <v>101</v>
      </c>
      <c r="B112" s="16">
        <f>F111</f>
        <v/>
      </c>
      <c r="C112" s="16">
        <f>E6</f>
        <v/>
      </c>
      <c r="D112" s="16">
        <f>-IPMT(E4,101,E5,B4)</f>
        <v/>
      </c>
      <c r="E112" s="16">
        <f>-PPMT(E4,101,E5,B4)</f>
        <v/>
      </c>
      <c r="F112" s="16">
        <f>B112-E112</f>
        <v/>
      </c>
    </row>
    <row r="113">
      <c r="A113" s="15" t="n">
        <v>102</v>
      </c>
      <c r="B113" s="16">
        <f>F112</f>
        <v/>
      </c>
      <c r="C113" s="16">
        <f>E6</f>
        <v/>
      </c>
      <c r="D113" s="16">
        <f>-IPMT(E4,102,E5,B4)</f>
        <v/>
      </c>
      <c r="E113" s="16">
        <f>-PPMT(E4,102,E5,B4)</f>
        <v/>
      </c>
      <c r="F113" s="16">
        <f>B113-E113</f>
        <v/>
      </c>
    </row>
    <row r="114">
      <c r="A114" s="15" t="n">
        <v>103</v>
      </c>
      <c r="B114" s="16">
        <f>F113</f>
        <v/>
      </c>
      <c r="C114" s="16">
        <f>E6</f>
        <v/>
      </c>
      <c r="D114" s="16">
        <f>-IPMT(E4,103,E5,B4)</f>
        <v/>
      </c>
      <c r="E114" s="16">
        <f>-PPMT(E4,103,E5,B4)</f>
        <v/>
      </c>
      <c r="F114" s="16">
        <f>B114-E114</f>
        <v/>
      </c>
    </row>
    <row r="115">
      <c r="A115" s="15" t="n">
        <v>104</v>
      </c>
      <c r="B115" s="16">
        <f>F114</f>
        <v/>
      </c>
      <c r="C115" s="16">
        <f>E6</f>
        <v/>
      </c>
      <c r="D115" s="16">
        <f>-IPMT(E4,104,E5,B4)</f>
        <v/>
      </c>
      <c r="E115" s="16">
        <f>-PPMT(E4,104,E5,B4)</f>
        <v/>
      </c>
      <c r="F115" s="16">
        <f>B115-E115</f>
        <v/>
      </c>
    </row>
    <row r="116">
      <c r="A116" s="17" t="inlineStr">
        <is>
          <t>Totals:</t>
        </is>
      </c>
      <c r="C116" s="18">
        <f>SUM(C12:C115)</f>
        <v/>
      </c>
      <c r="D116" s="18">
        <f>SUM(D12:D115)</f>
        <v/>
      </c>
      <c r="E116" s="18">
        <f>SUM(E12:E115)</f>
        <v/>
      </c>
    </row>
  </sheetData>
  <sheetProtection selectLockedCells="0" selectUnlockedCells="0" sheet="1" objects="1" insertRows="0" insertHyperlinks="1" autoFilter="0" scenarios="1" formatColumns="0" deleteColumns="0" insertColumns="0" pivotTables="0" deleteRows="0" formatCells="0" formatRows="0" sort="0" password="AE3A"/>
  <pageMargins left="0.75" right="0.75" top="1" bottom="1" header="0.5" footer="0.5"/>
</worksheet>
</file>

<file path=xl/worksheets/sheet7.xml><?xml version="1.0" encoding="utf-8"?>
<worksheet xmlns="http://schemas.openxmlformats.org/spreadsheetml/2006/main">
  <sheetPr>
    <tabColor rgb="FF3B83F6"/>
    <outlinePr summaryBelow="1" summaryRight="1"/>
    <pageSetUpPr/>
  </sheetPr>
  <dimension ref="A1:F26"/>
  <sheetViews>
    <sheetView workbookViewId="0">
      <pane ySplit="11" topLeftCell="A12" activePane="bottomLeft" state="frozen"/>
      <selection pane="bottomLeft" activeCell="A1" sqref="A1"/>
    </sheetView>
  </sheetViews>
  <sheetFormatPr baseColWidth="8" defaultRowHeight="14.5"/>
  <cols>
    <col width="33.90625" customWidth="1" min="1" max="1"/>
    <col width="22" customWidth="1" min="2" max="2"/>
    <col width="18" customWidth="1" min="3" max="3"/>
    <col width="16" customWidth="1" min="4" max="5"/>
    <col width="20" customWidth="1" min="6" max="6"/>
  </cols>
  <sheetData>
    <row r="1" ht="18.5" customHeight="1">
      <c r="A1" s="1" t="inlineStr">
        <is>
          <t>Problem E – Equipment (Semiannual)</t>
        </is>
      </c>
    </row>
    <row r="2"/>
    <row r="3">
      <c r="A3" s="8" t="inlineStr">
        <is>
          <t>Inputs</t>
        </is>
      </c>
      <c r="B3" s="8" t="n"/>
      <c r="D3" s="8" t="inlineStr">
        <is>
          <t>Key Outputs / Derived</t>
        </is>
      </c>
      <c r="E3" s="8" t="n"/>
    </row>
    <row r="4">
      <c r="A4" s="19" t="inlineStr">
        <is>
          <t>Principal (₹)</t>
        </is>
      </c>
      <c r="B4" s="9" t="n">
        <v>3500000</v>
      </c>
      <c r="D4" s="7" t="inlineStr">
        <is>
          <t>Periodic Rate</t>
        </is>
      </c>
      <c r="E4" s="10">
        <f>B5/B7</f>
        <v/>
      </c>
    </row>
    <row r="5">
      <c r="A5" s="19" t="inlineStr">
        <is>
          <t>Annual Interest Rate (p.a.)</t>
        </is>
      </c>
      <c r="B5" s="11" t="n">
        <v>0.1025</v>
      </c>
      <c r="D5" s="7" t="inlineStr">
        <is>
          <t>Total Periods (nper)</t>
        </is>
      </c>
      <c r="E5" s="12">
        <f>B6*B7</f>
        <v/>
      </c>
    </row>
    <row r="6">
      <c r="A6" s="19" t="inlineStr">
        <is>
          <t>Term (years)</t>
        </is>
      </c>
      <c r="B6" s="13" t="n">
        <v>7</v>
      </c>
      <c r="D6" s="7" t="inlineStr">
        <is>
          <t>Installment (per period)</t>
        </is>
      </c>
      <c r="E6" s="14">
        <f>-PMT(E4,E5,B4)</f>
        <v/>
      </c>
    </row>
    <row r="7">
      <c r="A7" s="19" t="inlineStr">
        <is>
          <t>Payments per Year</t>
        </is>
      </c>
      <c r="B7" s="13" t="n">
        <v>2</v>
      </c>
      <c r="D7" s="7" t="inlineStr">
        <is>
          <t>Total Interest</t>
        </is>
      </c>
      <c r="E7" s="14">
        <f>D26</f>
        <v/>
      </c>
    </row>
    <row r="8">
      <c r="D8" s="7" t="inlineStr">
        <is>
          <t>Total Cost (Principal + Interest)</t>
        </is>
      </c>
      <c r="E8" s="14">
        <f>B4+E7</f>
        <v/>
      </c>
    </row>
    <row r="9"/>
    <row r="10"/>
    <row r="11">
      <c r="A11" s="2" t="inlineStr">
        <is>
          <t>Period</t>
        </is>
      </c>
      <c r="B11" s="2" t="inlineStr">
        <is>
          <t>Opening Balance (₹)</t>
        </is>
      </c>
      <c r="C11" s="2" t="inlineStr">
        <is>
          <t>Installment (₹)</t>
        </is>
      </c>
      <c r="D11" s="2" t="inlineStr">
        <is>
          <t>Interest (₹)</t>
        </is>
      </c>
      <c r="E11" s="2" t="inlineStr">
        <is>
          <t>Principal (₹)</t>
        </is>
      </c>
      <c r="F11" s="2" t="inlineStr">
        <is>
          <t>Closing Balance (₹)</t>
        </is>
      </c>
    </row>
    <row r="12">
      <c r="A12" s="15" t="n">
        <v>1</v>
      </c>
      <c r="B12" s="16">
        <f>B4</f>
        <v/>
      </c>
      <c r="C12" s="16">
        <f>E6</f>
        <v/>
      </c>
      <c r="D12" s="16">
        <f>-IPMT(E4,1,E5,B4)</f>
        <v/>
      </c>
      <c r="E12" s="16">
        <f>-PPMT(E4,1,E5,B4)</f>
        <v/>
      </c>
      <c r="F12" s="16">
        <f>B12-E12</f>
        <v/>
      </c>
    </row>
    <row r="13">
      <c r="A13" s="15" t="n">
        <v>2</v>
      </c>
      <c r="B13" s="16">
        <f>F12</f>
        <v/>
      </c>
      <c r="C13" s="16">
        <f>E6</f>
        <v/>
      </c>
      <c r="D13" s="16">
        <f>-IPMT(E4,2,E5,B4)</f>
        <v/>
      </c>
      <c r="E13" s="16">
        <f>-PPMT(E4,2,E5,B4)</f>
        <v/>
      </c>
      <c r="F13" s="16">
        <f>B13-E13</f>
        <v/>
      </c>
    </row>
    <row r="14">
      <c r="A14" s="15" t="n">
        <v>3</v>
      </c>
      <c r="B14" s="16">
        <f>F13</f>
        <v/>
      </c>
      <c r="C14" s="16">
        <f>E6</f>
        <v/>
      </c>
      <c r="D14" s="16">
        <f>-IPMT(E4,3,E5,B4)</f>
        <v/>
      </c>
      <c r="E14" s="16">
        <f>-PPMT(E4,3,E5,B4)</f>
        <v/>
      </c>
      <c r="F14" s="16">
        <f>B14-E14</f>
        <v/>
      </c>
    </row>
    <row r="15">
      <c r="A15" s="15" t="n">
        <v>4</v>
      </c>
      <c r="B15" s="16">
        <f>F14</f>
        <v/>
      </c>
      <c r="C15" s="16">
        <f>E6</f>
        <v/>
      </c>
      <c r="D15" s="16">
        <f>-IPMT(E4,4,E5,B4)</f>
        <v/>
      </c>
      <c r="E15" s="16">
        <f>-PPMT(E4,4,E5,B4)</f>
        <v/>
      </c>
      <c r="F15" s="16">
        <f>B15-E15</f>
        <v/>
      </c>
    </row>
    <row r="16">
      <c r="A16" s="15" t="n">
        <v>5</v>
      </c>
      <c r="B16" s="16">
        <f>F15</f>
        <v/>
      </c>
      <c r="C16" s="16">
        <f>E6</f>
        <v/>
      </c>
      <c r="D16" s="16">
        <f>-IPMT(E4,5,E5,B4)</f>
        <v/>
      </c>
      <c r="E16" s="16">
        <f>-PPMT(E4,5,E5,B4)</f>
        <v/>
      </c>
      <c r="F16" s="16">
        <f>B16-E16</f>
        <v/>
      </c>
    </row>
    <row r="17">
      <c r="A17" s="15" t="n">
        <v>6</v>
      </c>
      <c r="B17" s="16">
        <f>F16</f>
        <v/>
      </c>
      <c r="C17" s="16">
        <f>E6</f>
        <v/>
      </c>
      <c r="D17" s="16">
        <f>-IPMT(E4,6,E5,B4)</f>
        <v/>
      </c>
      <c r="E17" s="16">
        <f>-PPMT(E4,6,E5,B4)</f>
        <v/>
      </c>
      <c r="F17" s="16">
        <f>B17-E17</f>
        <v/>
      </c>
    </row>
    <row r="18">
      <c r="A18" s="15" t="n">
        <v>7</v>
      </c>
      <c r="B18" s="16">
        <f>F17</f>
        <v/>
      </c>
      <c r="C18" s="16">
        <f>E6</f>
        <v/>
      </c>
      <c r="D18" s="16">
        <f>-IPMT(E4,7,E5,B4)</f>
        <v/>
      </c>
      <c r="E18" s="16">
        <f>-PPMT(E4,7,E5,B4)</f>
        <v/>
      </c>
      <c r="F18" s="16">
        <f>B18-E18</f>
        <v/>
      </c>
    </row>
    <row r="19">
      <c r="A19" s="15" t="n">
        <v>8</v>
      </c>
      <c r="B19" s="16">
        <f>F18</f>
        <v/>
      </c>
      <c r="C19" s="16">
        <f>E6</f>
        <v/>
      </c>
      <c r="D19" s="16">
        <f>-IPMT(E4,8,E5,B4)</f>
        <v/>
      </c>
      <c r="E19" s="16">
        <f>-PPMT(E4,8,E5,B4)</f>
        <v/>
      </c>
      <c r="F19" s="16">
        <f>B19-E19</f>
        <v/>
      </c>
    </row>
    <row r="20">
      <c r="A20" s="15" t="n">
        <v>9</v>
      </c>
      <c r="B20" s="16">
        <f>F19</f>
        <v/>
      </c>
      <c r="C20" s="16">
        <f>E6</f>
        <v/>
      </c>
      <c r="D20" s="16">
        <f>-IPMT(E4,9,E5,B4)</f>
        <v/>
      </c>
      <c r="E20" s="16">
        <f>-PPMT(E4,9,E5,B4)</f>
        <v/>
      </c>
      <c r="F20" s="16">
        <f>B20-E20</f>
        <v/>
      </c>
    </row>
    <row r="21">
      <c r="A21" s="15" t="n">
        <v>10</v>
      </c>
      <c r="B21" s="16">
        <f>F20</f>
        <v/>
      </c>
      <c r="C21" s="16">
        <f>E6</f>
        <v/>
      </c>
      <c r="D21" s="16">
        <f>-IPMT(E4,10,E5,B4)</f>
        <v/>
      </c>
      <c r="E21" s="16">
        <f>-PPMT(E4,10,E5,B4)</f>
        <v/>
      </c>
      <c r="F21" s="16">
        <f>B21-E21</f>
        <v/>
      </c>
    </row>
    <row r="22">
      <c r="A22" s="15" t="n">
        <v>11</v>
      </c>
      <c r="B22" s="16">
        <f>F21</f>
        <v/>
      </c>
      <c r="C22" s="16">
        <f>E6</f>
        <v/>
      </c>
      <c r="D22" s="16">
        <f>-IPMT(E4,11,E5,B4)</f>
        <v/>
      </c>
      <c r="E22" s="16">
        <f>-PPMT(E4,11,E5,B4)</f>
        <v/>
      </c>
      <c r="F22" s="16">
        <f>B22-E22</f>
        <v/>
      </c>
    </row>
    <row r="23">
      <c r="A23" s="15" t="n">
        <v>12</v>
      </c>
      <c r="B23" s="16">
        <f>F22</f>
        <v/>
      </c>
      <c r="C23" s="16">
        <f>E6</f>
        <v/>
      </c>
      <c r="D23" s="16">
        <f>-IPMT(E4,12,E5,B4)</f>
        <v/>
      </c>
      <c r="E23" s="16">
        <f>-PPMT(E4,12,E5,B4)</f>
        <v/>
      </c>
      <c r="F23" s="16">
        <f>B23-E23</f>
        <v/>
      </c>
    </row>
    <row r="24">
      <c r="A24" s="15" t="n">
        <v>13</v>
      </c>
      <c r="B24" s="16">
        <f>F23</f>
        <v/>
      </c>
      <c r="C24" s="16">
        <f>E6</f>
        <v/>
      </c>
      <c r="D24" s="16">
        <f>-IPMT(E4,13,E5,B4)</f>
        <v/>
      </c>
      <c r="E24" s="16">
        <f>-PPMT(E4,13,E5,B4)</f>
        <v/>
      </c>
      <c r="F24" s="16">
        <f>B24-E24</f>
        <v/>
      </c>
    </row>
    <row r="25">
      <c r="A25" s="15" t="n">
        <v>14</v>
      </c>
      <c r="B25" s="16">
        <f>F24</f>
        <v/>
      </c>
      <c r="C25" s="16">
        <f>E6</f>
        <v/>
      </c>
      <c r="D25" s="16">
        <f>-IPMT(E4,14,E5,B4)</f>
        <v/>
      </c>
      <c r="E25" s="16">
        <f>-PPMT(E4,14,E5,B4)</f>
        <v/>
      </c>
      <c r="F25" s="16">
        <f>B25-E25</f>
        <v/>
      </c>
    </row>
    <row r="26">
      <c r="A26" s="17" t="inlineStr">
        <is>
          <t>Totals:</t>
        </is>
      </c>
      <c r="C26" s="18">
        <f>SUM(C12:C25)</f>
        <v/>
      </c>
      <c r="D26" s="18">
        <f>SUM(D12:D25)</f>
        <v/>
      </c>
      <c r="E26" s="18">
        <f>SUM(E12:E25)</f>
        <v/>
      </c>
    </row>
  </sheetData>
  <sheetProtection selectLockedCells="0" selectUnlockedCells="0" sheet="1" objects="1" insertRows="0" insertHyperlinks="1" autoFilter="0" scenarios="1" formatColumns="0" deleteColumns="0" insertColumns="0" pivotTables="0" deleteRows="0" formatCells="0" formatRows="0" sort="0" password="AE3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2025-10-30T06:16:38Z</dcterms:created>
  <dcterms:modified xmlns:dcterms="http://purl.org/dc/terms/" xmlns:xsi="http://www.w3.org/2001/XMLSchema-instance" xsi:type="dcterms:W3CDTF">2026-01-01T17:29:08Z</dcterms:modified>
  <cp:lastModifiedBy>srikanthyadav444p</cp:lastModifiedBy>
</cp:coreProperties>
</file>