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workbookPassword="AE3A" lockStructure="1"/>
  <bookViews>
    <workbookView visibility="visible" minimized="0" showHorizontalScroll="1" showVerticalScroll="1" showSheetTabs="1" xWindow="-110" yWindow="-110" windowWidth="19420" windowHeight="10300" tabRatio="600" firstSheet="0" activeTab="0" autoFilterDateGrouping="1"/>
  </bookViews>
  <sheets>
    <sheet xmlns:r="http://schemas.openxmlformats.org/officeDocument/2006/relationships" name="CoverPage" sheetId="1" state="visible" r:id="rId1"/>
    <sheet xmlns:r="http://schemas.openxmlformats.org/officeDocument/2006/relationships" name="Index" sheetId="2" state="visible" r:id="rId2"/>
    <sheet xmlns:r="http://schemas.openxmlformats.org/officeDocument/2006/relationships" name="P1 Car Loan – Balloon" sheetId="3" state="visible" r:id="rId3"/>
    <sheet xmlns:r="http://schemas.openxmlformats.org/officeDocument/2006/relationships" name="P2 Home Renovation – Balloon" sheetId="4" state="visible" r:id="rId4"/>
    <sheet xmlns:r="http://schemas.openxmlformats.org/officeDocument/2006/relationships" name="P3 Equipment – Balloon" sheetId="5" state="visible" r:id="rId5"/>
    <sheet xmlns:r="http://schemas.openxmlformats.org/officeDocument/2006/relationships" name="P4 Vacation Home – Balloon" sheetId="6" state="visible" r:id="rId6"/>
    <sheet xmlns:r="http://schemas.openxmlformats.org/officeDocument/2006/relationships" name="P5 Student Refi – Balloon" sheetId="7" state="visible" r:id="rId7"/>
    <sheet xmlns:r="http://schemas.openxmlformats.org/officeDocument/2006/relationships" name="P6 Farm Equip – NoBalloon" sheetId="8" state="visible" r:id="rId8"/>
    <sheet xmlns:r="http://schemas.openxmlformats.org/officeDocument/2006/relationships" name="P7 Construction – NoBalloon" sheetId="9" state="visible" r:id="rId9"/>
    <sheet xmlns:r="http://schemas.openxmlformats.org/officeDocument/2006/relationships" name="P8 Auto – NoBalloon" sheetId="10" state="visible" r:id="rId10"/>
    <sheet xmlns:r="http://schemas.openxmlformats.org/officeDocument/2006/relationships" name="P9 SME Expand – NoBalloon" sheetId="11" state="visible" r:id="rId11"/>
    <sheet xmlns:r="http://schemas.openxmlformats.org/officeDocument/2006/relationships" name="P10 Medical – NoBalloon" sheetId="12" state="visible" r:id="rId12"/>
  </sheets>
  <definedNames/>
  <calcPr calcId="191029" fullCalcOnLoad="1"/>
</workbook>
</file>

<file path=xl/styles.xml><?xml version="1.0" encoding="utf-8"?>
<styleSheet xmlns="http://schemas.openxmlformats.org/spreadsheetml/2006/main">
  <numFmts count="4">
    <numFmt numFmtId="164" formatCode="\₹\ ###,##0.00"/>
    <numFmt numFmtId="165" formatCode="0&quot; Years&quot;"/>
    <numFmt numFmtId="166" formatCode="0&quot; Times&quot;"/>
    <numFmt numFmtId="167" formatCode="\$\ ###,##0.00"/>
  </numFmts>
  <fonts count="11">
    <font>
      <name val="Calibri"/>
      <family val="2"/>
      <color theme="1"/>
      <sz val="11"/>
      <scheme val="minor"/>
    </font>
    <font>
      <name val="Calibri"/>
      <family val="2"/>
      <sz val="11"/>
    </font>
    <font>
      <name val="Calibri"/>
      <family val="2"/>
      <b val="1"/>
      <sz val="15"/>
    </font>
    <font>
      <name val="Calibri"/>
      <family val="2"/>
      <b val="1"/>
      <sz val="12"/>
    </font>
    <font>
      <name val="Calibri"/>
      <family val="2"/>
      <b val="1"/>
      <sz val="11"/>
    </font>
    <font>
      <name val="Calibri"/>
      <family val="2"/>
      <color theme="10"/>
      <sz val="12"/>
      <scheme val="minor"/>
    </font>
    <font>
      <name val="Calibri"/>
      <family val="2"/>
      <color theme="1"/>
      <sz val="11"/>
      <scheme val="minor"/>
    </font>
    <font>
      <name val="Calibri"/>
      <family val="2"/>
      <b val="1"/>
      <color theme="1"/>
      <sz val="11"/>
      <scheme val="minor"/>
    </font>
    <font>
      <name val="Calibri"/>
      <family val="2"/>
      <b val="1"/>
      <color theme="1"/>
      <sz val="24"/>
      <scheme val="minor"/>
    </font>
    <font>
      <name val="Calibri"/>
      <family val="2"/>
      <b val="1"/>
      <color theme="1"/>
      <sz val="18"/>
      <scheme val="minor"/>
    </font>
    <font>
      <name val="Calibri"/>
      <family val="2"/>
      <i val="1"/>
      <color theme="1"/>
      <sz val="11"/>
      <scheme val="minor"/>
    </font>
  </fonts>
  <fills count="14">
    <fill>
      <patternFill/>
    </fill>
    <fill>
      <patternFill patternType="gray125"/>
    </fill>
    <fill>
      <patternFill patternType="solid">
        <fgColor rgb="FFE3F2FD"/>
      </patternFill>
    </fill>
    <fill>
      <patternFill patternType="solid">
        <fgColor rgb="FFD7EEF9"/>
      </patternFill>
    </fill>
    <fill>
      <patternFill patternType="solid">
        <fgColor rgb="FFEAF6FD"/>
      </patternFill>
    </fill>
    <fill>
      <patternFill patternType="solid">
        <fgColor rgb="FFFDE9D9"/>
      </patternFill>
    </fill>
    <fill>
      <patternFill patternType="solid">
        <fgColor rgb="FFFFF4EC"/>
      </patternFill>
    </fill>
    <fill>
      <patternFill patternType="solid">
        <fgColor rgb="FFE2F0D9"/>
      </patternFill>
    </fill>
    <fill>
      <patternFill patternType="solid">
        <fgColor rgb="FFF7FBF4"/>
      </patternFill>
    </fill>
    <fill>
      <patternFill patternType="solid">
        <fgColor theme="4" tint="0.7999816888943144"/>
        <bgColor indexed="64"/>
      </patternFill>
    </fill>
    <fill>
      <patternFill patternType="solid">
        <fgColor theme="3" tint="0.3999755851924192"/>
        <bgColor indexed="64"/>
      </patternFill>
    </fill>
    <fill>
      <patternFill patternType="solid">
        <fgColor theme="5" tint="0.3999755851924192"/>
        <bgColor indexed="64"/>
      </patternFill>
    </fill>
    <fill>
      <patternFill patternType="solid">
        <fgColor theme="5" tint="0.7999816888943144"/>
        <bgColor indexed="64"/>
      </patternFill>
    </fill>
    <fill>
      <patternFill patternType="solid">
        <fgColor theme="6" tint="0.7999816888943144"/>
        <bgColor indexed="64"/>
      </patternFill>
    </fill>
  </fills>
  <borders count="7">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s>
  <cellStyleXfs count="7">
    <xf numFmtId="0" fontId="6" fillId="0" borderId="1"/>
    <xf numFmtId="167" fontId="1" fillId="0" borderId="1" applyAlignment="1">
      <alignment horizontal="left" vertical="center"/>
    </xf>
    <xf numFmtId="10" fontId="1" fillId="0" borderId="1" applyAlignment="1">
      <alignment horizontal="left" vertical="center"/>
    </xf>
    <xf numFmtId="1" fontId="1" fillId="0" borderId="1" applyAlignment="1">
      <alignment horizontal="left" vertical="center"/>
    </xf>
    <xf numFmtId="0" fontId="5" fillId="0" borderId="1"/>
    <xf numFmtId="164" fontId="1" fillId="0" borderId="1"/>
    <xf numFmtId="0" fontId="6" fillId="0" borderId="1"/>
  </cellStyleXfs>
  <cellXfs count="49">
    <xf numFmtId="0" fontId="0" fillId="0" borderId="0" pivotButton="0" quotePrefix="0" xfId="0"/>
    <xf numFmtId="0" fontId="3" fillId="2" borderId="2" applyAlignment="1" pivotButton="0" quotePrefix="0" xfId="0">
      <alignment horizontal="center" vertical="center"/>
    </xf>
    <xf numFmtId="0" fontId="0" fillId="0" borderId="2" applyAlignment="1" pivotButton="0" quotePrefix="0" xfId="0">
      <alignment horizontal="center" vertical="center"/>
    </xf>
    <xf numFmtId="0" fontId="0" fillId="0" borderId="2" pivotButton="0" quotePrefix="0" xfId="0"/>
    <xf numFmtId="0" fontId="5" fillId="0" borderId="2" pivotButton="0" quotePrefix="0" xfId="4"/>
    <xf numFmtId="0" fontId="4" fillId="3" borderId="2" applyAlignment="1" pivotButton="0" quotePrefix="0" xfId="0">
      <alignment horizontal="left" vertical="center"/>
    </xf>
    <xf numFmtId="0" fontId="4" fillId="6" borderId="2" pivotButton="0" quotePrefix="0" xfId="0"/>
    <xf numFmtId="164" fontId="1" fillId="0" borderId="2" applyAlignment="1" pivotButton="0" quotePrefix="0" xfId="1">
      <alignment horizontal="left" vertical="center"/>
    </xf>
    <xf numFmtId="0" fontId="0" fillId="0" borderId="2" applyAlignment="1" pivotButton="0" quotePrefix="0" xfId="0">
      <alignment horizontal="center"/>
    </xf>
    <xf numFmtId="164" fontId="0" fillId="4" borderId="2" pivotButton="0" quotePrefix="0" xfId="0"/>
    <xf numFmtId="10" fontId="0" fillId="4" borderId="2" pivotButton="0" quotePrefix="0" xfId="0"/>
    <xf numFmtId="165" fontId="0" fillId="4" borderId="2" pivotButton="0" quotePrefix="0" xfId="0"/>
    <xf numFmtId="166" fontId="0" fillId="4" borderId="2" pivotButton="0" quotePrefix="0" xfId="0"/>
    <xf numFmtId="164" fontId="0" fillId="0" borderId="2" pivotButton="0" quotePrefix="0" xfId="0"/>
    <xf numFmtId="0" fontId="4" fillId="7" borderId="2" applyAlignment="1" pivotButton="0" quotePrefix="0" xfId="0">
      <alignment horizontal="center" vertical="center"/>
    </xf>
    <xf numFmtId="0" fontId="0" fillId="8" borderId="2" applyAlignment="1" pivotButton="0" quotePrefix="0" xfId="0">
      <alignment horizontal="left" vertical="center"/>
    </xf>
    <xf numFmtId="0" fontId="0" fillId="8" borderId="2" applyAlignment="1" pivotButton="0" quotePrefix="0" xfId="0">
      <alignment horizontal="center" vertical="center"/>
    </xf>
    <xf numFmtId="164" fontId="1" fillId="0" borderId="2" applyAlignment="1" pivotButton="0" quotePrefix="0" xfId="1">
      <alignment horizontal="right" vertical="center"/>
    </xf>
    <xf numFmtId="10" fontId="1" fillId="0" borderId="2" applyAlignment="1" pivotButton="0" quotePrefix="0" xfId="2">
      <alignment horizontal="right" vertical="center"/>
    </xf>
    <xf numFmtId="165" fontId="1" fillId="0" borderId="2" applyAlignment="1" pivotButton="0" quotePrefix="0" xfId="3">
      <alignment horizontal="right" vertical="center"/>
    </xf>
    <xf numFmtId="166" fontId="1" fillId="0" borderId="2" applyAlignment="1" pivotButton="0" quotePrefix="0" xfId="3">
      <alignment horizontal="right" vertical="center"/>
    </xf>
    <xf numFmtId="0" fontId="2" fillId="0" borderId="0" applyAlignment="1" pivotButton="0" quotePrefix="0" xfId="0">
      <alignment horizontal="center" vertical="center"/>
    </xf>
    <xf numFmtId="0" fontId="0" fillId="0" borderId="0" pivotButton="0" quotePrefix="0" xfId="0"/>
    <xf numFmtId="0" fontId="0" fillId="0" borderId="2" applyAlignment="1" pivotButton="0" quotePrefix="0" xfId="0">
      <alignment horizontal="left" vertical="center"/>
    </xf>
    <xf numFmtId="0" fontId="3" fillId="3" borderId="2" applyAlignment="1" pivotButton="0" quotePrefix="0" xfId="0">
      <alignment horizontal="center" vertical="center"/>
    </xf>
    <xf numFmtId="0" fontId="0" fillId="0" borderId="3" pivotButton="0" quotePrefix="0" xfId="0"/>
    <xf numFmtId="0" fontId="0" fillId="0" borderId="4" pivotButton="0" quotePrefix="0" xfId="0"/>
    <xf numFmtId="0" fontId="3" fillId="5" borderId="2" applyAlignment="1" pivotButton="0" quotePrefix="0" xfId="0">
      <alignment horizontal="center" vertical="center"/>
    </xf>
    <xf numFmtId="0" fontId="3" fillId="7" borderId="2" applyAlignment="1" pivotButton="0" quotePrefix="0" xfId="0">
      <alignment horizontal="center" vertical="center"/>
    </xf>
    <xf numFmtId="0" fontId="0" fillId="0" borderId="2" pivotButton="0" quotePrefix="0" xfId="0"/>
    <xf numFmtId="0" fontId="8" fillId="0" borderId="1" applyAlignment="1" pivotButton="0" quotePrefix="0" xfId="6">
      <alignment vertical="center"/>
    </xf>
    <xf numFmtId="0" fontId="6" fillId="0" borderId="1" pivotButton="0" quotePrefix="0" xfId="6"/>
    <xf numFmtId="0" fontId="9" fillId="0" borderId="1" applyAlignment="1" pivotButton="0" quotePrefix="0" xfId="6">
      <alignment vertical="center"/>
    </xf>
    <xf numFmtId="0" fontId="10" fillId="0" borderId="1" pivotButton="0" quotePrefix="0" xfId="6"/>
    <xf numFmtId="0" fontId="6" fillId="9" borderId="1" applyAlignment="1" pivotButton="0" quotePrefix="0" xfId="6">
      <alignment horizontal="justify" vertical="justify" wrapText="1"/>
    </xf>
    <xf numFmtId="0" fontId="9" fillId="10" borderId="1" applyAlignment="1" pivotButton="0" quotePrefix="0" xfId="6">
      <alignment vertical="center"/>
    </xf>
    <xf numFmtId="0" fontId="6" fillId="10" borderId="1" pivotButton="0" quotePrefix="0" xfId="6"/>
    <xf numFmtId="0" fontId="9" fillId="11" borderId="1" applyAlignment="1" pivotButton="0" quotePrefix="0" xfId="6">
      <alignment vertical="center"/>
    </xf>
    <xf numFmtId="0" fontId="6" fillId="9" borderId="1" applyAlignment="1" pivotButton="0" quotePrefix="0" xfId="6">
      <alignment horizontal="left" vertical="top" wrapText="1"/>
    </xf>
    <xf numFmtId="0" fontId="7" fillId="12" borderId="1" applyAlignment="1" pivotButton="0" quotePrefix="0" xfId="6">
      <alignment vertical="top" wrapText="1"/>
    </xf>
    <xf numFmtId="0" fontId="6" fillId="0" borderId="1" applyAlignment="1" pivotButton="0" quotePrefix="0" xfId="6">
      <alignment horizontal="left" vertical="center" indent="1"/>
    </xf>
    <xf numFmtId="0" fontId="6" fillId="13" borderId="1" applyAlignment="1" pivotButton="0" quotePrefix="0" xfId="6">
      <alignment horizontal="justify" vertical="justify" wrapText="1"/>
    </xf>
    <xf numFmtId="0" fontId="7" fillId="0" borderId="1" pivotButton="0" quotePrefix="0" xfId="6"/>
    <xf numFmtId="0" fontId="7" fillId="0" borderId="1" applyAlignment="1" pivotButton="0" quotePrefix="0" xfId="6">
      <alignment horizontal="left" vertical="center" indent="1"/>
    </xf>
    <xf numFmtId="0" fontId="2" fillId="0" borderId="1" applyAlignment="1" pivotButton="0" quotePrefix="0" xfId="0">
      <alignment horizontal="center" vertical="center"/>
    </xf>
    <xf numFmtId="164" fontId="1" fillId="0" borderId="2" applyAlignment="1" pivotButton="0" quotePrefix="0" xfId="1">
      <alignment horizontal="right" vertical="center"/>
    </xf>
    <xf numFmtId="164" fontId="1" fillId="0" borderId="2" applyAlignment="1" pivotButton="0" quotePrefix="0" xfId="1">
      <alignment horizontal="left" vertical="center"/>
    </xf>
    <xf numFmtId="164" fontId="0" fillId="4" borderId="2" pivotButton="0" quotePrefix="0" xfId="0"/>
    <xf numFmtId="164" fontId="0" fillId="0" borderId="2" pivotButton="0" quotePrefix="0" xfId="0"/>
  </cellXfs>
  <cellStyles count="7">
    <cellStyle name="Normal" xfId="0" builtinId="0"/>
    <cellStyle name="usd_indian" xfId="1"/>
    <cellStyle name="pct_2" xfId="2"/>
    <cellStyle name="int_0" xfId="3"/>
    <cellStyle name="Hyperlink" xfId="4" builtinId="8"/>
    <cellStyle name="inr_indian" xfId="5"/>
    <cellStyle name="Normal 2" xf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twoCellAnchor editAs="oneCell">
    <from>
      <col>0</col>
      <colOff>0</colOff>
      <row>17</row>
      <rowOff>0</rowOff>
    </from>
    <to>
      <col>2</col>
      <colOff>603250</colOff>
      <row>27</row>
      <rowOff>171450</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0" y="8197850"/>
          <a:ext cx="1822450" cy="201295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J33"/>
  <sheetViews>
    <sheetView tabSelected="1" workbookViewId="0">
      <selection activeCell="I3" sqref="I3"/>
    </sheetView>
  </sheetViews>
  <sheetFormatPr baseColWidth="8" defaultRowHeight="14.5"/>
  <cols>
    <col width="8.7265625" customWidth="1" style="31" min="1" max="6"/>
    <col width="13.90625" customWidth="1" style="31" min="7" max="7"/>
    <col width="6.81640625" customWidth="1" style="31" min="8" max="8"/>
    <col width="65.1796875" customWidth="1" style="31" min="9" max="9"/>
    <col width="16.6328125" customWidth="1" style="31" min="10" max="10"/>
    <col width="8.7265625" customWidth="1" style="31" min="11" max="16384"/>
  </cols>
  <sheetData>
    <row r="1" ht="31" customHeight="1" s="22">
      <c r="A1" s="30" t="inlineStr">
        <is>
          <t>FINANCIAL MODELING USING EXCEL</t>
        </is>
      </c>
    </row>
    <row r="2"/>
    <row r="3" ht="23.5" customHeight="1" s="22">
      <c r="A3" s="32" t="inlineStr">
        <is>
          <t>Loan Amortization Modeling Using Excel</t>
        </is>
      </c>
    </row>
    <row r="4"/>
    <row r="5">
      <c r="A5" s="33" t="inlineStr">
        <is>
          <t>Structured Repayment Analysis and Cash Flow Decomposition</t>
        </is>
      </c>
    </row>
    <row r="6"/>
    <row r="7" ht="23.5" customHeight="1" s="22">
      <c r="A7" s="32" t="inlineStr">
        <is>
          <t>Workbook Purpose</t>
        </is>
      </c>
    </row>
    <row r="8"/>
    <row r="9" ht="129" customHeight="1" s="22">
      <c r="A9" s="34" t="inlineStr">
        <is>
          <t>This workbook is designed to develop a clear and practical understanding of loan amortization and structured debt repayment using Excel. It enables learners to analyze how periodic payments are allocated between interest and principal over the life of a loan, and how outstanding balances evolve over time.
Loan amortization is a foundational concept in corporate finance, banking, personal finance, and credit analysis. By building the amortization model step by step in Excel, learners translate theoretical concepts into a transparent, auditable framework that mirrors real-world loan schedules used by banks, financial institutions, and analysts</t>
        </is>
      </c>
    </row>
    <row r="10"/>
    <row r="11"/>
    <row r="12"/>
    <row r="13"/>
    <row r="14"/>
    <row r="15" ht="23.5" customHeight="1" s="22">
      <c r="A15" s="35" t="inlineStr">
        <is>
          <t>Key Concepts Covered</t>
        </is>
      </c>
      <c r="B15" s="36" t="n"/>
      <c r="C15" s="36" t="n"/>
      <c r="D15" s="36" t="n"/>
      <c r="E15" s="36" t="n"/>
      <c r="F15" s="36" t="n"/>
      <c r="G15" s="36" t="n"/>
      <c r="I15" s="37" t="inlineStr">
        <is>
          <t>Excel Functions Used</t>
        </is>
      </c>
    </row>
    <row r="16" ht="255.5" customHeight="1" s="22">
      <c r="A16" s="38" t="inlineStr">
        <is>
          <t>Time value of money and its role in debt repayment
Fixed-payment loan structures and repayment mechanics
Interest computation on outstanding loan balances
Principal repayment dynamics across loan tenure
Outstanding balance tracking and reconciliation
Impact of loan tenor, interest rate, and frequency on cash flows
Interpretation of amortization schedules for financial decision-making</t>
        </is>
      </c>
      <c r="I16" s="39" t="inlineStr">
        <is>
          <t>PMT – Computes periodic loan payment based on rate, tenure, and principal
IPMT – Separates interest component of each payment
PPMT – Identifies principal repayment in each period
CUMIPMT / CUMPRINC – Aggregates interest and principal over selected periods
SUM – Ensures payment and balance consistency checks
IF – Handles logical conditions and boundary cases
ABS – Maintains sign convention discipline
HYPERLINK – Supports structured navigation within the workbook</t>
        </is>
      </c>
    </row>
    <row r="17">
      <c r="A17" s="40" t="n"/>
    </row>
    <row r="18">
      <c r="A18" s="40" t="n"/>
      <c r="E18" s="41" t="inlineStr">
        <is>
          <t>Srikanth Potharla is an accounting and finance educator with over fifteen years of teaching and industry-oriented experience. Currently serving as Assistant Professor at ICFAI Business School, Hyderabad, he specializes in financial modeling using Excel, valuation, and data analytics. His work bridges theory and practice through structured models, real-world applications, and hands-on learning resources designed for MBA, professional, and global learners.</t>
        </is>
      </c>
      <c r="I18" s="42" t="n"/>
    </row>
    <row r="19">
      <c r="A19" s="40" t="n"/>
    </row>
    <row r="20">
      <c r="A20" s="40" t="n"/>
      <c r="I20" s="42" t="n"/>
    </row>
    <row r="21">
      <c r="A21" s="40" t="n"/>
    </row>
    <row r="22">
      <c r="A22" s="40" t="n"/>
      <c r="I22" s="42" t="n"/>
    </row>
    <row r="23">
      <c r="A23" s="40" t="n"/>
    </row>
    <row r="24">
      <c r="A24" s="40" t="n"/>
      <c r="I24" s="42" t="n"/>
    </row>
    <row r="25">
      <c r="A25" s="40" t="n"/>
    </row>
    <row r="26">
      <c r="A26" s="40" t="n"/>
      <c r="I26" s="42" t="n"/>
    </row>
    <row r="27">
      <c r="A27" s="40" t="n"/>
    </row>
    <row r="28">
      <c r="A28" s="40" t="n"/>
      <c r="I28" s="42" t="n"/>
    </row>
    <row r="29">
      <c r="A29" s="40" t="n"/>
    </row>
    <row r="30">
      <c r="A30" s="40" t="n"/>
      <c r="I30" s="42" t="n"/>
    </row>
    <row r="31">
      <c r="A31" s="40" t="n"/>
      <c r="I31" s="40" t="n"/>
    </row>
    <row r="32">
      <c r="A32" s="40" t="n"/>
      <c r="I32" s="43" t="n"/>
    </row>
    <row r="33">
      <c r="A33" s="40" t="n"/>
    </row>
  </sheetData>
  <sheetProtection selectLockedCells="0" selectUnlockedCells="0" sheet="1" objects="1" insertRows="0" insertHyperlinks="1" autoFilter="0" scenarios="1" formatColumns="0" deleteColumns="0" insertColumns="0" pivotTables="0" deleteRows="0" formatCells="0" formatRows="0" sort="0" password="AE3A"/>
  <mergeCells count="3">
    <mergeCell ref="A16:G16"/>
    <mergeCell ref="A9:J9"/>
    <mergeCell ref="E18:H28"/>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tabColor rgb="FF4472C4"/>
    <outlinePr summaryBelow="1" summaryRight="1"/>
    <pageSetUpPr/>
  </sheetPr>
  <dimension ref="A1:E12"/>
  <sheetViews>
    <sheetView workbookViewId="0">
      <pane ySplit="2" topLeftCell="A3" activePane="bottomLeft" state="frozen"/>
      <selection pane="bottomLeft" activeCell="B14" sqref="B14"/>
    </sheetView>
  </sheetViews>
  <sheetFormatPr baseColWidth="8" defaultRowHeight="14.5"/>
  <cols>
    <col width="7" customWidth="1" style="22" min="1" max="1"/>
    <col width="50" customWidth="1" style="22" min="2" max="2"/>
    <col width="20" customWidth="1" style="22" min="3" max="4"/>
    <col width="40" customWidth="1" style="22" min="5" max="5"/>
  </cols>
  <sheetData>
    <row r="1" ht="19.5" customHeight="1" s="22">
      <c r="A1" s="44" t="inlineStr">
        <is>
          <t>Time Value of Money – Balloon Payment Set (Contents)</t>
        </is>
      </c>
    </row>
    <row r="2" ht="15.5" customHeight="1" s="22">
      <c r="A2" s="1" t="inlineStr">
        <is>
          <t>S.No</t>
        </is>
      </c>
      <c r="B2" s="1" t="inlineStr">
        <is>
          <t>Problem Title</t>
        </is>
      </c>
      <c r="C2" s="1" t="inlineStr">
        <is>
          <t>Sheet Link</t>
        </is>
      </c>
      <c r="D2" s="1" t="inlineStr">
        <is>
          <t>Payment Frequency</t>
        </is>
      </c>
      <c r="E2" s="1" t="inlineStr">
        <is>
          <t>Notes</t>
        </is>
      </c>
    </row>
    <row r="3" ht="15.5" customHeight="1" s="22">
      <c r="A3" s="2" t="n">
        <v>1</v>
      </c>
      <c r="B3" s="29" t="inlineStr">
        <is>
          <t>Problem 1 – Car Loan with Balloon Payment</t>
        </is>
      </c>
      <c r="C3" s="4" t="inlineStr">
        <is>
          <t>Go to sheet</t>
        </is>
      </c>
      <c r="D3" s="29" t="inlineStr">
        <is>
          <t>Monthly</t>
        </is>
      </c>
      <c r="E3" s="29" t="inlineStr">
        <is>
          <t>Balloon paid at end; ₹ with Indian grouping</t>
        </is>
      </c>
    </row>
    <row r="4" ht="15.5" customHeight="1" s="22">
      <c r="A4" s="2" t="n">
        <v>2</v>
      </c>
      <c r="B4" s="29" t="inlineStr">
        <is>
          <t>Problem 2 – Home Renovation Loan</t>
        </is>
      </c>
      <c r="C4" s="4" t="inlineStr">
        <is>
          <t>Go to sheet</t>
        </is>
      </c>
      <c r="D4" s="29" t="inlineStr">
        <is>
          <t>Monthly</t>
        </is>
      </c>
      <c r="E4" s="29" t="inlineStr">
        <is>
          <t>Balloon paid at end; ₹ with Indian grouping</t>
        </is>
      </c>
    </row>
    <row r="5" ht="15.5" customHeight="1" s="22">
      <c r="A5" s="2" t="n">
        <v>3</v>
      </c>
      <c r="B5" s="29" t="inlineStr">
        <is>
          <t>Problem 3 – Business Equipment Loan</t>
        </is>
      </c>
      <c r="C5" s="4" t="inlineStr">
        <is>
          <t>Go to sheet</t>
        </is>
      </c>
      <c r="D5" s="29" t="inlineStr">
        <is>
          <t>Quarterly</t>
        </is>
      </c>
      <c r="E5" s="29" t="inlineStr">
        <is>
          <t>Balloon paid at end; ₹ with Indian grouping</t>
        </is>
      </c>
    </row>
    <row r="6" ht="15.5" customHeight="1" s="22">
      <c r="A6" s="2" t="n">
        <v>4</v>
      </c>
      <c r="B6" s="29" t="inlineStr">
        <is>
          <t>Problem 4 – Vacation Home Loan</t>
        </is>
      </c>
      <c r="C6" s="4" t="inlineStr">
        <is>
          <t>Go to sheet</t>
        </is>
      </c>
      <c r="D6" s="29" t="inlineStr">
        <is>
          <t>Annual</t>
        </is>
      </c>
      <c r="E6" s="29" t="inlineStr">
        <is>
          <t>Balloon paid at end; ₹ with Indian grouping</t>
        </is>
      </c>
    </row>
    <row r="7" ht="15.5" customHeight="1" s="22">
      <c r="A7" s="2" t="n">
        <v>5</v>
      </c>
      <c r="B7" s="29" t="inlineStr">
        <is>
          <t>Problem 5 – Student Loan Refinancing</t>
        </is>
      </c>
      <c r="C7" s="4" t="inlineStr">
        <is>
          <t>Go to sheet</t>
        </is>
      </c>
      <c r="D7" s="29" t="inlineStr">
        <is>
          <t>Semiannual</t>
        </is>
      </c>
      <c r="E7" s="29" t="inlineStr">
        <is>
          <t>Balloon paid at end; ₹ with Indian grouping</t>
        </is>
      </c>
    </row>
    <row r="8" ht="15.5" customHeight="1" s="22">
      <c r="A8" s="8" t="n">
        <v>6</v>
      </c>
      <c r="B8" s="29" t="inlineStr">
        <is>
          <t>P6 Farm Equip – NoBalloon</t>
        </is>
      </c>
      <c r="C8" s="4" t="inlineStr">
        <is>
          <t>Go to sheet</t>
        </is>
      </c>
      <c r="D8" s="29" t="inlineStr">
        <is>
          <t>Monthly</t>
        </is>
      </c>
      <c r="E8" s="29" t="inlineStr">
        <is>
          <t>No balloon; ₹ with Indian grouping</t>
        </is>
      </c>
    </row>
    <row r="9" ht="15.5" customHeight="1" s="22">
      <c r="A9" s="8" t="n">
        <v>7</v>
      </c>
      <c r="B9" s="29" t="inlineStr">
        <is>
          <t>P7 Construction – NoBalloon</t>
        </is>
      </c>
      <c r="C9" s="4" t="inlineStr">
        <is>
          <t>Go to sheet</t>
        </is>
      </c>
      <c r="D9" s="29" t="inlineStr">
        <is>
          <t>Monthly</t>
        </is>
      </c>
      <c r="E9" s="29" t="inlineStr">
        <is>
          <t>No balloon; ₹ with Indian grouping</t>
        </is>
      </c>
    </row>
    <row r="10" ht="15.5" customHeight="1" s="22">
      <c r="A10" s="8" t="n">
        <v>8</v>
      </c>
      <c r="B10" s="29" t="inlineStr">
        <is>
          <t>P8 Auto – NoBalloon</t>
        </is>
      </c>
      <c r="C10" s="4" t="inlineStr">
        <is>
          <t>Go to sheet</t>
        </is>
      </c>
      <c r="D10" s="29" t="inlineStr">
        <is>
          <t>Monthly</t>
        </is>
      </c>
      <c r="E10" s="29" t="inlineStr">
        <is>
          <t>No balloon; ₹ with Indian grouping</t>
        </is>
      </c>
    </row>
    <row r="11" ht="15.5" customHeight="1" s="22">
      <c r="A11" s="8" t="n">
        <v>9</v>
      </c>
      <c r="B11" s="29" t="inlineStr">
        <is>
          <t>P9 SME Expand – NoBalloon</t>
        </is>
      </c>
      <c r="C11" s="4" t="inlineStr">
        <is>
          <t>Go to sheet</t>
        </is>
      </c>
      <c r="D11" s="29" t="inlineStr">
        <is>
          <t>Quarterly</t>
        </is>
      </c>
      <c r="E11" s="29" t="inlineStr">
        <is>
          <t>No balloon; ₹ with Indian grouping</t>
        </is>
      </c>
    </row>
    <row r="12" ht="15.5" customHeight="1" s="22">
      <c r="A12" s="8" t="n">
        <v>10</v>
      </c>
      <c r="B12" s="29" t="inlineStr">
        <is>
          <t>P10 Medical – NoBalloon</t>
        </is>
      </c>
      <c r="C12" s="4" t="inlineStr">
        <is>
          <t>Go to sheet</t>
        </is>
      </c>
      <c r="D12" s="29" t="inlineStr">
        <is>
          <t>Annual</t>
        </is>
      </c>
      <c r="E12" s="29" t="inlineStr">
        <is>
          <t>No balloon; ₹ with Indian grouping</t>
        </is>
      </c>
    </row>
  </sheetData>
  <sheetProtection selectLockedCells="0" selectUnlockedCells="0" sheet="1" objects="1" insertRows="0" insertHyperlinks="1" autoFilter="0" scenarios="1" formatColumns="0" deleteColumns="0" insertColumns="0" pivotTables="0" deleteRows="0" formatCells="0" formatRows="0" sort="0" password="AE3A"/>
  <mergeCells count="1">
    <mergeCell ref="A1:E1"/>
  </mergeCells>
  <hyperlinks>
    <hyperlink ref="C3" location="'P1 Car Loan – Balloon'!A1" display="Go to sheet"/>
    <hyperlink ref="C4" location="'P2 Home Renovation – Balloon'!A1" display="Go to sheet"/>
    <hyperlink ref="C5" location="'P3 Equipment – Balloon'!A1" display="Go to sheet"/>
    <hyperlink ref="C6" location="'P4 Vacation Home – Balloon'!A1" display="Go to sheet"/>
    <hyperlink ref="C7" location="'P5 Student Refi – Balloon'!A1" display="Go to sheet"/>
    <hyperlink ref="C8" location="'P6 Farm Equip – NoBalloon'!A1" display="Go to sheet"/>
    <hyperlink ref="C9" location="'P7 Construction – NoBalloon'!A1" display="Go to sheet"/>
    <hyperlink ref="C10" location="'P8 Auto – NoBalloon'!A1" display="Go to sheet"/>
    <hyperlink ref="C11" location="'P9 SME Expand – NoBalloon'!A1" display="Go to sheet"/>
    <hyperlink ref="C12" location="'P10 Medical – NoBalloon'!A1" display="Go to sheet"/>
  </hyperlinks>
  <pageMargins left="0.75" right="0.75" top="1" bottom="1" header="0.5" footer="0.5"/>
</worksheet>
</file>

<file path=xl/worksheets/sheet3.xml><?xml version="1.0" encoding="utf-8"?>
<worksheet xmlns="http://schemas.openxmlformats.org/spreadsheetml/2006/main">
  <sheetPr>
    <tabColor rgb="FF70AD47"/>
    <outlinePr summaryBelow="1" summaryRight="1"/>
    <pageSetUpPr/>
  </sheetPr>
  <dimension ref="A1:D23"/>
  <sheetViews>
    <sheetView workbookViewId="0">
      <pane ySplit="3" topLeftCell="A4" activePane="bottomLeft" state="frozen"/>
      <selection pane="bottomLeft" activeCell="A4" sqref="A4:A8"/>
    </sheetView>
  </sheetViews>
  <sheetFormatPr baseColWidth="8" defaultRowHeight="14.5"/>
  <cols>
    <col width="32" customWidth="1" style="22" min="1" max="1"/>
    <col width="22" customWidth="1" style="22" min="2" max="4"/>
  </cols>
  <sheetData>
    <row r="1" ht="19.5" customHeight="1" s="22">
      <c r="A1" s="44" t="inlineStr">
        <is>
          <t>Problem 1 – Car Loan with Balloon Payment</t>
        </is>
      </c>
    </row>
    <row r="2"/>
    <row r="3" ht="15.5" customHeight="1" s="22">
      <c r="A3" s="24" t="inlineStr">
        <is>
          <t>Inputs</t>
        </is>
      </c>
      <c r="B3" s="25" t="n"/>
      <c r="C3" s="25" t="n"/>
      <c r="D3" s="26" t="n"/>
    </row>
    <row r="4">
      <c r="A4" s="5" t="inlineStr">
        <is>
          <t>Principal Amount</t>
        </is>
      </c>
      <c r="B4" s="45" t="n">
        <v>15000</v>
      </c>
    </row>
    <row r="5">
      <c r="A5" s="5" t="inlineStr">
        <is>
          <t>Balloon Payment (FV at end)</t>
        </is>
      </c>
      <c r="B5" s="45" t="n">
        <v>5000</v>
      </c>
    </row>
    <row r="6">
      <c r="A6" s="5" t="inlineStr">
        <is>
          <t>Annual Interest Rate</t>
        </is>
      </c>
      <c r="B6" s="18" t="n">
        <v>0.05</v>
      </c>
    </row>
    <row r="7">
      <c r="A7" s="5" t="inlineStr">
        <is>
          <t>Tenure (Years)</t>
        </is>
      </c>
      <c r="B7" s="19" t="n">
        <v>4</v>
      </c>
    </row>
    <row r="8">
      <c r="A8" s="5" t="inlineStr">
        <is>
          <t>Payments per Year</t>
        </is>
      </c>
      <c r="B8" s="20" t="n">
        <v>12</v>
      </c>
    </row>
    <row r="9"/>
    <row r="10" ht="15.5" customHeight="1" s="22">
      <c r="A10" s="27" t="inlineStr">
        <is>
          <t>Outputs</t>
        </is>
      </c>
      <c r="B10" s="25" t="n"/>
      <c r="C10" s="25" t="n"/>
      <c r="D10" s="26" t="n"/>
    </row>
    <row r="11"/>
    <row r="12">
      <c r="A12" s="6" t="inlineStr">
        <is>
          <t>Monthly Payment (PMT)</t>
        </is>
      </c>
      <c r="B12" s="45">
        <f>-PMT(B6/B8, B7*B8, B4, -B5, 0)</f>
        <v/>
      </c>
    </row>
    <row r="13"/>
    <row r="14">
      <c r="A14" s="23" t="inlineStr">
        <is>
          <t>Sign convention: PV positive (cash received); periodic payments and balloon are negative (cash paid).</t>
        </is>
      </c>
      <c r="B14" s="25" t="n"/>
      <c r="C14" s="25" t="n"/>
      <c r="D14" s="26" t="n"/>
    </row>
    <row r="15"/>
    <row r="16" ht="15.5" customHeight="1" s="22">
      <c r="A16" s="28" t="inlineStr">
        <is>
          <t>Sign Convention Reference</t>
        </is>
      </c>
      <c r="B16" s="25" t="n"/>
      <c r="C16" s="25" t="n"/>
      <c r="D16" s="26" t="n"/>
    </row>
    <row r="17">
      <c r="A17" s="14" t="inlineStr">
        <is>
          <t>Item</t>
        </is>
      </c>
      <c r="B17" s="14" t="inlineStr">
        <is>
          <t>Interpretation</t>
        </is>
      </c>
      <c r="C17" s="14" t="inlineStr">
        <is>
          <t>Typical Sign</t>
        </is>
      </c>
      <c r="D17" s="14" t="inlineStr">
        <is>
          <t>Excel Effect</t>
        </is>
      </c>
    </row>
    <row r="18">
      <c r="A18" s="15" t="inlineStr">
        <is>
          <t>PV</t>
        </is>
      </c>
      <c r="B18" s="15" t="inlineStr">
        <is>
          <t>Loan amount received</t>
        </is>
      </c>
      <c r="C18" s="16" t="inlineStr">
        <is>
          <t>+ (inflow)</t>
        </is>
      </c>
      <c r="D18" s="15" t="inlineStr">
        <is>
          <t>PMT returns negative (outflow)</t>
        </is>
      </c>
    </row>
    <row r="19">
      <c r="A19" s="15" t="inlineStr">
        <is>
          <t>PMT</t>
        </is>
      </c>
      <c r="B19" s="15" t="inlineStr">
        <is>
          <t>Periodic payment you make</t>
        </is>
      </c>
      <c r="C19" s="16" t="inlineStr">
        <is>
          <t>– (outflow)</t>
        </is>
      </c>
      <c r="D19" s="15" t="inlineStr">
        <is>
          <t>Outflow by convention</t>
        </is>
      </c>
    </row>
    <row r="20">
      <c r="A20" s="15" t="inlineStr">
        <is>
          <t>FV</t>
        </is>
      </c>
      <c r="B20" s="15" t="inlineStr">
        <is>
          <t>Balloon you pay at end</t>
        </is>
      </c>
      <c r="C20" s="16" t="inlineStr">
        <is>
          <t>– (outflow)</t>
        </is>
      </c>
      <c r="D20" s="15" t="inlineStr">
        <is>
          <t>Use fv as negative</t>
        </is>
      </c>
    </row>
    <row r="21">
      <c r="A21" s="15" t="inlineStr">
        <is>
          <t>FV</t>
        </is>
      </c>
      <c r="B21" s="15" t="inlineStr">
        <is>
          <t>Balloon you receive at end</t>
        </is>
      </c>
      <c r="C21" s="16" t="inlineStr">
        <is>
          <t>+ (inflow)</t>
        </is>
      </c>
      <c r="D21" s="15" t="inlineStr">
        <is>
          <t>Use fv as positive</t>
        </is>
      </c>
    </row>
    <row r="22"/>
    <row r="23">
      <c r="A23" s="23" t="inlineStr">
        <is>
          <t>Tip: At least one of PV, PMT, or FV must be negative to indicate direction. Use =-PMT(...) to display a positive payment.</t>
        </is>
      </c>
      <c r="B23" s="25" t="n"/>
      <c r="C23" s="25" t="n"/>
      <c r="D23" s="26" t="n"/>
    </row>
  </sheetData>
  <sheetProtection selectLockedCells="0" selectUnlockedCells="0" sheet="1" objects="1" insertRows="0" insertHyperlinks="1" autoFilter="0" scenarios="1" formatColumns="0" deleteColumns="0" insertColumns="0" pivotTables="0" deleteRows="0" formatCells="0" formatRows="0" sort="0" password="AE3A"/>
  <mergeCells count="6">
    <mergeCell ref="A1:D1"/>
    <mergeCell ref="A23:D23"/>
    <mergeCell ref="A3:D3"/>
    <mergeCell ref="A16:D16"/>
    <mergeCell ref="A10:D10"/>
    <mergeCell ref="A14:D14"/>
  </mergeCells>
  <pageMargins left="0.75" right="0.75" top="1" bottom="1" header="0.5" footer="0.5"/>
</worksheet>
</file>

<file path=xl/worksheets/sheet4.xml><?xml version="1.0" encoding="utf-8"?>
<worksheet xmlns="http://schemas.openxmlformats.org/spreadsheetml/2006/main">
  <sheetPr>
    <tabColor rgb="FF5B9BD5"/>
    <outlinePr summaryBelow="1" summaryRight="1"/>
    <pageSetUpPr/>
  </sheetPr>
  <dimension ref="A1:D23"/>
  <sheetViews>
    <sheetView workbookViewId="0">
      <pane ySplit="3" topLeftCell="A4" activePane="bottomLeft" state="frozen"/>
      <selection pane="bottomLeft" activeCell="I6" sqref="I6"/>
    </sheetView>
  </sheetViews>
  <sheetFormatPr baseColWidth="8" defaultRowHeight="14.5"/>
  <cols>
    <col width="32" customWidth="1" style="22" min="1" max="1"/>
    <col width="22" customWidth="1" style="22" min="2" max="4"/>
  </cols>
  <sheetData>
    <row r="1" ht="19.5" customHeight="1" s="22">
      <c r="A1" s="44" t="inlineStr">
        <is>
          <t>Problem 2 – Home Renovation Loan</t>
        </is>
      </c>
    </row>
    <row r="2"/>
    <row r="3" ht="15.5" customHeight="1" s="22">
      <c r="A3" s="24" t="inlineStr">
        <is>
          <t>Inputs</t>
        </is>
      </c>
      <c r="B3" s="25" t="n"/>
      <c r="C3" s="25" t="n"/>
      <c r="D3" s="26" t="n"/>
    </row>
    <row r="4">
      <c r="A4" s="5" t="inlineStr">
        <is>
          <t>Principal Amount</t>
        </is>
      </c>
      <c r="B4" s="45" t="n">
        <v>20000</v>
      </c>
    </row>
    <row r="5">
      <c r="A5" s="5" t="inlineStr">
        <is>
          <t>Balloon Payment (FV at end)</t>
        </is>
      </c>
      <c r="B5" s="45" t="n">
        <v>7000</v>
      </c>
    </row>
    <row r="6">
      <c r="A6" s="5" t="inlineStr">
        <is>
          <t>Annual Interest Rate</t>
        </is>
      </c>
      <c r="B6" s="18" t="n">
        <v>0.06</v>
      </c>
    </row>
    <row r="7">
      <c r="A7" s="5" t="inlineStr">
        <is>
          <t>Tenure (Years)</t>
        </is>
      </c>
      <c r="B7" s="19" t="n">
        <v>3</v>
      </c>
    </row>
    <row r="8">
      <c r="A8" s="5" t="inlineStr">
        <is>
          <t>Payments per Year</t>
        </is>
      </c>
      <c r="B8" s="20" t="n">
        <v>12</v>
      </c>
    </row>
    <row r="9"/>
    <row r="10" ht="15.5" customHeight="1" s="22">
      <c r="A10" s="27" t="inlineStr">
        <is>
          <t>Outputs</t>
        </is>
      </c>
      <c r="B10" s="25" t="n"/>
      <c r="C10" s="25" t="n"/>
      <c r="D10" s="26" t="n"/>
    </row>
    <row r="11"/>
    <row r="12">
      <c r="A12" s="6" t="inlineStr">
        <is>
          <t>Monthly Payment (PMT)</t>
        </is>
      </c>
      <c r="B12" s="46">
        <f>-PMT(B6/B8, B7*B8, B4, -B5, 0)</f>
        <v/>
      </c>
    </row>
    <row r="13"/>
    <row r="14">
      <c r="A14" s="23" t="inlineStr">
        <is>
          <t>Sign convention: PV positive (cash received); periodic payments and balloon are negative (cash paid).</t>
        </is>
      </c>
      <c r="B14" s="25" t="n"/>
      <c r="C14" s="25" t="n"/>
      <c r="D14" s="26" t="n"/>
    </row>
    <row r="15"/>
    <row r="16" ht="15.5" customHeight="1" s="22">
      <c r="A16" s="28" t="inlineStr">
        <is>
          <t>Sign Convention Reference</t>
        </is>
      </c>
      <c r="B16" s="25" t="n"/>
      <c r="C16" s="25" t="n"/>
      <c r="D16" s="26" t="n"/>
    </row>
    <row r="17">
      <c r="A17" s="14" t="inlineStr">
        <is>
          <t>Item</t>
        </is>
      </c>
      <c r="B17" s="14" t="inlineStr">
        <is>
          <t>Interpretation</t>
        </is>
      </c>
      <c r="C17" s="14" t="inlineStr">
        <is>
          <t>Typical Sign</t>
        </is>
      </c>
      <c r="D17" s="14" t="inlineStr">
        <is>
          <t>Excel Effect</t>
        </is>
      </c>
    </row>
    <row r="18">
      <c r="A18" s="15" t="inlineStr">
        <is>
          <t>PV</t>
        </is>
      </c>
      <c r="B18" s="15" t="inlineStr">
        <is>
          <t>Loan amount received</t>
        </is>
      </c>
      <c r="C18" s="16" t="inlineStr">
        <is>
          <t>+ (inflow)</t>
        </is>
      </c>
      <c r="D18" s="15" t="inlineStr">
        <is>
          <t>PMT returns negative (outflow)</t>
        </is>
      </c>
    </row>
    <row r="19">
      <c r="A19" s="15" t="inlineStr">
        <is>
          <t>PMT</t>
        </is>
      </c>
      <c r="B19" s="15" t="inlineStr">
        <is>
          <t>Periodic payment you make</t>
        </is>
      </c>
      <c r="C19" s="16" t="inlineStr">
        <is>
          <t>– (outflow)</t>
        </is>
      </c>
      <c r="D19" s="15" t="inlineStr">
        <is>
          <t>Outflow by convention</t>
        </is>
      </c>
    </row>
    <row r="20">
      <c r="A20" s="15" t="inlineStr">
        <is>
          <t>FV</t>
        </is>
      </c>
      <c r="B20" s="15" t="inlineStr">
        <is>
          <t>Balloon you pay at end</t>
        </is>
      </c>
      <c r="C20" s="16" t="inlineStr">
        <is>
          <t>– (outflow)</t>
        </is>
      </c>
      <c r="D20" s="15" t="inlineStr">
        <is>
          <t>Use fv as negative</t>
        </is>
      </c>
    </row>
    <row r="21">
      <c r="A21" s="15" t="inlineStr">
        <is>
          <t>FV</t>
        </is>
      </c>
      <c r="B21" s="15" t="inlineStr">
        <is>
          <t>Balloon you receive at end</t>
        </is>
      </c>
      <c r="C21" s="16" t="inlineStr">
        <is>
          <t>+ (inflow)</t>
        </is>
      </c>
      <c r="D21" s="15" t="inlineStr">
        <is>
          <t>Use fv as positive</t>
        </is>
      </c>
    </row>
    <row r="22"/>
    <row r="23">
      <c r="A23" s="23" t="inlineStr">
        <is>
          <t>Tip: At least one of PV, PMT, or FV must be negative to indicate direction. Use =-PMT(...) to display a positive payment.</t>
        </is>
      </c>
      <c r="B23" s="25" t="n"/>
      <c r="C23" s="25" t="n"/>
      <c r="D23" s="26" t="n"/>
    </row>
  </sheetData>
  <sheetProtection selectLockedCells="0" selectUnlockedCells="0" sheet="1" objects="1" insertRows="0" insertHyperlinks="1" autoFilter="0" scenarios="1" formatColumns="0" deleteColumns="0" insertColumns="0" pivotTables="0" deleteRows="0" formatCells="0" formatRows="0" sort="0" password="AE3A"/>
  <mergeCells count="6">
    <mergeCell ref="A1:D1"/>
    <mergeCell ref="A23:D23"/>
    <mergeCell ref="A3:D3"/>
    <mergeCell ref="A16:D16"/>
    <mergeCell ref="A10:D10"/>
    <mergeCell ref="A14:D14"/>
  </mergeCells>
  <pageMargins left="0.75" right="0.75" top="1" bottom="1" header="0.5" footer="0.5"/>
</worksheet>
</file>

<file path=xl/worksheets/sheet5.xml><?xml version="1.0" encoding="utf-8"?>
<worksheet xmlns="http://schemas.openxmlformats.org/spreadsheetml/2006/main">
  <sheetPr>
    <tabColor rgb="FFED7D31"/>
    <outlinePr summaryBelow="1" summaryRight="1"/>
    <pageSetUpPr/>
  </sheetPr>
  <dimension ref="A1:D23"/>
  <sheetViews>
    <sheetView workbookViewId="0">
      <pane ySplit="3" topLeftCell="A4" activePane="bottomLeft" state="frozen"/>
      <selection pane="bottomLeft" activeCell="A13" sqref="A13:XFD13"/>
    </sheetView>
  </sheetViews>
  <sheetFormatPr baseColWidth="8" defaultRowHeight="14.5"/>
  <cols>
    <col width="32" customWidth="1" style="22" min="1" max="1"/>
    <col width="22" customWidth="1" style="22" min="2" max="4"/>
  </cols>
  <sheetData>
    <row r="1" ht="19.5" customHeight="1" s="22">
      <c r="A1" s="44" t="inlineStr">
        <is>
          <t>Problem 3 – Business Equipment Loan</t>
        </is>
      </c>
    </row>
    <row r="2"/>
    <row r="3" ht="15.5" customHeight="1" s="22">
      <c r="A3" s="24" t="inlineStr">
        <is>
          <t>Inputs</t>
        </is>
      </c>
      <c r="B3" s="25" t="n"/>
      <c r="C3" s="25" t="n"/>
      <c r="D3" s="26" t="n"/>
    </row>
    <row r="4">
      <c r="A4" s="5" t="inlineStr">
        <is>
          <t>Principal Amount</t>
        </is>
      </c>
      <c r="B4" s="45" t="n">
        <v>50000</v>
      </c>
    </row>
    <row r="5">
      <c r="A5" s="5" t="inlineStr">
        <is>
          <t>Balloon Payment (FV at end)</t>
        </is>
      </c>
      <c r="B5" s="45" t="n">
        <v>15000</v>
      </c>
    </row>
    <row r="6">
      <c r="A6" s="5" t="inlineStr">
        <is>
          <t>Annual Interest Rate</t>
        </is>
      </c>
      <c r="B6" s="18" t="n">
        <v>0.07000000000000001</v>
      </c>
    </row>
    <row r="7">
      <c r="A7" s="5" t="inlineStr">
        <is>
          <t>Tenure (Years)</t>
        </is>
      </c>
      <c r="B7" s="19" t="n">
        <v>5</v>
      </c>
    </row>
    <row r="8">
      <c r="A8" s="5" t="inlineStr">
        <is>
          <t>Payments per Year</t>
        </is>
      </c>
      <c r="B8" s="20" t="n">
        <v>4</v>
      </c>
    </row>
    <row r="9"/>
    <row r="10" ht="15.5" customHeight="1" s="22">
      <c r="A10" s="27" t="inlineStr">
        <is>
          <t>Outputs</t>
        </is>
      </c>
      <c r="B10" s="25" t="n"/>
      <c r="C10" s="25" t="n"/>
      <c r="D10" s="26" t="n"/>
    </row>
    <row r="11"/>
    <row r="12">
      <c r="A12" s="6" t="inlineStr">
        <is>
          <t>Quarterly Payment (PMT)</t>
        </is>
      </c>
      <c r="B12" s="46">
        <f>-PMT(B6/B8, B7*B8, B4, -B5, 0)</f>
        <v/>
      </c>
    </row>
    <row r="13"/>
    <row r="14">
      <c r="A14" s="23" t="inlineStr">
        <is>
          <t>Sign convention: PV positive (cash received); periodic payments and balloon are negative (cash paid).</t>
        </is>
      </c>
      <c r="B14" s="25" t="n"/>
      <c r="C14" s="25" t="n"/>
      <c r="D14" s="26" t="n"/>
    </row>
    <row r="15"/>
    <row r="16" ht="15.5" customHeight="1" s="22">
      <c r="A16" s="28" t="inlineStr">
        <is>
          <t>Sign Convention Reference</t>
        </is>
      </c>
      <c r="B16" s="25" t="n"/>
      <c r="C16" s="25" t="n"/>
      <c r="D16" s="26" t="n"/>
    </row>
    <row r="17">
      <c r="A17" s="14" t="inlineStr">
        <is>
          <t>Item</t>
        </is>
      </c>
      <c r="B17" s="14" t="inlineStr">
        <is>
          <t>Interpretation</t>
        </is>
      </c>
      <c r="C17" s="14" t="inlineStr">
        <is>
          <t>Typical Sign</t>
        </is>
      </c>
      <c r="D17" s="14" t="inlineStr">
        <is>
          <t>Excel Effect</t>
        </is>
      </c>
    </row>
    <row r="18">
      <c r="A18" s="15" t="inlineStr">
        <is>
          <t>PV</t>
        </is>
      </c>
      <c r="B18" s="15" t="inlineStr">
        <is>
          <t>Loan amount received</t>
        </is>
      </c>
      <c r="C18" s="16" t="inlineStr">
        <is>
          <t>+ (inflow)</t>
        </is>
      </c>
      <c r="D18" s="15" t="inlineStr">
        <is>
          <t>PMT returns negative (outflow)</t>
        </is>
      </c>
    </row>
    <row r="19">
      <c r="A19" s="15" t="inlineStr">
        <is>
          <t>PMT</t>
        </is>
      </c>
      <c r="B19" s="15" t="inlineStr">
        <is>
          <t>Periodic payment you make</t>
        </is>
      </c>
      <c r="C19" s="16" t="inlineStr">
        <is>
          <t>– (outflow)</t>
        </is>
      </c>
      <c r="D19" s="15" t="inlineStr">
        <is>
          <t>Outflow by convention</t>
        </is>
      </c>
    </row>
    <row r="20">
      <c r="A20" s="15" t="inlineStr">
        <is>
          <t>FV</t>
        </is>
      </c>
      <c r="B20" s="15" t="inlineStr">
        <is>
          <t>Balloon you pay at end</t>
        </is>
      </c>
      <c r="C20" s="16" t="inlineStr">
        <is>
          <t>– (outflow)</t>
        </is>
      </c>
      <c r="D20" s="15" t="inlineStr">
        <is>
          <t>Use fv as negative</t>
        </is>
      </c>
    </row>
    <row r="21">
      <c r="A21" s="15" t="inlineStr">
        <is>
          <t>FV</t>
        </is>
      </c>
      <c r="B21" s="15" t="inlineStr">
        <is>
          <t>Balloon you receive at end</t>
        </is>
      </c>
      <c r="C21" s="16" t="inlineStr">
        <is>
          <t>+ (inflow)</t>
        </is>
      </c>
      <c r="D21" s="15" t="inlineStr">
        <is>
          <t>Use fv as positive</t>
        </is>
      </c>
    </row>
    <row r="22"/>
    <row r="23">
      <c r="A23" s="23" t="inlineStr">
        <is>
          <t>Tip: At least one of PV, PMT, or FV must be negative to indicate direction. Use =-PMT(...) to display a positive payment.</t>
        </is>
      </c>
      <c r="B23" s="25" t="n"/>
      <c r="C23" s="25" t="n"/>
      <c r="D23" s="26" t="n"/>
    </row>
  </sheetData>
  <sheetProtection selectLockedCells="0" selectUnlockedCells="0" sheet="1" objects="1" insertRows="0" insertHyperlinks="1" autoFilter="0" scenarios="1" formatColumns="0" deleteColumns="0" insertColumns="0" pivotTables="0" deleteRows="0" formatCells="0" formatRows="0" sort="0" password="AE3A"/>
  <mergeCells count="6">
    <mergeCell ref="A1:D1"/>
    <mergeCell ref="A23:D23"/>
    <mergeCell ref="A3:D3"/>
    <mergeCell ref="A16:D16"/>
    <mergeCell ref="A10:D10"/>
    <mergeCell ref="A14:D14"/>
  </mergeCells>
  <pageMargins left="0.75" right="0.75" top="1" bottom="1" header="0.5" footer="0.5"/>
</worksheet>
</file>

<file path=xl/worksheets/sheet6.xml><?xml version="1.0" encoding="utf-8"?>
<worksheet xmlns="http://schemas.openxmlformats.org/spreadsheetml/2006/main">
  <sheetPr>
    <tabColor rgb="FFA5A5A5"/>
    <outlinePr summaryBelow="1" summaryRight="1"/>
    <pageSetUpPr/>
  </sheetPr>
  <dimension ref="A1:D23"/>
  <sheetViews>
    <sheetView workbookViewId="0">
      <pane ySplit="3" topLeftCell="A4" activePane="bottomLeft" state="frozen"/>
      <selection pane="bottomLeft" activeCell="B12" sqref="B12"/>
    </sheetView>
  </sheetViews>
  <sheetFormatPr baseColWidth="8" defaultRowHeight="14.5"/>
  <cols>
    <col width="32" customWidth="1" style="22" min="1" max="1"/>
    <col width="22" customWidth="1" style="22" min="2" max="4"/>
  </cols>
  <sheetData>
    <row r="1" ht="19.5" customHeight="1" s="22">
      <c r="A1" s="44" t="inlineStr">
        <is>
          <t>Problem 4 – Vacation Home Loan</t>
        </is>
      </c>
    </row>
    <row r="2"/>
    <row r="3" ht="15.5" customHeight="1" s="22">
      <c r="A3" s="24" t="inlineStr">
        <is>
          <t>Inputs</t>
        </is>
      </c>
      <c r="B3" s="25" t="n"/>
      <c r="C3" s="25" t="n"/>
      <c r="D3" s="26" t="n"/>
    </row>
    <row r="4">
      <c r="A4" s="5" t="inlineStr">
        <is>
          <t>Principal Amount</t>
        </is>
      </c>
      <c r="B4" s="45" t="n">
        <v>75000</v>
      </c>
    </row>
    <row r="5">
      <c r="A5" s="5" t="inlineStr">
        <is>
          <t>Balloon Payment (FV at end)</t>
        </is>
      </c>
      <c r="B5" s="45" t="n">
        <v>25000</v>
      </c>
    </row>
    <row r="6">
      <c r="A6" s="5" t="inlineStr">
        <is>
          <t>Annual Interest Rate</t>
        </is>
      </c>
      <c r="B6" s="18" t="n">
        <v>0.045</v>
      </c>
    </row>
    <row r="7">
      <c r="A7" s="5" t="inlineStr">
        <is>
          <t>Tenure (Years)</t>
        </is>
      </c>
      <c r="B7" s="19" t="n">
        <v>10</v>
      </c>
    </row>
    <row r="8">
      <c r="A8" s="5" t="inlineStr">
        <is>
          <t>Payments per Year</t>
        </is>
      </c>
      <c r="B8" s="20" t="n">
        <v>1</v>
      </c>
    </row>
    <row r="9"/>
    <row r="10" ht="15.5" customHeight="1" s="22">
      <c r="A10" s="27" t="inlineStr">
        <is>
          <t>Outputs</t>
        </is>
      </c>
      <c r="B10" s="25" t="n"/>
      <c r="C10" s="25" t="n"/>
      <c r="D10" s="26" t="n"/>
    </row>
    <row r="11"/>
    <row r="12">
      <c r="A12" s="6" t="inlineStr">
        <is>
          <t>Annual Payment (PMT)</t>
        </is>
      </c>
      <c r="B12" s="45">
        <f>-PMT(B6/B8, B7*B8, B4, -B5, 0)</f>
        <v/>
      </c>
    </row>
    <row r="13"/>
    <row r="14">
      <c r="A14" s="23" t="inlineStr">
        <is>
          <t>Sign convention: PV positive (cash received); periodic payments and balloon are negative (cash paid).</t>
        </is>
      </c>
      <c r="B14" s="25" t="n"/>
      <c r="C14" s="25" t="n"/>
      <c r="D14" s="26" t="n"/>
    </row>
    <row r="15"/>
    <row r="16" ht="15.5" customHeight="1" s="22">
      <c r="A16" s="28" t="inlineStr">
        <is>
          <t>Sign Convention Reference</t>
        </is>
      </c>
      <c r="B16" s="25" t="n"/>
      <c r="C16" s="25" t="n"/>
      <c r="D16" s="26" t="n"/>
    </row>
    <row r="17">
      <c r="A17" s="14" t="inlineStr">
        <is>
          <t>Item</t>
        </is>
      </c>
      <c r="B17" s="14" t="inlineStr">
        <is>
          <t>Interpretation</t>
        </is>
      </c>
      <c r="C17" s="14" t="inlineStr">
        <is>
          <t>Typical Sign</t>
        </is>
      </c>
      <c r="D17" s="14" t="inlineStr">
        <is>
          <t>Excel Effect</t>
        </is>
      </c>
    </row>
    <row r="18">
      <c r="A18" s="15" t="inlineStr">
        <is>
          <t>PV</t>
        </is>
      </c>
      <c r="B18" s="15" t="inlineStr">
        <is>
          <t>Loan amount received</t>
        </is>
      </c>
      <c r="C18" s="16" t="inlineStr">
        <is>
          <t>+ (inflow)</t>
        </is>
      </c>
      <c r="D18" s="15" t="inlineStr">
        <is>
          <t>PMT returns negative (outflow)</t>
        </is>
      </c>
    </row>
    <row r="19">
      <c r="A19" s="15" t="inlineStr">
        <is>
          <t>PMT</t>
        </is>
      </c>
      <c r="B19" s="15" t="inlineStr">
        <is>
          <t>Periodic payment you make</t>
        </is>
      </c>
      <c r="C19" s="16" t="inlineStr">
        <is>
          <t>– (outflow)</t>
        </is>
      </c>
      <c r="D19" s="15" t="inlineStr">
        <is>
          <t>Outflow by convention</t>
        </is>
      </c>
    </row>
    <row r="20">
      <c r="A20" s="15" t="inlineStr">
        <is>
          <t>FV</t>
        </is>
      </c>
      <c r="B20" s="15" t="inlineStr">
        <is>
          <t>Balloon you pay at end</t>
        </is>
      </c>
      <c r="C20" s="16" t="inlineStr">
        <is>
          <t>– (outflow)</t>
        </is>
      </c>
      <c r="D20" s="15" t="inlineStr">
        <is>
          <t>Use fv as negative</t>
        </is>
      </c>
    </row>
    <row r="21">
      <c r="A21" s="15" t="inlineStr">
        <is>
          <t>FV</t>
        </is>
      </c>
      <c r="B21" s="15" t="inlineStr">
        <is>
          <t>Balloon you receive at end</t>
        </is>
      </c>
      <c r="C21" s="16" t="inlineStr">
        <is>
          <t>+ (inflow)</t>
        </is>
      </c>
      <c r="D21" s="15" t="inlineStr">
        <is>
          <t>Use fv as positive</t>
        </is>
      </c>
    </row>
    <row r="22"/>
    <row r="23">
      <c r="A23" s="23" t="inlineStr">
        <is>
          <t>Tip: At least one of PV, PMT, or FV must be negative to indicate direction. Use =-PMT(...) to display a positive payment.</t>
        </is>
      </c>
      <c r="B23" s="25" t="n"/>
      <c r="C23" s="25" t="n"/>
      <c r="D23" s="26" t="n"/>
    </row>
  </sheetData>
  <sheetProtection selectLockedCells="0" selectUnlockedCells="0" sheet="1" objects="1" insertRows="0" insertHyperlinks="1" autoFilter="0" scenarios="1" formatColumns="0" deleteColumns="0" insertColumns="0" pivotTables="0" deleteRows="0" formatCells="0" formatRows="0" sort="0" password="AE3A"/>
  <mergeCells count="6">
    <mergeCell ref="A1:D1"/>
    <mergeCell ref="A23:D23"/>
    <mergeCell ref="A3:D3"/>
    <mergeCell ref="A16:D16"/>
    <mergeCell ref="A10:D10"/>
    <mergeCell ref="A14:D14"/>
  </mergeCells>
  <pageMargins left="0.75" right="0.75" top="1" bottom="1" header="0.5" footer="0.5"/>
</worksheet>
</file>

<file path=xl/worksheets/sheet7.xml><?xml version="1.0" encoding="utf-8"?>
<worksheet xmlns="http://schemas.openxmlformats.org/spreadsheetml/2006/main">
  <sheetPr>
    <tabColor rgb="FFFF5050"/>
    <outlinePr summaryBelow="1" summaryRight="1"/>
    <pageSetUpPr/>
  </sheetPr>
  <dimension ref="A1:D23"/>
  <sheetViews>
    <sheetView workbookViewId="0">
      <pane ySplit="3" topLeftCell="A4" activePane="bottomLeft" state="frozen"/>
      <selection pane="bottomLeft" activeCell="A13" sqref="A13:XFD13"/>
    </sheetView>
  </sheetViews>
  <sheetFormatPr baseColWidth="8" defaultRowHeight="14.5"/>
  <cols>
    <col width="32" customWidth="1" style="22" min="1" max="1"/>
    <col width="22" customWidth="1" style="22" min="2" max="4"/>
  </cols>
  <sheetData>
    <row r="1" ht="19.5" customHeight="1" s="22">
      <c r="A1" s="44" t="inlineStr">
        <is>
          <t>Problem 5 – Student Loan Refinancing</t>
        </is>
      </c>
    </row>
    <row r="2"/>
    <row r="3" ht="15.5" customHeight="1" s="22">
      <c r="A3" s="24" t="inlineStr">
        <is>
          <t>Inputs</t>
        </is>
      </c>
      <c r="B3" s="25" t="n"/>
      <c r="C3" s="25" t="n"/>
      <c r="D3" s="26" t="n"/>
    </row>
    <row r="4">
      <c r="A4" s="5" t="inlineStr">
        <is>
          <t>Principal Amount</t>
        </is>
      </c>
      <c r="B4" s="45" t="n">
        <v>30000</v>
      </c>
    </row>
    <row r="5">
      <c r="A5" s="5" t="inlineStr">
        <is>
          <t>Balloon Payment (FV at end)</t>
        </is>
      </c>
      <c r="B5" s="45" t="n">
        <v>10000</v>
      </c>
    </row>
    <row r="6">
      <c r="A6" s="5" t="inlineStr">
        <is>
          <t>Annual Interest Rate</t>
        </is>
      </c>
      <c r="B6" s="18" t="n">
        <v>0.055</v>
      </c>
    </row>
    <row r="7">
      <c r="A7" s="5" t="inlineStr">
        <is>
          <t>Tenure (Years)</t>
        </is>
      </c>
      <c r="B7" s="19" t="n">
        <v>6</v>
      </c>
    </row>
    <row r="8">
      <c r="A8" s="5" t="inlineStr">
        <is>
          <t>Payments per Year</t>
        </is>
      </c>
      <c r="B8" s="20" t="n">
        <v>2</v>
      </c>
    </row>
    <row r="9"/>
    <row r="10" ht="15.5" customHeight="1" s="22">
      <c r="A10" s="27" t="inlineStr">
        <is>
          <t>Outputs</t>
        </is>
      </c>
      <c r="B10" s="25" t="n"/>
      <c r="C10" s="25" t="n"/>
      <c r="D10" s="26" t="n"/>
    </row>
    <row r="11"/>
    <row r="12">
      <c r="A12" s="6" t="inlineStr">
        <is>
          <t>Semiannual Payment (PMT)</t>
        </is>
      </c>
      <c r="B12" s="45">
        <f>-PMT(B6/B8, B7*B8, B4, -B5, 0)</f>
        <v/>
      </c>
    </row>
    <row r="13"/>
    <row r="14">
      <c r="A14" s="23" t="inlineStr">
        <is>
          <t>Sign convention: PV positive (cash received); periodic payments and balloon are negative (cash paid).</t>
        </is>
      </c>
      <c r="B14" s="25" t="n"/>
      <c r="C14" s="25" t="n"/>
      <c r="D14" s="26" t="n"/>
    </row>
    <row r="15"/>
    <row r="16" ht="15.5" customHeight="1" s="22">
      <c r="A16" s="28" t="inlineStr">
        <is>
          <t>Sign Convention Reference</t>
        </is>
      </c>
      <c r="B16" s="25" t="n"/>
      <c r="C16" s="25" t="n"/>
      <c r="D16" s="26" t="n"/>
    </row>
    <row r="17">
      <c r="A17" s="14" t="inlineStr">
        <is>
          <t>Item</t>
        </is>
      </c>
      <c r="B17" s="14" t="inlineStr">
        <is>
          <t>Interpretation</t>
        </is>
      </c>
      <c r="C17" s="14" t="inlineStr">
        <is>
          <t>Typical Sign</t>
        </is>
      </c>
      <c r="D17" s="14" t="inlineStr">
        <is>
          <t>Excel Effect</t>
        </is>
      </c>
    </row>
    <row r="18">
      <c r="A18" s="15" t="inlineStr">
        <is>
          <t>PV</t>
        </is>
      </c>
      <c r="B18" s="15" t="inlineStr">
        <is>
          <t>Loan amount received</t>
        </is>
      </c>
      <c r="C18" s="16" t="inlineStr">
        <is>
          <t>+ (inflow)</t>
        </is>
      </c>
      <c r="D18" s="15" t="inlineStr">
        <is>
          <t>PMT returns negative (outflow)</t>
        </is>
      </c>
    </row>
    <row r="19">
      <c r="A19" s="15" t="inlineStr">
        <is>
          <t>PMT</t>
        </is>
      </c>
      <c r="B19" s="15" t="inlineStr">
        <is>
          <t>Periodic payment you make</t>
        </is>
      </c>
      <c r="C19" s="16" t="inlineStr">
        <is>
          <t>– (outflow)</t>
        </is>
      </c>
      <c r="D19" s="15" t="inlineStr">
        <is>
          <t>Outflow by convention</t>
        </is>
      </c>
    </row>
    <row r="20">
      <c r="A20" s="15" t="inlineStr">
        <is>
          <t>FV</t>
        </is>
      </c>
      <c r="B20" s="15" t="inlineStr">
        <is>
          <t>Balloon you pay at end</t>
        </is>
      </c>
      <c r="C20" s="16" t="inlineStr">
        <is>
          <t>– (outflow)</t>
        </is>
      </c>
      <c r="D20" s="15" t="inlineStr">
        <is>
          <t>Use fv as negative</t>
        </is>
      </c>
    </row>
    <row r="21">
      <c r="A21" s="15" t="inlineStr">
        <is>
          <t>FV</t>
        </is>
      </c>
      <c r="B21" s="15" t="inlineStr">
        <is>
          <t>Balloon you receive at end</t>
        </is>
      </c>
      <c r="C21" s="16" t="inlineStr">
        <is>
          <t>+ (inflow)</t>
        </is>
      </c>
      <c r="D21" s="15" t="inlineStr">
        <is>
          <t>Use fv as positive</t>
        </is>
      </c>
    </row>
    <row r="22"/>
    <row r="23">
      <c r="A23" s="23" t="inlineStr">
        <is>
          <t>Tip: At least one of PV, PMT, or FV must be negative to indicate direction. Use =-PMT(...) to display a positive payment.</t>
        </is>
      </c>
      <c r="B23" s="25" t="n"/>
      <c r="C23" s="25" t="n"/>
      <c r="D23" s="26" t="n"/>
    </row>
  </sheetData>
  <sheetProtection selectLockedCells="0" selectUnlockedCells="0" sheet="1" objects="1" insertRows="0" insertHyperlinks="1" autoFilter="0" scenarios="1" formatColumns="0" deleteColumns="0" insertColumns="0" pivotTables="0" deleteRows="0" formatCells="0" formatRows="0" sort="0" password="AE3A"/>
  <mergeCells count="6">
    <mergeCell ref="A1:D1"/>
    <mergeCell ref="A23:D23"/>
    <mergeCell ref="A3:D3"/>
    <mergeCell ref="A16:D16"/>
    <mergeCell ref="A10:D10"/>
    <mergeCell ref="A14:D14"/>
  </mergeCells>
  <pageMargins left="0.75" right="0.75" top="1" bottom="1" header="0.5" footer="0.5"/>
</worksheet>
</file>

<file path=xl/worksheets/sheet8.xml><?xml version="1.0" encoding="utf-8"?>
<worksheet xmlns="http://schemas.openxmlformats.org/spreadsheetml/2006/main">
  <sheetPr>
    <tabColor rgb="FF70AD47"/>
    <outlinePr summaryBelow="1" summaryRight="1"/>
    <pageSetUpPr/>
  </sheetPr>
  <dimension ref="A1:D24"/>
  <sheetViews>
    <sheetView workbookViewId="0">
      <pane ySplit="3" topLeftCell="A4" activePane="bottomLeft" state="frozen"/>
      <selection pane="bottomLeft" activeCell="A1" sqref="A1:D1"/>
    </sheetView>
  </sheetViews>
  <sheetFormatPr baseColWidth="8" defaultRowHeight="14.5"/>
  <cols>
    <col width="32" customWidth="1" style="22" min="1" max="1"/>
    <col width="22" customWidth="1" style="22" min="2" max="4"/>
  </cols>
  <sheetData>
    <row r="1" ht="19.5" customHeight="1" s="22">
      <c r="A1" s="44" t="inlineStr">
        <is>
          <t>P6 Farm Equip – NoBalloon</t>
        </is>
      </c>
    </row>
    <row r="2"/>
    <row r="3" ht="15.5" customHeight="1" s="22">
      <c r="A3" s="24" t="inlineStr">
        <is>
          <t>Inputs</t>
        </is>
      </c>
      <c r="B3" s="25" t="n"/>
      <c r="C3" s="25" t="n"/>
      <c r="D3" s="26" t="n"/>
    </row>
    <row r="4">
      <c r="A4" s="5" t="inlineStr">
        <is>
          <t>Principal Amount</t>
        </is>
      </c>
      <c r="B4" s="47" t="n">
        <v>40000</v>
      </c>
    </row>
    <row r="5">
      <c r="A5" s="5" t="inlineStr">
        <is>
          <t>Balloon Payment (FV at end)</t>
        </is>
      </c>
      <c r="B5" s="47" t="n">
        <v>0</v>
      </c>
    </row>
    <row r="6">
      <c r="A6" s="5" t="inlineStr">
        <is>
          <t>Annual Interest Rate</t>
        </is>
      </c>
      <c r="B6" s="10" t="n">
        <v>0.065</v>
      </c>
    </row>
    <row r="7">
      <c r="A7" s="5" t="inlineStr">
        <is>
          <t>Tenure (Years)</t>
        </is>
      </c>
      <c r="B7" s="11" t="n">
        <v>7</v>
      </c>
    </row>
    <row r="8">
      <c r="A8" s="5" t="inlineStr">
        <is>
          <t>Payments per Year</t>
        </is>
      </c>
      <c r="B8" s="12" t="n">
        <v>12</v>
      </c>
    </row>
    <row r="9"/>
    <row r="10" ht="15.5" customHeight="1" s="22">
      <c r="A10" s="27" t="inlineStr">
        <is>
          <t>Outputs</t>
        </is>
      </c>
      <c r="B10" s="25" t="n"/>
      <c r="C10" s="25" t="n"/>
      <c r="D10" s="26" t="n"/>
    </row>
    <row r="11"/>
    <row r="12">
      <c r="A12" s="6" t="inlineStr">
        <is>
          <t>Monthly Payment (PMT)</t>
        </is>
      </c>
      <c r="B12" s="48">
        <f>-PMT(B6/B8, B7*B8, B4, 0, 0)</f>
        <v/>
      </c>
    </row>
    <row r="13">
      <c r="A13" s="6" t="inlineStr">
        <is>
          <t>PV tie-out (should equal Principal)</t>
        </is>
      </c>
      <c r="B13" s="48">
        <f>PV(B6/B8, B7*B8, B12, 0, 0)</f>
        <v/>
      </c>
    </row>
    <row r="14"/>
    <row r="15">
      <c r="A15" s="29" t="inlineStr">
        <is>
          <t>No balloon: FV = 0. PV positive (cash received); payments are outflows.</t>
        </is>
      </c>
      <c r="B15" s="25" t="n"/>
      <c r="C15" s="25" t="n"/>
      <c r="D15" s="26" t="n"/>
    </row>
    <row r="16"/>
    <row r="17" ht="15.5" customHeight="1" s="22">
      <c r="A17" s="28" t="inlineStr">
        <is>
          <t>Sign Convention Reference</t>
        </is>
      </c>
      <c r="B17" s="25" t="n"/>
      <c r="C17" s="25" t="n"/>
      <c r="D17" s="26" t="n"/>
    </row>
    <row r="18">
      <c r="A18" s="14" t="inlineStr">
        <is>
          <t>Item</t>
        </is>
      </c>
      <c r="B18" s="14" t="inlineStr">
        <is>
          <t>Interpretation</t>
        </is>
      </c>
      <c r="C18" s="14" t="inlineStr">
        <is>
          <t>Typical Sign</t>
        </is>
      </c>
      <c r="D18" s="14" t="inlineStr">
        <is>
          <t>Excel Effect</t>
        </is>
      </c>
    </row>
    <row r="19">
      <c r="A19" s="15" t="inlineStr">
        <is>
          <t>PV</t>
        </is>
      </c>
      <c r="B19" s="15" t="inlineStr">
        <is>
          <t>Loan amount received</t>
        </is>
      </c>
      <c r="C19" s="16" t="inlineStr">
        <is>
          <t>+ (inflow)</t>
        </is>
      </c>
      <c r="D19" s="15" t="inlineStr">
        <is>
          <t>PMT returns negative (outflow)</t>
        </is>
      </c>
    </row>
    <row r="20">
      <c r="A20" s="15" t="inlineStr">
        <is>
          <t>PMT</t>
        </is>
      </c>
      <c r="B20" s="15" t="inlineStr">
        <is>
          <t>Periodic payment you make</t>
        </is>
      </c>
      <c r="C20" s="16" t="inlineStr">
        <is>
          <t>– (outflow)</t>
        </is>
      </c>
      <c r="D20" s="15" t="inlineStr">
        <is>
          <t>Outflow by convention</t>
        </is>
      </c>
    </row>
    <row r="21">
      <c r="A21" s="15" t="inlineStr">
        <is>
          <t>FV</t>
        </is>
      </c>
      <c r="B21" s="15" t="inlineStr">
        <is>
          <t>Balloon you pay at end</t>
        </is>
      </c>
      <c r="C21" s="16" t="inlineStr">
        <is>
          <t>– (outflow)</t>
        </is>
      </c>
      <c r="D21" s="15" t="inlineStr">
        <is>
          <t>Use fv as negative</t>
        </is>
      </c>
    </row>
    <row r="22">
      <c r="A22" s="15" t="inlineStr">
        <is>
          <t>FV</t>
        </is>
      </c>
      <c r="B22" s="15" t="inlineStr">
        <is>
          <t>Balloon you receive at end</t>
        </is>
      </c>
      <c r="C22" s="16" t="inlineStr">
        <is>
          <t>+ (inflow)</t>
        </is>
      </c>
      <c r="D22" s="15" t="inlineStr">
        <is>
          <t>Use fv as positive</t>
        </is>
      </c>
    </row>
    <row r="23"/>
    <row r="24">
      <c r="A24" s="23" t="inlineStr">
        <is>
          <t>Tip: At least one of PV, PMT, or FV must be negative to indicate direction. Use =-PMT(...) to display a positive payment.</t>
        </is>
      </c>
      <c r="B24" s="25" t="n"/>
      <c r="C24" s="25" t="n"/>
      <c r="D24" s="26" t="n"/>
    </row>
  </sheetData>
  <sheetProtection selectLockedCells="0" selectUnlockedCells="0" sheet="1" objects="1" insertRows="0" insertHyperlinks="1" autoFilter="0" scenarios="1" formatColumns="0" deleteColumns="0" insertColumns="0" pivotTables="0" deleteRows="0" formatCells="0" formatRows="0" sort="0" password="AE3A"/>
  <mergeCells count="6">
    <mergeCell ref="A1:D1"/>
    <mergeCell ref="A17:D17"/>
    <mergeCell ref="A3:D3"/>
    <mergeCell ref="A15:D15"/>
    <mergeCell ref="A24:D24"/>
    <mergeCell ref="A10:D10"/>
  </mergeCells>
  <pageMargins left="0.75" right="0.75" top="1" bottom="1" header="0.5" footer="0.5"/>
</worksheet>
</file>

<file path=xl/worksheets/sheet9.xml><?xml version="1.0" encoding="utf-8"?>
<worksheet xmlns="http://schemas.openxmlformats.org/spreadsheetml/2006/main">
  <sheetPr>
    <tabColor rgb="FF5B9BD5"/>
    <outlinePr summaryBelow="1" summaryRight="1"/>
    <pageSetUpPr/>
  </sheetPr>
  <dimension ref="A1:D24"/>
  <sheetViews>
    <sheetView workbookViewId="0">
      <pane ySplit="3" topLeftCell="A4" activePane="bottomLeft" state="frozen"/>
      <selection pane="bottomLeft" activeCell="A1" sqref="A1:D1"/>
    </sheetView>
  </sheetViews>
  <sheetFormatPr baseColWidth="8" defaultRowHeight="14.5"/>
  <cols>
    <col width="32" customWidth="1" style="22" min="1" max="1"/>
    <col width="22" customWidth="1" style="22" min="2" max="4"/>
  </cols>
  <sheetData>
    <row r="1" ht="19.5" customHeight="1" s="22">
      <c r="A1" s="44" t="inlineStr">
        <is>
          <t>P7 Construction – NoBalloon</t>
        </is>
      </c>
    </row>
    <row r="2"/>
    <row r="3" ht="15.5" customHeight="1" s="22">
      <c r="A3" s="24" t="inlineStr">
        <is>
          <t>Inputs</t>
        </is>
      </c>
      <c r="B3" s="25" t="n"/>
      <c r="C3" s="25" t="n"/>
      <c r="D3" s="26" t="n"/>
    </row>
    <row r="4">
      <c r="A4" s="5" t="inlineStr">
        <is>
          <t>Principal Amount</t>
        </is>
      </c>
      <c r="B4" s="47" t="n">
        <v>500000</v>
      </c>
    </row>
    <row r="5">
      <c r="A5" s="5" t="inlineStr">
        <is>
          <t>Balloon Payment (FV at end)</t>
        </is>
      </c>
      <c r="B5" s="47" t="n">
        <v>0</v>
      </c>
    </row>
    <row r="6">
      <c r="A6" s="5" t="inlineStr">
        <is>
          <t>Annual Interest Rate</t>
        </is>
      </c>
      <c r="B6" s="10" t="n">
        <v>0.05</v>
      </c>
    </row>
    <row r="7">
      <c r="A7" s="5" t="inlineStr">
        <is>
          <t>Tenure (Years)</t>
        </is>
      </c>
      <c r="B7" s="11" t="n">
        <v>10</v>
      </c>
    </row>
    <row r="8">
      <c r="A8" s="5" t="inlineStr">
        <is>
          <t>Payments per Year</t>
        </is>
      </c>
      <c r="B8" s="12" t="n">
        <v>12</v>
      </c>
    </row>
    <row r="9"/>
    <row r="10" ht="15.5" customHeight="1" s="22">
      <c r="A10" s="27" t="inlineStr">
        <is>
          <t>Outputs</t>
        </is>
      </c>
      <c r="B10" s="25" t="n"/>
      <c r="C10" s="25" t="n"/>
      <c r="D10" s="26" t="n"/>
    </row>
    <row r="11"/>
    <row r="12">
      <c r="A12" s="6" t="inlineStr">
        <is>
          <t>Monthly Payment (PMT)</t>
        </is>
      </c>
      <c r="B12" s="48">
        <f>-PMT(B6/B8, B7*B8, B4, 0, 0)</f>
        <v/>
      </c>
    </row>
    <row r="13">
      <c r="A13" s="6" t="inlineStr">
        <is>
          <t>PV tie-out (should equal Principal)</t>
        </is>
      </c>
      <c r="B13" s="48">
        <f>PV(B6/B8, B7*B8, B12, 0, 0)</f>
        <v/>
      </c>
    </row>
    <row r="14"/>
    <row r="15">
      <c r="A15" s="29" t="inlineStr">
        <is>
          <t>No balloon: FV = 0. PV positive (cash received); payments are outflows.</t>
        </is>
      </c>
      <c r="B15" s="25" t="n"/>
      <c r="C15" s="25" t="n"/>
      <c r="D15" s="26" t="n"/>
    </row>
    <row r="16"/>
    <row r="17" ht="15.5" customHeight="1" s="22">
      <c r="A17" s="28" t="inlineStr">
        <is>
          <t>Sign Convention Reference</t>
        </is>
      </c>
      <c r="B17" s="25" t="n"/>
      <c r="C17" s="25" t="n"/>
      <c r="D17" s="26" t="n"/>
    </row>
    <row r="18">
      <c r="A18" s="14" t="inlineStr">
        <is>
          <t>Item</t>
        </is>
      </c>
      <c r="B18" s="14" t="inlineStr">
        <is>
          <t>Interpretation</t>
        </is>
      </c>
      <c r="C18" s="14" t="inlineStr">
        <is>
          <t>Typical Sign</t>
        </is>
      </c>
      <c r="D18" s="14" t="inlineStr">
        <is>
          <t>Excel Effect</t>
        </is>
      </c>
    </row>
    <row r="19">
      <c r="A19" s="15" t="inlineStr">
        <is>
          <t>PV</t>
        </is>
      </c>
      <c r="B19" s="15" t="inlineStr">
        <is>
          <t>Loan amount received</t>
        </is>
      </c>
      <c r="C19" s="16" t="inlineStr">
        <is>
          <t>+ (inflow)</t>
        </is>
      </c>
      <c r="D19" s="15" t="inlineStr">
        <is>
          <t>PMT returns negative (outflow)</t>
        </is>
      </c>
    </row>
    <row r="20">
      <c r="A20" s="15" t="inlineStr">
        <is>
          <t>PMT</t>
        </is>
      </c>
      <c r="B20" s="15" t="inlineStr">
        <is>
          <t>Periodic payment you make</t>
        </is>
      </c>
      <c r="C20" s="16" t="inlineStr">
        <is>
          <t>– (outflow)</t>
        </is>
      </c>
      <c r="D20" s="15" t="inlineStr">
        <is>
          <t>Outflow by convention</t>
        </is>
      </c>
    </row>
    <row r="21">
      <c r="A21" s="15" t="inlineStr">
        <is>
          <t>FV</t>
        </is>
      </c>
      <c r="B21" s="15" t="inlineStr">
        <is>
          <t>Balloon you pay at end</t>
        </is>
      </c>
      <c r="C21" s="16" t="inlineStr">
        <is>
          <t>– (outflow)</t>
        </is>
      </c>
      <c r="D21" s="15" t="inlineStr">
        <is>
          <t>Use fv as negative</t>
        </is>
      </c>
    </row>
    <row r="22">
      <c r="A22" s="15" t="inlineStr">
        <is>
          <t>FV</t>
        </is>
      </c>
      <c r="B22" s="15" t="inlineStr">
        <is>
          <t>Balloon you receive at end</t>
        </is>
      </c>
      <c r="C22" s="16" t="inlineStr">
        <is>
          <t>+ (inflow)</t>
        </is>
      </c>
      <c r="D22" s="15" t="inlineStr">
        <is>
          <t>Use fv as positive</t>
        </is>
      </c>
    </row>
    <row r="23"/>
    <row r="24">
      <c r="A24" s="23" t="inlineStr">
        <is>
          <t>Tip: At least one of PV, PMT, or FV must be negative to indicate direction. Use =-PMT(...) to display a positive payment.</t>
        </is>
      </c>
      <c r="B24" s="25" t="n"/>
      <c r="C24" s="25" t="n"/>
      <c r="D24" s="26" t="n"/>
    </row>
  </sheetData>
  <sheetProtection selectLockedCells="0" selectUnlockedCells="0" sheet="1" objects="1" insertRows="0" insertHyperlinks="1" autoFilter="0" scenarios="1" formatColumns="0" deleteColumns="0" insertColumns="0" pivotTables="0" deleteRows="0" formatCells="0" formatRows="0" sort="0" password="AE3A"/>
  <mergeCells count="6">
    <mergeCell ref="A1:D1"/>
    <mergeCell ref="A17:D17"/>
    <mergeCell ref="A3:D3"/>
    <mergeCell ref="A15:D15"/>
    <mergeCell ref="A24:D24"/>
    <mergeCell ref="A10:D10"/>
  </mergeCells>
  <pageMargins left="0.75" right="0.75" top="1" bottom="1" header="0.5" footer="0.5"/>
</worksheet>
</file>

<file path=xl/worksheets/sheet10.xml><?xml version="1.0" encoding="utf-8"?>
<worksheet xmlns="http://schemas.openxmlformats.org/spreadsheetml/2006/main">
  <sheetPr>
    <tabColor rgb="FFED7D31"/>
    <outlinePr summaryBelow="1" summaryRight="1"/>
    <pageSetUpPr/>
  </sheetPr>
  <dimension ref="A1:D24"/>
  <sheetViews>
    <sheetView workbookViewId="0">
      <pane ySplit="3" topLeftCell="A4" activePane="bottomLeft" state="frozen"/>
      <selection pane="bottomLeft" activeCell="A1" sqref="A1:D1"/>
    </sheetView>
  </sheetViews>
  <sheetFormatPr baseColWidth="8" defaultRowHeight="14.5"/>
  <cols>
    <col width="32" customWidth="1" style="22" min="1" max="1"/>
    <col width="22" customWidth="1" style="22" min="2" max="4"/>
  </cols>
  <sheetData>
    <row r="1" ht="19.5" customHeight="1" s="22">
      <c r="A1" s="44" t="inlineStr">
        <is>
          <t>P8 Auto – NoBalloon</t>
        </is>
      </c>
    </row>
    <row r="2"/>
    <row r="3" ht="15.5" customHeight="1" s="22">
      <c r="A3" s="24" t="inlineStr">
        <is>
          <t>Inputs</t>
        </is>
      </c>
      <c r="B3" s="25" t="n"/>
      <c r="C3" s="25" t="n"/>
      <c r="D3" s="26" t="n"/>
    </row>
    <row r="4">
      <c r="A4" s="5" t="inlineStr">
        <is>
          <t>Principal Amount</t>
        </is>
      </c>
      <c r="B4" s="47" t="n">
        <v>25000</v>
      </c>
    </row>
    <row r="5">
      <c r="A5" s="5" t="inlineStr">
        <is>
          <t>Balloon Payment (FV at end)</t>
        </is>
      </c>
      <c r="B5" s="47" t="n">
        <v>0</v>
      </c>
    </row>
    <row r="6">
      <c r="A6" s="5" t="inlineStr">
        <is>
          <t>Annual Interest Rate</t>
        </is>
      </c>
      <c r="B6" s="10" t="n">
        <v>0.04</v>
      </c>
    </row>
    <row r="7">
      <c r="A7" s="5" t="inlineStr">
        <is>
          <t>Tenure (Years)</t>
        </is>
      </c>
      <c r="B7" s="11" t="n">
        <v>3</v>
      </c>
    </row>
    <row r="8">
      <c r="A8" s="5" t="inlineStr">
        <is>
          <t>Payments per Year</t>
        </is>
      </c>
      <c r="B8" s="12" t="n">
        <v>12</v>
      </c>
    </row>
    <row r="9"/>
    <row r="10" ht="15.5" customHeight="1" s="22">
      <c r="A10" s="27" t="inlineStr">
        <is>
          <t>Outputs</t>
        </is>
      </c>
      <c r="B10" s="25" t="n"/>
      <c r="C10" s="25" t="n"/>
      <c r="D10" s="26" t="n"/>
    </row>
    <row r="11"/>
    <row r="12">
      <c r="A12" s="6" t="inlineStr">
        <is>
          <t>Monthly Payment (PMT)</t>
        </is>
      </c>
      <c r="B12" s="48">
        <f>-PMT(B6/B8, B7*B8, B4, 0, 0)</f>
        <v/>
      </c>
    </row>
    <row r="13">
      <c r="A13" s="6" t="inlineStr">
        <is>
          <t>PV tie-out (should equal Principal)</t>
        </is>
      </c>
      <c r="B13" s="48">
        <f>PV(B6/B8, B7*B8, B12, 0, 0)</f>
        <v/>
      </c>
    </row>
    <row r="14"/>
    <row r="15">
      <c r="A15" s="29" t="inlineStr">
        <is>
          <t>No balloon: FV = 0. PV positive (cash received); payments are outflows.</t>
        </is>
      </c>
      <c r="B15" s="25" t="n"/>
      <c r="C15" s="25" t="n"/>
      <c r="D15" s="26" t="n"/>
    </row>
    <row r="16"/>
    <row r="17" ht="15.5" customHeight="1" s="22">
      <c r="A17" s="28" t="inlineStr">
        <is>
          <t>Sign Convention Reference</t>
        </is>
      </c>
      <c r="B17" s="25" t="n"/>
      <c r="C17" s="25" t="n"/>
      <c r="D17" s="26" t="n"/>
    </row>
    <row r="18">
      <c r="A18" s="14" t="inlineStr">
        <is>
          <t>Item</t>
        </is>
      </c>
      <c r="B18" s="14" t="inlineStr">
        <is>
          <t>Interpretation</t>
        </is>
      </c>
      <c r="C18" s="14" t="inlineStr">
        <is>
          <t>Typical Sign</t>
        </is>
      </c>
      <c r="D18" s="14" t="inlineStr">
        <is>
          <t>Excel Effect</t>
        </is>
      </c>
    </row>
    <row r="19">
      <c r="A19" s="15" t="inlineStr">
        <is>
          <t>PV</t>
        </is>
      </c>
      <c r="B19" s="15" t="inlineStr">
        <is>
          <t>Loan amount received</t>
        </is>
      </c>
      <c r="C19" s="16" t="inlineStr">
        <is>
          <t>+ (inflow)</t>
        </is>
      </c>
      <c r="D19" s="15" t="inlineStr">
        <is>
          <t>PMT returns negative (outflow)</t>
        </is>
      </c>
    </row>
    <row r="20">
      <c r="A20" s="15" t="inlineStr">
        <is>
          <t>PMT</t>
        </is>
      </c>
      <c r="B20" s="15" t="inlineStr">
        <is>
          <t>Periodic payment you make</t>
        </is>
      </c>
      <c r="C20" s="16" t="inlineStr">
        <is>
          <t>– (outflow)</t>
        </is>
      </c>
      <c r="D20" s="15" t="inlineStr">
        <is>
          <t>Outflow by convention</t>
        </is>
      </c>
    </row>
    <row r="21">
      <c r="A21" s="15" t="inlineStr">
        <is>
          <t>FV</t>
        </is>
      </c>
      <c r="B21" s="15" t="inlineStr">
        <is>
          <t>Balloon you pay at end</t>
        </is>
      </c>
      <c r="C21" s="16" t="inlineStr">
        <is>
          <t>– (outflow)</t>
        </is>
      </c>
      <c r="D21" s="15" t="inlineStr">
        <is>
          <t>Use fv as negative</t>
        </is>
      </c>
    </row>
    <row r="22">
      <c r="A22" s="15" t="inlineStr">
        <is>
          <t>FV</t>
        </is>
      </c>
      <c r="B22" s="15" t="inlineStr">
        <is>
          <t>Balloon you receive at end</t>
        </is>
      </c>
      <c r="C22" s="16" t="inlineStr">
        <is>
          <t>+ (inflow)</t>
        </is>
      </c>
      <c r="D22" s="15" t="inlineStr">
        <is>
          <t>Use fv as positive</t>
        </is>
      </c>
    </row>
    <row r="23"/>
    <row r="24">
      <c r="A24" s="23" t="inlineStr">
        <is>
          <t>Tip: At least one of PV, PMT, or FV must be negative to indicate direction. Use =-PMT(...) to display a positive payment.</t>
        </is>
      </c>
      <c r="B24" s="25" t="n"/>
      <c r="C24" s="25" t="n"/>
      <c r="D24" s="26" t="n"/>
    </row>
  </sheetData>
  <sheetProtection selectLockedCells="0" selectUnlockedCells="0" sheet="1" objects="1" insertRows="0" insertHyperlinks="1" autoFilter="0" scenarios="1" formatColumns="0" deleteColumns="0" insertColumns="0" pivotTables="0" deleteRows="0" formatCells="0" formatRows="0" sort="0" password="AE3A"/>
  <mergeCells count="6">
    <mergeCell ref="A1:D1"/>
    <mergeCell ref="A17:D17"/>
    <mergeCell ref="A3:D3"/>
    <mergeCell ref="A15:D15"/>
    <mergeCell ref="A24:D24"/>
    <mergeCell ref="A10:D10"/>
  </mergeCells>
  <pageMargins left="0.75" right="0.75" top="1" bottom="1" header="0.5" footer="0.5"/>
</worksheet>
</file>

<file path=xl/worksheets/sheet11.xml><?xml version="1.0" encoding="utf-8"?>
<worksheet xmlns="http://schemas.openxmlformats.org/spreadsheetml/2006/main">
  <sheetPr>
    <tabColor rgb="FFA5A5A5"/>
    <outlinePr summaryBelow="1" summaryRight="1"/>
    <pageSetUpPr/>
  </sheetPr>
  <dimension ref="A1:D24"/>
  <sheetViews>
    <sheetView workbookViewId="0">
      <pane ySplit="3" topLeftCell="A4" activePane="bottomLeft" state="frozen"/>
      <selection pane="bottomLeft" activeCell="A1" sqref="A1:D1"/>
    </sheetView>
  </sheetViews>
  <sheetFormatPr baseColWidth="8" defaultRowHeight="14.5"/>
  <cols>
    <col width="32" customWidth="1" style="22" min="1" max="1"/>
    <col width="22" customWidth="1" style="22" min="2" max="4"/>
  </cols>
  <sheetData>
    <row r="1" ht="19.5" customHeight="1" s="22">
      <c r="A1" s="44" t="inlineStr">
        <is>
          <t>P9 SME Expand – NoBalloon</t>
        </is>
      </c>
    </row>
    <row r="2"/>
    <row r="3" ht="15.5" customHeight="1" s="22">
      <c r="A3" s="24" t="inlineStr">
        <is>
          <t>Inputs</t>
        </is>
      </c>
      <c r="B3" s="25" t="n"/>
      <c r="C3" s="25" t="n"/>
      <c r="D3" s="26" t="n"/>
    </row>
    <row r="4">
      <c r="A4" s="5" t="inlineStr">
        <is>
          <t>Principal Amount</t>
        </is>
      </c>
      <c r="B4" s="47" t="n">
        <v>100000</v>
      </c>
    </row>
    <row r="5">
      <c r="A5" s="5" t="inlineStr">
        <is>
          <t>Balloon Payment (FV at end)</t>
        </is>
      </c>
      <c r="B5" s="47" t="n">
        <v>0</v>
      </c>
    </row>
    <row r="6">
      <c r="A6" s="5" t="inlineStr">
        <is>
          <t>Annual Interest Rate</t>
        </is>
      </c>
      <c r="B6" s="10" t="n">
        <v>0.08</v>
      </c>
    </row>
    <row r="7">
      <c r="A7" s="5" t="inlineStr">
        <is>
          <t>Tenure (Years)</t>
        </is>
      </c>
      <c r="B7" s="11" t="n">
        <v>8</v>
      </c>
    </row>
    <row r="8">
      <c r="A8" s="5" t="inlineStr">
        <is>
          <t>Payments per Year</t>
        </is>
      </c>
      <c r="B8" s="12" t="n">
        <v>4</v>
      </c>
    </row>
    <row r="9"/>
    <row r="10" ht="15.5" customHeight="1" s="22">
      <c r="A10" s="27" t="inlineStr">
        <is>
          <t>Outputs</t>
        </is>
      </c>
      <c r="B10" s="25" t="n"/>
      <c r="C10" s="25" t="n"/>
      <c r="D10" s="26" t="n"/>
    </row>
    <row r="11"/>
    <row r="12">
      <c r="A12" s="6" t="inlineStr">
        <is>
          <t>Quarterly Payment (PMT)</t>
        </is>
      </c>
      <c r="B12" s="48">
        <f>-PMT(B6/B8, B7*B8, B4, 0, 0)</f>
        <v/>
      </c>
    </row>
    <row r="13">
      <c r="A13" s="6" t="inlineStr">
        <is>
          <t>PV tie-out (should equal Principal)</t>
        </is>
      </c>
      <c r="B13" s="48">
        <f>PV(B6/B8, B7*B8, B12, 0, 0)</f>
        <v/>
      </c>
    </row>
    <row r="14"/>
    <row r="15">
      <c r="A15" s="29" t="inlineStr">
        <is>
          <t>No balloon: FV = 0. PV positive (cash received); payments are outflows.</t>
        </is>
      </c>
      <c r="B15" s="25" t="n"/>
      <c r="C15" s="25" t="n"/>
      <c r="D15" s="26" t="n"/>
    </row>
    <row r="16"/>
    <row r="17" ht="15.5" customHeight="1" s="22">
      <c r="A17" s="28" t="inlineStr">
        <is>
          <t>Sign Convention Reference</t>
        </is>
      </c>
      <c r="B17" s="25" t="n"/>
      <c r="C17" s="25" t="n"/>
      <c r="D17" s="26" t="n"/>
    </row>
    <row r="18">
      <c r="A18" s="14" t="inlineStr">
        <is>
          <t>Item</t>
        </is>
      </c>
      <c r="B18" s="14" t="inlineStr">
        <is>
          <t>Interpretation</t>
        </is>
      </c>
      <c r="C18" s="14" t="inlineStr">
        <is>
          <t>Typical Sign</t>
        </is>
      </c>
      <c r="D18" s="14" t="inlineStr">
        <is>
          <t>Excel Effect</t>
        </is>
      </c>
    </row>
    <row r="19">
      <c r="A19" s="15" t="inlineStr">
        <is>
          <t>PV</t>
        </is>
      </c>
      <c r="B19" s="15" t="inlineStr">
        <is>
          <t>Loan amount received</t>
        </is>
      </c>
      <c r="C19" s="16" t="inlineStr">
        <is>
          <t>+ (inflow)</t>
        </is>
      </c>
      <c r="D19" s="15" t="inlineStr">
        <is>
          <t>PMT returns negative (outflow)</t>
        </is>
      </c>
    </row>
    <row r="20">
      <c r="A20" s="15" t="inlineStr">
        <is>
          <t>PMT</t>
        </is>
      </c>
      <c r="B20" s="15" t="inlineStr">
        <is>
          <t>Periodic payment you make</t>
        </is>
      </c>
      <c r="C20" s="16" t="inlineStr">
        <is>
          <t>– (outflow)</t>
        </is>
      </c>
      <c r="D20" s="15" t="inlineStr">
        <is>
          <t>Outflow by convention</t>
        </is>
      </c>
    </row>
    <row r="21">
      <c r="A21" s="15" t="inlineStr">
        <is>
          <t>FV</t>
        </is>
      </c>
      <c r="B21" s="15" t="inlineStr">
        <is>
          <t>Balloon you pay at end</t>
        </is>
      </c>
      <c r="C21" s="16" t="inlineStr">
        <is>
          <t>– (outflow)</t>
        </is>
      </c>
      <c r="D21" s="15" t="inlineStr">
        <is>
          <t>Use fv as negative</t>
        </is>
      </c>
    </row>
    <row r="22">
      <c r="A22" s="15" t="inlineStr">
        <is>
          <t>FV</t>
        </is>
      </c>
      <c r="B22" s="15" t="inlineStr">
        <is>
          <t>Balloon you receive at end</t>
        </is>
      </c>
      <c r="C22" s="16" t="inlineStr">
        <is>
          <t>+ (inflow)</t>
        </is>
      </c>
      <c r="D22" s="15" t="inlineStr">
        <is>
          <t>Use fv as positive</t>
        </is>
      </c>
    </row>
    <row r="23"/>
    <row r="24">
      <c r="A24" s="23" t="inlineStr">
        <is>
          <t>Tip: At least one of PV, PMT, or FV must be negative to indicate direction. Use =-PMT(...) to display a positive payment.</t>
        </is>
      </c>
      <c r="B24" s="25" t="n"/>
      <c r="C24" s="25" t="n"/>
      <c r="D24" s="26" t="n"/>
    </row>
  </sheetData>
  <sheetProtection selectLockedCells="0" selectUnlockedCells="0" sheet="1" objects="1" insertRows="0" insertHyperlinks="1" autoFilter="0" scenarios="1" formatColumns="0" deleteColumns="0" insertColumns="0" pivotTables="0" deleteRows="0" formatCells="0" formatRows="0" sort="0" password="AE3A"/>
  <mergeCells count="6">
    <mergeCell ref="A1:D1"/>
    <mergeCell ref="A17:D17"/>
    <mergeCell ref="A3:D3"/>
    <mergeCell ref="A15:D15"/>
    <mergeCell ref="A24:D24"/>
    <mergeCell ref="A10:D10"/>
  </mergeCells>
  <pageMargins left="0.75" right="0.75" top="1" bottom="1" header="0.5" footer="0.5"/>
</worksheet>
</file>

<file path=xl/worksheets/sheet12.xml><?xml version="1.0" encoding="utf-8"?>
<worksheet xmlns="http://schemas.openxmlformats.org/spreadsheetml/2006/main">
  <sheetPr>
    <tabColor rgb="FFFF5050"/>
    <outlinePr summaryBelow="1" summaryRight="1"/>
    <pageSetUpPr/>
  </sheetPr>
  <dimension ref="A1:D24"/>
  <sheetViews>
    <sheetView workbookViewId="0">
      <pane ySplit="3" topLeftCell="A4" activePane="bottomLeft" state="frozen"/>
      <selection pane="bottomLeft" activeCell="A1" sqref="A1:D1"/>
    </sheetView>
  </sheetViews>
  <sheetFormatPr baseColWidth="8" defaultRowHeight="14.5"/>
  <cols>
    <col width="32" customWidth="1" style="22" min="1" max="1"/>
    <col width="22" customWidth="1" style="22" min="2" max="4"/>
  </cols>
  <sheetData>
    <row r="1" ht="19.5" customHeight="1" s="22">
      <c r="A1" s="44" t="inlineStr">
        <is>
          <t>P10 Medical – NoBalloon</t>
        </is>
      </c>
    </row>
    <row r="2"/>
    <row r="3" ht="15.5" customHeight="1" s="22">
      <c r="A3" s="24" t="inlineStr">
        <is>
          <t>Inputs</t>
        </is>
      </c>
      <c r="B3" s="25" t="n"/>
      <c r="C3" s="25" t="n"/>
      <c r="D3" s="26" t="n"/>
    </row>
    <row r="4">
      <c r="A4" s="5" t="inlineStr">
        <is>
          <t>Principal Amount</t>
        </is>
      </c>
      <c r="B4" s="47" t="n">
        <v>12000</v>
      </c>
    </row>
    <row r="5">
      <c r="A5" s="5" t="inlineStr">
        <is>
          <t>Balloon Payment (FV at end)</t>
        </is>
      </c>
      <c r="B5" s="47" t="n">
        <v>0</v>
      </c>
    </row>
    <row r="6">
      <c r="A6" s="5" t="inlineStr">
        <is>
          <t>Annual Interest Rate</t>
        </is>
      </c>
      <c r="B6" s="10" t="n">
        <v>0.07000000000000001</v>
      </c>
    </row>
    <row r="7">
      <c r="A7" s="5" t="inlineStr">
        <is>
          <t>Tenure (Years)</t>
        </is>
      </c>
      <c r="B7" s="11" t="n">
        <v>5</v>
      </c>
    </row>
    <row r="8">
      <c r="A8" s="5" t="inlineStr">
        <is>
          <t>Payments per Year</t>
        </is>
      </c>
      <c r="B8" s="12" t="n">
        <v>1</v>
      </c>
    </row>
    <row r="9"/>
    <row r="10" ht="15.5" customHeight="1" s="22">
      <c r="A10" s="27" t="inlineStr">
        <is>
          <t>Outputs</t>
        </is>
      </c>
      <c r="B10" s="25" t="n"/>
      <c r="C10" s="25" t="n"/>
      <c r="D10" s="26" t="n"/>
    </row>
    <row r="11"/>
    <row r="12">
      <c r="A12" s="6" t="inlineStr">
        <is>
          <t>Annual Payment (PMT)</t>
        </is>
      </c>
      <c r="B12" s="48">
        <f>-PMT(B6/B8, B7*B8, B4, 0, 0)</f>
        <v/>
      </c>
    </row>
    <row r="13">
      <c r="A13" s="6" t="inlineStr">
        <is>
          <t>PV tie-out (should equal Principal)</t>
        </is>
      </c>
      <c r="B13" s="48">
        <f>PV(B6/B8, B7*B8, B12, 0, 0)</f>
        <v/>
      </c>
    </row>
    <row r="14"/>
    <row r="15">
      <c r="A15" s="29" t="inlineStr">
        <is>
          <t>No balloon: FV = 0. PV positive (cash received); payments are outflows.</t>
        </is>
      </c>
      <c r="B15" s="25" t="n"/>
      <c r="C15" s="25" t="n"/>
      <c r="D15" s="26" t="n"/>
    </row>
    <row r="16"/>
    <row r="17" ht="15.5" customHeight="1" s="22">
      <c r="A17" s="28" t="inlineStr">
        <is>
          <t>Sign Convention Reference</t>
        </is>
      </c>
      <c r="B17" s="25" t="n"/>
      <c r="C17" s="25" t="n"/>
      <c r="D17" s="26" t="n"/>
    </row>
    <row r="18">
      <c r="A18" s="14" t="inlineStr">
        <is>
          <t>Item</t>
        </is>
      </c>
      <c r="B18" s="14" t="inlineStr">
        <is>
          <t>Interpretation</t>
        </is>
      </c>
      <c r="C18" s="14" t="inlineStr">
        <is>
          <t>Typical Sign</t>
        </is>
      </c>
      <c r="D18" s="14" t="inlineStr">
        <is>
          <t>Excel Effect</t>
        </is>
      </c>
    </row>
    <row r="19">
      <c r="A19" s="15" t="inlineStr">
        <is>
          <t>PV</t>
        </is>
      </c>
      <c r="B19" s="15" t="inlineStr">
        <is>
          <t>Loan amount received</t>
        </is>
      </c>
      <c r="C19" s="16" t="inlineStr">
        <is>
          <t>+ (inflow)</t>
        </is>
      </c>
      <c r="D19" s="15" t="inlineStr">
        <is>
          <t>PMT returns negative (outflow)</t>
        </is>
      </c>
    </row>
    <row r="20">
      <c r="A20" s="15" t="inlineStr">
        <is>
          <t>PMT</t>
        </is>
      </c>
      <c r="B20" s="15" t="inlineStr">
        <is>
          <t>Periodic payment you make</t>
        </is>
      </c>
      <c r="C20" s="16" t="inlineStr">
        <is>
          <t>– (outflow)</t>
        </is>
      </c>
      <c r="D20" s="15" t="inlineStr">
        <is>
          <t>Outflow by convention</t>
        </is>
      </c>
    </row>
    <row r="21">
      <c r="A21" s="15" t="inlineStr">
        <is>
          <t>FV</t>
        </is>
      </c>
      <c r="B21" s="15" t="inlineStr">
        <is>
          <t>Balloon you pay at end</t>
        </is>
      </c>
      <c r="C21" s="16" t="inlineStr">
        <is>
          <t>– (outflow)</t>
        </is>
      </c>
      <c r="D21" s="15" t="inlineStr">
        <is>
          <t>Use fv as negative</t>
        </is>
      </c>
    </row>
    <row r="22">
      <c r="A22" s="15" t="inlineStr">
        <is>
          <t>FV</t>
        </is>
      </c>
      <c r="B22" s="15" t="inlineStr">
        <is>
          <t>Balloon you receive at end</t>
        </is>
      </c>
      <c r="C22" s="16" t="inlineStr">
        <is>
          <t>+ (inflow)</t>
        </is>
      </c>
      <c r="D22" s="15" t="inlineStr">
        <is>
          <t>Use fv as positive</t>
        </is>
      </c>
    </row>
    <row r="23"/>
    <row r="24">
      <c r="A24" s="23" t="inlineStr">
        <is>
          <t>Tip: At least one of PV, PMT, or FV must be negative to indicate direction. Use =-PMT(...) to display a positive payment.</t>
        </is>
      </c>
      <c r="B24" s="25" t="n"/>
      <c r="C24" s="25" t="n"/>
      <c r="D24" s="26" t="n"/>
    </row>
  </sheetData>
  <sheetProtection selectLockedCells="0" selectUnlockedCells="0" sheet="1" objects="1" insertRows="0" insertHyperlinks="1" autoFilter="0" scenarios="1" formatColumns="0" deleteColumns="0" insertColumns="0" pivotTables="0" deleteRows="0" formatCells="0" formatRows="0" sort="0" password="AE3A"/>
  <mergeCells count="6">
    <mergeCell ref="A1:D1"/>
    <mergeCell ref="A17:D17"/>
    <mergeCell ref="A3:D3"/>
    <mergeCell ref="A15:D15"/>
    <mergeCell ref="A24:D24"/>
    <mergeCell ref="A10:D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2025-10-30T03:52:36Z</dcterms:created>
  <dcterms:modified xmlns:dcterms="http://purl.org/dc/terms/" xmlns:xsi="http://www.w3.org/2001/XMLSchema-instance" xsi:type="dcterms:W3CDTF">2026-01-01T17:29:09Z</dcterms:modified>
  <cp:lastModifiedBy>srikanthyadav444p</cp:lastModifiedBy>
</cp:coreProperties>
</file>