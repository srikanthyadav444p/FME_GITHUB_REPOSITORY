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LS P0 – FV Investment" sheetId="3" state="visible" r:id="rId3"/>
    <sheet xmlns:r="http://schemas.openxmlformats.org/officeDocument/2006/relationships" name="LS P1 – Retirement" sheetId="4" state="visible" r:id="rId4"/>
    <sheet xmlns:r="http://schemas.openxmlformats.org/officeDocument/2006/relationships" name="LS P2 – Education" sheetId="5" state="visible" r:id="rId5"/>
    <sheet xmlns:r="http://schemas.openxmlformats.org/officeDocument/2006/relationships" name="LS P3 – Property" sheetId="6" state="visible" r:id="rId6"/>
    <sheet xmlns:r="http://schemas.openxmlformats.org/officeDocument/2006/relationships" name="LS P4 – Fixed Deposit" sheetId="7" state="visible" r:id="rId7"/>
    <sheet xmlns:r="http://schemas.openxmlformats.org/officeDocument/2006/relationships" name="SD P1 – Vacation" sheetId="8" state="visible" r:id="rId8"/>
    <sheet xmlns:r="http://schemas.openxmlformats.org/officeDocument/2006/relationships" name="SD P2 – Education" sheetId="9" state="visible" r:id="rId9"/>
    <sheet xmlns:r="http://schemas.openxmlformats.org/officeDocument/2006/relationships" name="SD P3 – Retirement" sheetId="10" state="visible" r:id="rId10"/>
    <sheet xmlns:r="http://schemas.openxmlformats.org/officeDocument/2006/relationships" name="SD P4 – Emergency" sheetId="11" state="visible" r:id="rId11"/>
  </sheets>
  <definedNames/>
  <calcPr calcId="191029" fullCalcOnLoad="1"/>
</workbook>
</file>

<file path=xl/styles.xml><?xml version="1.0" encoding="utf-8"?>
<styleSheet xmlns="http://schemas.openxmlformats.org/spreadsheetml/2006/main">
  <numFmts count="3">
    <numFmt numFmtId="164" formatCode="\₹\ ###,##0.00"/>
    <numFmt numFmtId="165" formatCode="0&quot; Years&quot;"/>
    <numFmt numFmtId="166" formatCode="0&quot; Times&quot;"/>
  </numFmts>
  <fonts count="11">
    <font>
      <name val="Calibri"/>
      <family val="2"/>
      <color theme="1"/>
      <sz val="11"/>
      <scheme val="minor"/>
    </font>
    <font>
      <name val="Calibri"/>
      <family val="2"/>
      <sz val="11"/>
    </font>
    <font>
      <name val="Calibri"/>
      <family val="2"/>
      <b val="1"/>
      <sz val="15"/>
    </font>
    <font>
      <name val="Calibri"/>
      <family val="2"/>
      <b val="1"/>
      <sz val="12"/>
    </font>
    <font>
      <name val="Calibri"/>
      <family val="2"/>
      <b val="1"/>
      <sz val="11"/>
    </font>
    <font>
      <name val="Calibri"/>
      <family val="2"/>
      <color theme="10"/>
      <sz val="12"/>
      <scheme val="minor"/>
    </font>
    <font>
      <name val="Calibri"/>
      <family val="2"/>
      <color theme="1"/>
      <sz val="11"/>
      <scheme val="minor"/>
    </font>
    <font>
      <name val="Calibri"/>
      <family val="2"/>
      <b val="1"/>
      <color theme="1"/>
      <sz val="11"/>
      <scheme val="minor"/>
    </font>
    <font>
      <name val="Calibri"/>
      <family val="2"/>
      <b val="1"/>
      <color theme="1"/>
      <sz val="24"/>
      <scheme val="minor"/>
    </font>
    <font>
      <name val="Calibri"/>
      <family val="2"/>
      <b val="1"/>
      <color theme="1"/>
      <sz val="18"/>
      <scheme val="minor"/>
    </font>
    <font>
      <name val="Calibri"/>
      <family val="2"/>
      <i val="1"/>
      <color theme="1"/>
      <sz val="11"/>
      <scheme val="minor"/>
    </font>
  </fonts>
  <fills count="13">
    <fill>
      <patternFill/>
    </fill>
    <fill>
      <patternFill patternType="gray125"/>
    </fill>
    <fill>
      <patternFill patternType="solid">
        <fgColor rgb="FFE3F2FD"/>
      </patternFill>
    </fill>
    <fill>
      <patternFill patternType="solid">
        <fgColor rgb="FFD7EEF9"/>
      </patternFill>
    </fill>
    <fill>
      <patternFill patternType="solid">
        <fgColor rgb="FFFDE9D9"/>
      </patternFill>
    </fill>
    <fill>
      <patternFill patternType="solid">
        <fgColor rgb="FFFFF4EC"/>
      </patternFill>
    </fill>
    <fill>
      <patternFill patternType="solid">
        <fgColor rgb="FFE2F0D9"/>
      </patternFill>
    </fill>
    <fill>
      <patternFill patternType="solid">
        <fgColor rgb="FFF7FBF4"/>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6" fillId="0" borderId="1"/>
    <xf numFmtId="164" fontId="1" fillId="0" borderId="1" applyAlignment="1">
      <alignment horizontal="right" vertical="center"/>
    </xf>
    <xf numFmtId="10" fontId="1" fillId="0" borderId="1" applyAlignment="1">
      <alignment horizontal="right" vertical="center"/>
    </xf>
    <xf numFmtId="1" fontId="1" fillId="0" borderId="1" applyAlignment="1">
      <alignment horizontal="right" vertical="center"/>
    </xf>
    <xf numFmtId="0" fontId="5" fillId="0" borderId="1"/>
    <xf numFmtId="0" fontId="6" fillId="0" borderId="1"/>
  </cellStyleXfs>
  <cellXfs count="42">
    <xf numFmtId="0" fontId="0" fillId="0" borderId="0" pivotButton="0" quotePrefix="0" xfId="0"/>
    <xf numFmtId="0" fontId="3" fillId="2" borderId="2" applyAlignment="1" pivotButton="0" quotePrefix="0" xfId="0">
      <alignment horizontal="center" vertical="center"/>
    </xf>
    <xf numFmtId="0" fontId="0" fillId="0" borderId="2" applyAlignment="1" pivotButton="0" quotePrefix="0" xfId="0">
      <alignment horizontal="center" vertical="center"/>
    </xf>
    <xf numFmtId="0" fontId="0" fillId="0" borderId="2" pivotButton="0" quotePrefix="0" xfId="0"/>
    <xf numFmtId="0" fontId="5" fillId="0" borderId="2" pivotButton="0" quotePrefix="0" xfId="4"/>
    <xf numFmtId="0" fontId="4" fillId="3" borderId="2" applyAlignment="1" pivotButton="0" quotePrefix="0" xfId="0">
      <alignment horizontal="left" vertical="center"/>
    </xf>
    <xf numFmtId="164" fontId="1" fillId="0" borderId="1" applyAlignment="1" pivotButton="0" quotePrefix="0" xfId="1">
      <alignment horizontal="right" vertical="center"/>
    </xf>
    <xf numFmtId="10" fontId="1" fillId="0" borderId="1" applyAlignment="1" pivotButton="0" quotePrefix="0" xfId="2">
      <alignment horizontal="right" vertical="center"/>
    </xf>
    <xf numFmtId="165" fontId="1" fillId="0" borderId="1" applyAlignment="1" pivotButton="0" quotePrefix="0" xfId="3">
      <alignment horizontal="right" vertical="center"/>
    </xf>
    <xf numFmtId="166" fontId="1" fillId="0" borderId="1" applyAlignment="1" pivotButton="0" quotePrefix="0" xfId="3">
      <alignment horizontal="right" vertical="center"/>
    </xf>
    <xf numFmtId="0" fontId="4" fillId="5" borderId="2" pivotButton="0" quotePrefix="0" xfId="0"/>
    <xf numFmtId="164" fontId="0" fillId="0" borderId="2" applyAlignment="1" pivotButton="0" quotePrefix="0" xfId="0">
      <alignment horizontal="right" vertical="center"/>
    </xf>
    <xf numFmtId="0" fontId="4" fillId="6" borderId="2" applyAlignment="1" pivotButton="0" quotePrefix="0" xfId="0">
      <alignment horizontal="center" vertical="center"/>
    </xf>
    <xf numFmtId="0" fontId="0" fillId="7" borderId="2" applyAlignment="1" pivotButton="0" quotePrefix="0" xfId="0">
      <alignment horizontal="left" vertical="center"/>
    </xf>
    <xf numFmtId="0" fontId="0" fillId="7" borderId="2" applyAlignment="1" pivotButton="0" quotePrefix="0" xfId="0">
      <alignment horizontal="center"/>
    </xf>
    <xf numFmtId="0" fontId="8" fillId="0" borderId="1" applyAlignment="1" pivotButton="0" quotePrefix="0" xfId="5">
      <alignment vertical="center"/>
    </xf>
    <xf numFmtId="0" fontId="6" fillId="0" borderId="1" pivotButton="0" quotePrefix="0" xfId="5"/>
    <xf numFmtId="0" fontId="9" fillId="0" borderId="1" applyAlignment="1" pivotButton="0" quotePrefix="0" xfId="5">
      <alignment vertical="center"/>
    </xf>
    <xf numFmtId="0" fontId="9" fillId="9" borderId="1" applyAlignment="1" pivotButton="0" quotePrefix="0" xfId="5">
      <alignment vertical="center"/>
    </xf>
    <xf numFmtId="0" fontId="6" fillId="9" borderId="1" pivotButton="0" quotePrefix="0" xfId="5"/>
    <xf numFmtId="0" fontId="9" fillId="10" borderId="1" applyAlignment="1" pivotButton="0" quotePrefix="0" xfId="5">
      <alignment vertical="center"/>
    </xf>
    <xf numFmtId="0" fontId="7" fillId="11" borderId="1" applyAlignment="1" pivotButton="0" quotePrefix="0" xfId="5">
      <alignment vertical="top" wrapText="1"/>
    </xf>
    <xf numFmtId="0" fontId="6" fillId="0" borderId="1" applyAlignment="1" pivotButton="0" quotePrefix="0" xfId="5">
      <alignment horizontal="left" vertical="center" indent="1"/>
    </xf>
    <xf numFmtId="0" fontId="7" fillId="0" borderId="1" pivotButton="0" quotePrefix="0" xfId="5"/>
    <xf numFmtId="0" fontId="7" fillId="0" borderId="1" applyAlignment="1" pivotButton="0" quotePrefix="0" xfId="5">
      <alignment horizontal="left" vertical="center" indent="1"/>
    </xf>
    <xf numFmtId="0" fontId="6" fillId="8" borderId="1" applyAlignment="1" pivotButton="0" quotePrefix="0" xfId="5">
      <alignment horizontal="justify" vertical="justify" wrapText="1"/>
    </xf>
    <xf numFmtId="0" fontId="6" fillId="8" borderId="1" applyAlignment="1" pivotButton="0" quotePrefix="0" xfId="5">
      <alignment horizontal="left" vertical="top" wrapText="1"/>
    </xf>
    <xf numFmtId="0" fontId="6" fillId="12" borderId="1" applyAlignment="1" pivotButton="0" quotePrefix="0" xfId="5">
      <alignment horizontal="justify" vertical="justify" wrapText="1"/>
    </xf>
    <xf numFmtId="0" fontId="2" fillId="0" borderId="0" applyAlignment="1" pivotButton="0" quotePrefix="0" xfId="0">
      <alignment horizontal="center" vertical="center"/>
    </xf>
    <xf numFmtId="0" fontId="0" fillId="0" borderId="0" pivotButton="0" quotePrefix="0" xfId="0"/>
    <xf numFmtId="0" fontId="0" fillId="0" borderId="2" applyAlignment="1" pivotButton="0" quotePrefix="0" xfId="0">
      <alignment horizontal="left" vertical="center"/>
    </xf>
    <xf numFmtId="0" fontId="3" fillId="3" borderId="2" applyAlignment="1" pivotButton="0" quotePrefix="0" xfId="0">
      <alignment horizontal="center" vertical="center"/>
    </xf>
    <xf numFmtId="0" fontId="0" fillId="0" borderId="2" pivotButton="0" quotePrefix="0" xfId="0"/>
    <xf numFmtId="0" fontId="3" fillId="4" borderId="2" applyAlignment="1" pivotButton="0" quotePrefix="0" xfId="0">
      <alignment horizontal="center" vertical="center"/>
    </xf>
    <xf numFmtId="0" fontId="0" fillId="0" borderId="0" applyAlignment="1" pivotButton="0" quotePrefix="0" xfId="0">
      <alignment horizontal="left" vertical="center"/>
    </xf>
    <xf numFmtId="0" fontId="3" fillId="6" borderId="2" applyAlignment="1" pivotButton="0" quotePrefix="0" xfId="0">
      <alignment horizontal="center" vertical="center"/>
    </xf>
    <xf numFmtId="0" fontId="9" fillId="0" borderId="0" applyAlignment="1" pivotButton="0" quotePrefix="0" xfId="0">
      <alignment vertical="center"/>
    </xf>
    <xf numFmtId="0" fontId="10" fillId="0" borderId="0" pivotButton="0" quotePrefix="0" xfId="0"/>
    <xf numFmtId="0" fontId="2" fillId="0" borderId="1" applyAlignment="1" pivotButton="0" quotePrefix="0" xfId="0">
      <alignment horizontal="center" vertical="center"/>
    </xf>
    <xf numFmtId="0" fontId="0" fillId="0" borderId="5" pivotButton="0" quotePrefix="0" xfId="0"/>
    <xf numFmtId="0" fontId="0" fillId="0" borderId="6" pivotButton="0" quotePrefix="0" xfId="0"/>
    <xf numFmtId="0" fontId="0" fillId="0" borderId="1" applyAlignment="1" pivotButton="0" quotePrefix="0" xfId="0">
      <alignment horizontal="left" vertical="center"/>
    </xf>
  </cellXfs>
  <cellStyles count="6">
    <cellStyle name="Normal" xfId="0" builtinId="0"/>
    <cellStyle name="inr_right" xfId="1"/>
    <cellStyle name="pct_right" xfId="2"/>
    <cellStyle name="int_right" xfId="3"/>
    <cellStyle name="Hyperlink" xfId="4" builtinId="8"/>
    <cellStyle name="Normal 2" xf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19785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23" workbookViewId="0">
      <selection activeCell="H37" sqref="H37"/>
    </sheetView>
  </sheetViews>
  <sheetFormatPr baseColWidth="8" defaultRowHeight="14.5"/>
  <cols>
    <col width="8.7265625" customWidth="1" style="16" min="1" max="6"/>
    <col width="13.90625" customWidth="1" style="16" min="7" max="7"/>
    <col width="6.81640625" customWidth="1" style="16" min="8" max="8"/>
    <col width="65.1796875" customWidth="1" style="16" min="9" max="9"/>
    <col width="16.6328125" customWidth="1" style="16" min="10" max="10"/>
    <col width="8.7265625" customWidth="1" style="16" min="11" max="16384"/>
  </cols>
  <sheetData>
    <row r="1" ht="31" customHeight="1" s="29">
      <c r="A1" s="15" t="inlineStr">
        <is>
          <t>FINANCIAL MODELING USING EXCEL</t>
        </is>
      </c>
    </row>
    <row r="2"/>
    <row r="3" ht="23.5" customHeight="1" s="29">
      <c r="A3" s="36" t="inlineStr">
        <is>
          <t>Future Value Modeling Using Excel (FV Function)</t>
        </is>
      </c>
    </row>
    <row r="4"/>
    <row r="5">
      <c r="A5" s="37" t="inlineStr">
        <is>
          <t>Time Value of Money and Compounding Analysis</t>
        </is>
      </c>
    </row>
    <row r="6"/>
    <row r="7" ht="23.5" customHeight="1" s="29">
      <c r="A7" s="17" t="inlineStr">
        <is>
          <t>Workbook Purpose</t>
        </is>
      </c>
    </row>
    <row r="8"/>
    <row r="9" ht="129" customHeight="1" s="29">
      <c r="A9" s="25" t="inlineStr">
        <is>
          <t>This workbook is designed to build a focused and practical understanding of Future Value (FV) concepts using Excel. It helps learners analyze how a present sum of money grows over time under different interest rates, compounding frequencies, and investment horizons.
The workbook is intentionally limited to future value determination only, allowing learners to concentrate on the mechanics of compounding and the economic intuition behind value growth over time. By implementing the FV logic directly in Excel, learners develop clarity on how time, rate, and frequency interact in real-world savings, investment, and financial planning decisions.</t>
        </is>
      </c>
    </row>
    <row r="10"/>
    <row r="11"/>
    <row r="12"/>
    <row r="13"/>
    <row r="14"/>
    <row r="15" ht="23.5" customHeight="1" s="29">
      <c r="A15" s="18" t="inlineStr">
        <is>
          <t>Key Concepts Covered</t>
        </is>
      </c>
      <c r="B15" s="19" t="n"/>
      <c r="C15" s="19" t="n"/>
      <c r="D15" s="19" t="n"/>
      <c r="E15" s="19" t="n"/>
      <c r="F15" s="19" t="n"/>
      <c r="G15" s="19" t="n"/>
      <c r="I15" s="20" t="inlineStr">
        <is>
          <t>Excel Functions Used</t>
        </is>
      </c>
    </row>
    <row r="16" ht="255.5" customHeight="1" s="29">
      <c r="A16" s="26" t="inlineStr">
        <is>
          <t>Time value of money and the principle of compounding
Future value of a single lump-sum investment
Effect of interest rate changes on future wealth
Role of compounding frequency in value accumulation
Relationship between time horizon and growth magnitude
Financial interpretation of future value outcomes
Application of FV concepts in savings, deposits, and investment planning</t>
        </is>
      </c>
      <c r="I16" s="21" t="inlineStr">
        <is>
          <t>FV – Computes the future value of a present investment
RATE – Interprets and validates interest rate assumptions
NPER – Aligns time horizon with compounding frequency
POWER – Supports manual compounding logic where required
IF – Handles logical conditions and scenario structure
ABS – Maintains disciplined cash flow sign conventions
The workbook emphasizes correct frequency alignment, consistent sign handling, and transparent interpretation of future value outputs.</t>
        </is>
      </c>
    </row>
    <row r="17">
      <c r="A17" s="22" t="n"/>
    </row>
    <row r="18">
      <c r="A18" s="22" t="n"/>
      <c r="E18" s="27"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3" t="n"/>
    </row>
    <row r="19">
      <c r="A19" s="22" t="n"/>
    </row>
    <row r="20">
      <c r="A20" s="22" t="n"/>
      <c r="I20" s="23" t="n"/>
    </row>
    <row r="21">
      <c r="A21" s="22" t="n"/>
    </row>
    <row r="22">
      <c r="A22" s="22" t="n"/>
      <c r="I22" s="23" t="n"/>
    </row>
    <row r="23">
      <c r="A23" s="22" t="n"/>
    </row>
    <row r="24">
      <c r="A24" s="22" t="n"/>
      <c r="I24" s="23" t="n"/>
    </row>
    <row r="25">
      <c r="A25" s="22" t="n"/>
    </row>
    <row r="26">
      <c r="A26" s="22" t="n"/>
      <c r="I26" s="23" t="n"/>
    </row>
    <row r="27">
      <c r="A27" s="22" t="n"/>
    </row>
    <row r="28">
      <c r="A28" s="22" t="n"/>
      <c r="I28" s="23" t="n"/>
    </row>
    <row r="29">
      <c r="A29" s="22" t="n"/>
    </row>
    <row r="30">
      <c r="A30" s="22" t="n"/>
      <c r="I30" s="23" t="n"/>
    </row>
    <row r="31">
      <c r="A31" s="22" t="n"/>
      <c r="I31" s="22" t="n"/>
    </row>
    <row r="32">
      <c r="A32" s="22" t="n"/>
      <c r="I32" s="24" t="n"/>
    </row>
    <row r="33">
      <c r="A33" s="22"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F11"/>
  <sheetViews>
    <sheetView workbookViewId="0">
      <pane ySplit="2" topLeftCell="A3" activePane="bottomLeft" state="frozen"/>
      <selection pane="bottomLeft" activeCell="F15" sqref="F15"/>
    </sheetView>
  </sheetViews>
  <sheetFormatPr baseColWidth="8" defaultRowHeight="14.5"/>
  <cols>
    <col width="7" customWidth="1" style="29" min="1" max="1"/>
    <col width="50" customWidth="1" style="29" min="2" max="2"/>
    <col width="20" customWidth="1" style="29" min="3" max="3"/>
    <col width="18" customWidth="1" style="29" min="4" max="5"/>
    <col width="44" customWidth="1" style="29" min="6" max="6"/>
  </cols>
  <sheetData>
    <row r="1" ht="19.5" customHeight="1" s="29">
      <c r="A1" s="38" t="inlineStr">
        <is>
          <t>Time Value of Money – Future Value Set (Contents)</t>
        </is>
      </c>
    </row>
    <row r="2" ht="15.5" customHeight="1" s="29">
      <c r="A2" s="1" t="inlineStr">
        <is>
          <t>S.No</t>
        </is>
      </c>
      <c r="B2" s="1" t="inlineStr">
        <is>
          <t>Problem Title</t>
        </is>
      </c>
      <c r="C2" s="1" t="inlineStr">
        <is>
          <t>Sheet Link</t>
        </is>
      </c>
      <c r="D2" s="1" t="inlineStr">
        <is>
          <t>Type</t>
        </is>
      </c>
      <c r="E2" s="1" t="inlineStr">
        <is>
          <t>Compounding</t>
        </is>
      </c>
      <c r="F2" s="1" t="inlineStr">
        <is>
          <t>Notes</t>
        </is>
      </c>
    </row>
    <row r="3" ht="15.5" customHeight="1" s="29">
      <c r="A3" s="2" t="n">
        <v>1</v>
      </c>
      <c r="B3" s="32" t="inlineStr">
        <is>
          <t>Problem 0 – FV of Investment (₹)</t>
        </is>
      </c>
      <c r="C3" s="4" t="inlineStr">
        <is>
          <t>Go to sheet</t>
        </is>
      </c>
      <c r="D3" s="32" t="inlineStr">
        <is>
          <t>Lump Sum</t>
        </is>
      </c>
      <c r="E3" s="32" t="inlineStr">
        <is>
          <t>Annually</t>
        </is>
      </c>
      <c r="F3" s="32" t="inlineStr">
        <is>
          <t>₹ with Indian grouping; PV negative in FV()</t>
        </is>
      </c>
    </row>
    <row r="4" ht="15.5" customHeight="1" s="29">
      <c r="A4" s="2" t="n">
        <v>2</v>
      </c>
      <c r="B4" s="32" t="inlineStr">
        <is>
          <t>Problem 1 – Retirement Fund</t>
        </is>
      </c>
      <c r="C4" s="4" t="inlineStr">
        <is>
          <t>Go to sheet</t>
        </is>
      </c>
      <c r="D4" s="32" t="inlineStr">
        <is>
          <t>Lump Sum</t>
        </is>
      </c>
      <c r="E4" s="32" t="inlineStr">
        <is>
          <t>Semiannually</t>
        </is>
      </c>
      <c r="F4" s="32" t="inlineStr">
        <is>
          <t>₹ with Indian grouping; PV negative in FV()</t>
        </is>
      </c>
    </row>
    <row r="5" ht="15.5" customHeight="1" s="29">
      <c r="A5" s="2" t="n">
        <v>3</v>
      </c>
      <c r="B5" s="32" t="inlineStr">
        <is>
          <t>Problem 2 – Education Savings</t>
        </is>
      </c>
      <c r="C5" s="4" t="inlineStr">
        <is>
          <t>Go to sheet</t>
        </is>
      </c>
      <c r="D5" s="32" t="inlineStr">
        <is>
          <t>Lump Sum</t>
        </is>
      </c>
      <c r="E5" s="32" t="inlineStr">
        <is>
          <t>Quarterly</t>
        </is>
      </c>
      <c r="F5" s="32" t="inlineStr">
        <is>
          <t>₹ with Indian grouping; PV negative in FV()</t>
        </is>
      </c>
    </row>
    <row r="6" ht="15.5" customHeight="1" s="29">
      <c r="A6" s="2" t="n">
        <v>4</v>
      </c>
      <c r="B6" s="32" t="inlineStr">
        <is>
          <t>Problem 3 – Property Investment</t>
        </is>
      </c>
      <c r="C6" s="4" t="inlineStr">
        <is>
          <t>Go to sheet</t>
        </is>
      </c>
      <c r="D6" s="32" t="inlineStr">
        <is>
          <t>Lump Sum</t>
        </is>
      </c>
      <c r="E6" s="32" t="inlineStr">
        <is>
          <t>Monthly</t>
        </is>
      </c>
      <c r="F6" s="32" t="inlineStr">
        <is>
          <t>₹ with Indian grouping; PV negative in FV()</t>
        </is>
      </c>
    </row>
    <row r="7" ht="15.5" customHeight="1" s="29">
      <c r="A7" s="2" t="n">
        <v>5</v>
      </c>
      <c r="B7" s="32" t="inlineStr">
        <is>
          <t>Problem 4 – Long-Term Fixed Deposit</t>
        </is>
      </c>
      <c r="C7" s="4" t="inlineStr">
        <is>
          <t>Go to sheet</t>
        </is>
      </c>
      <c r="D7" s="32" t="inlineStr">
        <is>
          <t>Lump Sum</t>
        </is>
      </c>
      <c r="E7" s="32" t="inlineStr">
        <is>
          <t>Weekly</t>
        </is>
      </c>
      <c r="F7" s="32" t="inlineStr">
        <is>
          <t>₹ with Indian grouping; PV negative in FV()</t>
        </is>
      </c>
    </row>
    <row r="8" ht="15.5" customHeight="1" s="29">
      <c r="A8" s="2" t="n">
        <v>6</v>
      </c>
      <c r="B8" s="32" t="inlineStr">
        <is>
          <t>Vacation Fund (Quarterly)</t>
        </is>
      </c>
      <c r="C8" s="4" t="inlineStr">
        <is>
          <t>Go to sheet</t>
        </is>
      </c>
      <c r="D8" s="32" t="inlineStr">
        <is>
          <t>Series</t>
        </is>
      </c>
      <c r="E8" s="32" t="inlineStr">
        <is>
          <t>Quarterly</t>
        </is>
      </c>
      <c r="F8" s="32" t="inlineStr">
        <is>
          <t>₹ with Indian grouping; PMT negative in FV()</t>
        </is>
      </c>
    </row>
    <row r="9" ht="15.5" customHeight="1" s="29">
      <c r="A9" s="2" t="n">
        <v>7</v>
      </c>
      <c r="B9" s="32" t="inlineStr">
        <is>
          <t>Education Fund (Annual)</t>
        </is>
      </c>
      <c r="C9" s="4" t="inlineStr">
        <is>
          <t>Go to sheet</t>
        </is>
      </c>
      <c r="D9" s="32" t="inlineStr">
        <is>
          <t>Series</t>
        </is>
      </c>
      <c r="E9" s="32" t="inlineStr">
        <is>
          <t>Annually</t>
        </is>
      </c>
      <c r="F9" s="32" t="inlineStr">
        <is>
          <t>₹ with Indian grouping; PMT negative in FV()</t>
        </is>
      </c>
    </row>
    <row r="10" ht="15.5" customHeight="1" s="29">
      <c r="A10" s="2" t="n">
        <v>8</v>
      </c>
      <c r="B10" s="32" t="inlineStr">
        <is>
          <t>Retirement Savings (Semiannual)</t>
        </is>
      </c>
      <c r="C10" s="4" t="inlineStr">
        <is>
          <t>Go to sheet</t>
        </is>
      </c>
      <c r="D10" s="32" t="inlineStr">
        <is>
          <t>Series</t>
        </is>
      </c>
      <c r="E10" s="32" t="inlineStr">
        <is>
          <t>Semiannually</t>
        </is>
      </c>
      <c r="F10" s="32" t="inlineStr">
        <is>
          <t>₹ with Indian grouping; PMT negative in FV()</t>
        </is>
      </c>
    </row>
    <row r="11" ht="15.5" customHeight="1" s="29">
      <c r="A11" s="2" t="n">
        <v>9</v>
      </c>
      <c r="B11" s="32" t="inlineStr">
        <is>
          <t>Emergency Fund (Weekly)</t>
        </is>
      </c>
      <c r="C11" s="4" t="inlineStr">
        <is>
          <t>Go to sheet</t>
        </is>
      </c>
      <c r="D11" s="32" t="inlineStr">
        <is>
          <t>Series</t>
        </is>
      </c>
      <c r="E11" s="32" t="inlineStr">
        <is>
          <t>Weekly</t>
        </is>
      </c>
      <c r="F11" s="32" t="inlineStr">
        <is>
          <t>₹ with Indian grouping; PMT negative in FV()</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F1"/>
  </mergeCells>
  <hyperlinks>
    <hyperlink ref="C3" location="'LS P0 – FV Investment'!A1" display="Go to sheet"/>
    <hyperlink ref="C4" location="'LS P1 – Retirement'!A1" display="Go to sheet"/>
    <hyperlink ref="C5" location="'LS P2 – Education'!A1" display="Go to sheet"/>
    <hyperlink ref="C6" location="'LS P3 – Property'!A1" display="Go to sheet"/>
    <hyperlink ref="C7" location="'LS P4 – Fixed Deposit'!A1" display="Go to sheet"/>
    <hyperlink ref="C8" location="'SD P1 – Vacation'!A1" display="Go to sheet"/>
    <hyperlink ref="C9" location="'SD P2 – Education'!A1" display="Go to sheet"/>
    <hyperlink ref="C10" location="'SD P3 – Retirement'!A1" display="Go to sheet"/>
    <hyperlink ref="C11" location="'SD P4 – Emergency'!A1" display="Go to sheet"/>
  </hyperlinks>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LS P0 – FV Investment</t>
        </is>
      </c>
    </row>
    <row r="2"/>
    <row r="3" ht="15.5" customHeight="1" s="29">
      <c r="A3" s="31" t="inlineStr">
        <is>
          <t>Inputs</t>
        </is>
      </c>
      <c r="B3" s="39" t="n"/>
      <c r="C3" s="39" t="n"/>
      <c r="D3" s="40" t="n"/>
    </row>
    <row r="4">
      <c r="A4" s="5" t="inlineStr">
        <is>
          <t>Initial Principal (PV)</t>
        </is>
      </c>
      <c r="B4" s="6" t="n">
        <v>800000</v>
      </c>
    </row>
    <row r="5">
      <c r="A5" s="5" t="inlineStr">
        <is>
          <t>Annual Interest Rate</t>
        </is>
      </c>
      <c r="B5" s="7" t="n">
        <v>0.06</v>
      </c>
    </row>
    <row r="6">
      <c r="A6" s="5" t="inlineStr">
        <is>
          <t>Term (Years)</t>
        </is>
      </c>
      <c r="B6" s="8" t="n">
        <v>8</v>
      </c>
    </row>
    <row r="7">
      <c r="A7" s="5" t="inlineStr">
        <is>
          <t>Compounds per Year</t>
        </is>
      </c>
      <c r="B7" s="9" t="n">
        <v>1</v>
      </c>
    </row>
    <row r="8"/>
    <row r="9"/>
    <row r="10" ht="15.5" customHeight="1" s="29">
      <c r="A10" s="33" t="inlineStr">
        <is>
          <t>Outputs</t>
        </is>
      </c>
      <c r="B10" s="39" t="n"/>
      <c r="C10" s="39" t="n"/>
      <c r="D10" s="40" t="n"/>
    </row>
    <row r="11"/>
    <row r="12">
      <c r="A12" s="10" t="inlineStr">
        <is>
          <t>Future Value (FV)</t>
        </is>
      </c>
      <c r="B12" s="11">
        <f>FV(B5/B7, B6*B7, 0, -B4, 0)</f>
        <v/>
      </c>
    </row>
    <row r="13">
      <c r="A13" s="10" t="inlineStr">
        <is>
          <t>Total Return (FV - PV)</t>
        </is>
      </c>
      <c r="B13" s="11">
        <f>B12 - B4</f>
        <v/>
      </c>
    </row>
    <row r="14"/>
    <row r="15">
      <c r="A15" s="41" t="inlineStr">
        <is>
          <t>Compounding: Annually. FV(rate/CPY, years*CPY, 0, -PV, 0).</t>
        </is>
      </c>
    </row>
    <row r="16"/>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5:D15"/>
    <mergeCell ref="A10:D10"/>
  </mergeCells>
  <pageMargins left="0.75" right="0.75" top="1" bottom="1" header="0.5" footer="0.5"/>
</worksheet>
</file>

<file path=xl/worksheets/sheet4.xml><?xml version="1.0" encoding="utf-8"?>
<worksheet xmlns="http://schemas.openxmlformats.org/spreadsheetml/2006/main">
  <sheetPr>
    <tabColor rgb="FF70AD47"/>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LS P1 – Retirement</t>
        </is>
      </c>
    </row>
    <row r="2"/>
    <row r="3" ht="15.5" customHeight="1" s="29">
      <c r="A3" s="31" t="inlineStr">
        <is>
          <t>Inputs</t>
        </is>
      </c>
      <c r="B3" s="39" t="n"/>
      <c r="C3" s="39" t="n"/>
      <c r="D3" s="40" t="n"/>
    </row>
    <row r="4">
      <c r="A4" s="5" t="inlineStr">
        <is>
          <t>Initial Principal (PV)</t>
        </is>
      </c>
      <c r="B4" s="6" t="n">
        <v>1000000</v>
      </c>
    </row>
    <row r="5">
      <c r="A5" s="5" t="inlineStr">
        <is>
          <t>Annual Interest Rate</t>
        </is>
      </c>
      <c r="B5" s="7" t="n">
        <v>0.07000000000000001</v>
      </c>
    </row>
    <row r="6">
      <c r="A6" s="5" t="inlineStr">
        <is>
          <t>Term (Years)</t>
        </is>
      </c>
      <c r="B6" s="8" t="n">
        <v>10</v>
      </c>
    </row>
    <row r="7">
      <c r="A7" s="5" t="inlineStr">
        <is>
          <t>Compounds per Year</t>
        </is>
      </c>
      <c r="B7" s="9" t="n">
        <v>2</v>
      </c>
    </row>
    <row r="8"/>
    <row r="9"/>
    <row r="10" ht="15.5" customHeight="1" s="29">
      <c r="A10" s="33" t="inlineStr">
        <is>
          <t>Outputs</t>
        </is>
      </c>
      <c r="B10" s="39" t="n"/>
      <c r="C10" s="39" t="n"/>
      <c r="D10" s="40" t="n"/>
    </row>
    <row r="11"/>
    <row r="12">
      <c r="A12" s="10" t="inlineStr">
        <is>
          <t>Future Value (FV)</t>
        </is>
      </c>
      <c r="B12" s="11">
        <f>FV(B5/B7, B6*B7, 0, -B4, 0)</f>
        <v/>
      </c>
    </row>
    <row r="13">
      <c r="A13" s="10" t="inlineStr">
        <is>
          <t>Total Return (FV - PV)</t>
        </is>
      </c>
      <c r="B13" s="11">
        <f>B12 - B4</f>
        <v/>
      </c>
    </row>
    <row r="14"/>
    <row r="15">
      <c r="A15" s="41" t="inlineStr">
        <is>
          <t>Compounding: Semiannually. FV(rate/CPY, years*CPY, 0, -PV, 0).</t>
        </is>
      </c>
    </row>
    <row r="16"/>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5:D15"/>
    <mergeCell ref="A10:D10"/>
  </mergeCells>
  <pageMargins left="0.75" right="0.75" top="1" bottom="1" header="0.5" footer="0.5"/>
</worksheet>
</file>

<file path=xl/worksheets/sheet5.xml><?xml version="1.0" encoding="utf-8"?>
<worksheet xmlns="http://schemas.openxmlformats.org/spreadsheetml/2006/main">
  <sheetPr>
    <tabColor rgb="FF70AD47"/>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LS P2 – Education</t>
        </is>
      </c>
    </row>
    <row r="2"/>
    <row r="3" ht="15.5" customHeight="1" s="29">
      <c r="A3" s="31" t="inlineStr">
        <is>
          <t>Inputs</t>
        </is>
      </c>
      <c r="B3" s="39" t="n"/>
      <c r="C3" s="39" t="n"/>
      <c r="D3" s="40" t="n"/>
    </row>
    <row r="4">
      <c r="A4" s="5" t="inlineStr">
        <is>
          <t>Initial Principal (PV)</t>
        </is>
      </c>
      <c r="B4" s="6" t="n">
        <v>500000</v>
      </c>
    </row>
    <row r="5">
      <c r="A5" s="5" t="inlineStr">
        <is>
          <t>Annual Interest Rate</t>
        </is>
      </c>
      <c r="B5" s="7" t="n">
        <v>0.055</v>
      </c>
    </row>
    <row r="6">
      <c r="A6" s="5" t="inlineStr">
        <is>
          <t>Term (Years)</t>
        </is>
      </c>
      <c r="B6" s="8" t="n">
        <v>12</v>
      </c>
    </row>
    <row r="7">
      <c r="A7" s="5" t="inlineStr">
        <is>
          <t>Compounds per Year</t>
        </is>
      </c>
      <c r="B7" s="9" t="n">
        <v>4</v>
      </c>
    </row>
    <row r="8"/>
    <row r="9"/>
    <row r="10" ht="15.5" customHeight="1" s="29">
      <c r="A10" s="33" t="inlineStr">
        <is>
          <t>Outputs</t>
        </is>
      </c>
      <c r="B10" s="39" t="n"/>
      <c r="C10" s="39" t="n"/>
      <c r="D10" s="40" t="n"/>
    </row>
    <row r="11"/>
    <row r="12">
      <c r="A12" s="10" t="inlineStr">
        <is>
          <t>Future Value (FV)</t>
        </is>
      </c>
      <c r="B12" s="11">
        <f>FV(B5/B7, B6*B7, 0, -B4, 0)</f>
        <v/>
      </c>
    </row>
    <row r="13">
      <c r="A13" s="10" t="inlineStr">
        <is>
          <t>Total Return (FV - PV)</t>
        </is>
      </c>
      <c r="B13" s="11">
        <f>B12 - B4</f>
        <v/>
      </c>
    </row>
    <row r="14"/>
    <row r="15">
      <c r="A15" s="41" t="inlineStr">
        <is>
          <t>Compounding: Quarterly. FV(rate/CPY, years*CPY, 0, -PV, 0).</t>
        </is>
      </c>
    </row>
    <row r="16"/>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5:D15"/>
    <mergeCell ref="A10:D10"/>
  </mergeCells>
  <pageMargins left="0.75" right="0.75" top="1" bottom="1" header="0.5" footer="0.5"/>
</worksheet>
</file>

<file path=xl/worksheets/sheet6.xml><?xml version="1.0" encoding="utf-8"?>
<worksheet xmlns="http://schemas.openxmlformats.org/spreadsheetml/2006/main">
  <sheetPr>
    <tabColor rgb="FF70AD47"/>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LS P3 – Property</t>
        </is>
      </c>
    </row>
    <row r="2"/>
    <row r="3" ht="15.5" customHeight="1" s="29">
      <c r="A3" s="31" t="inlineStr">
        <is>
          <t>Inputs</t>
        </is>
      </c>
      <c r="B3" s="39" t="n"/>
      <c r="C3" s="39" t="n"/>
      <c r="D3" s="40" t="n"/>
    </row>
    <row r="4">
      <c r="A4" s="5" t="inlineStr">
        <is>
          <t>Initial Principal (PV)</t>
        </is>
      </c>
      <c r="B4" s="6" t="n">
        <v>1500000</v>
      </c>
    </row>
    <row r="5">
      <c r="A5" s="5" t="inlineStr">
        <is>
          <t>Annual Interest Rate</t>
        </is>
      </c>
      <c r="B5" s="7" t="n">
        <v>0.08</v>
      </c>
    </row>
    <row r="6">
      <c r="A6" s="5" t="inlineStr">
        <is>
          <t>Term (Years)</t>
        </is>
      </c>
      <c r="B6" s="8" t="n">
        <v>6</v>
      </c>
    </row>
    <row r="7">
      <c r="A7" s="5" t="inlineStr">
        <is>
          <t>Compounds per Year</t>
        </is>
      </c>
      <c r="B7" s="9" t="n">
        <v>12</v>
      </c>
    </row>
    <row r="8"/>
    <row r="9"/>
    <row r="10" ht="15.5" customHeight="1" s="29">
      <c r="A10" s="33" t="inlineStr">
        <is>
          <t>Outputs</t>
        </is>
      </c>
      <c r="B10" s="39" t="n"/>
      <c r="C10" s="39" t="n"/>
      <c r="D10" s="40" t="n"/>
    </row>
    <row r="11"/>
    <row r="12">
      <c r="A12" s="10" t="inlineStr">
        <is>
          <t>Future Value (FV)</t>
        </is>
      </c>
      <c r="B12" s="11">
        <f>FV(B5/B7, B6*B7, 0, -B4, 0)</f>
        <v/>
      </c>
    </row>
    <row r="13">
      <c r="A13" s="10" t="inlineStr">
        <is>
          <t>Total Return (FV - PV)</t>
        </is>
      </c>
      <c r="B13" s="11">
        <f>B12 - B4</f>
        <v/>
      </c>
    </row>
    <row r="14"/>
    <row r="15">
      <c r="A15" s="41" t="inlineStr">
        <is>
          <t>Compounding: Monthly. FV(rate/CPY, years*CPY, 0, -PV, 0).</t>
        </is>
      </c>
    </row>
    <row r="16"/>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5:D15"/>
    <mergeCell ref="A10:D10"/>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LS P4 – Fixed Deposit</t>
        </is>
      </c>
    </row>
    <row r="2"/>
    <row r="3" ht="15.5" customHeight="1" s="29">
      <c r="A3" s="31" t="inlineStr">
        <is>
          <t>Inputs</t>
        </is>
      </c>
      <c r="B3" s="39" t="n"/>
      <c r="C3" s="39" t="n"/>
      <c r="D3" s="40" t="n"/>
    </row>
    <row r="4">
      <c r="A4" s="5" t="inlineStr">
        <is>
          <t>Initial Principal (PV)</t>
        </is>
      </c>
      <c r="B4" s="6" t="n">
        <v>2000000</v>
      </c>
    </row>
    <row r="5">
      <c r="A5" s="5" t="inlineStr">
        <is>
          <t>Annual Interest Rate</t>
        </is>
      </c>
      <c r="B5" s="7" t="n">
        <v>0.065</v>
      </c>
    </row>
    <row r="6">
      <c r="A6" s="5" t="inlineStr">
        <is>
          <t>Term (Years)</t>
        </is>
      </c>
      <c r="B6" s="8" t="n">
        <v>15</v>
      </c>
    </row>
    <row r="7">
      <c r="A7" s="5" t="inlineStr">
        <is>
          <t>Compounds per Year</t>
        </is>
      </c>
      <c r="B7" s="9" t="n">
        <v>52</v>
      </c>
    </row>
    <row r="8"/>
    <row r="9"/>
    <row r="10" ht="15.5" customHeight="1" s="29">
      <c r="A10" s="33" t="inlineStr">
        <is>
          <t>Outputs</t>
        </is>
      </c>
      <c r="B10" s="39" t="n"/>
      <c r="C10" s="39" t="n"/>
      <c r="D10" s="40" t="n"/>
    </row>
    <row r="11"/>
    <row r="12">
      <c r="A12" s="10" t="inlineStr">
        <is>
          <t>Future Value (FV)</t>
        </is>
      </c>
      <c r="B12" s="11">
        <f>FV(B5/B7, B6*B7, 0, -B4, 0)</f>
        <v/>
      </c>
    </row>
    <row r="13">
      <c r="A13" s="10" t="inlineStr">
        <is>
          <t>Total Return (FV - PV)</t>
        </is>
      </c>
      <c r="B13" s="11">
        <f>B12 - B4</f>
        <v/>
      </c>
    </row>
    <row r="14"/>
    <row r="15">
      <c r="A15" s="41" t="inlineStr">
        <is>
          <t>Compounding: Weekly. FV(rate/CPY, years*CPY, 0, -PV, 0).</t>
        </is>
      </c>
    </row>
    <row r="16"/>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5:D15"/>
    <mergeCell ref="A10:D10"/>
  </mergeCells>
  <pageMargins left="0.75" right="0.75" top="1" bottom="1" header="0.5" footer="0.5"/>
</worksheet>
</file>

<file path=xl/worksheets/sheet8.xml><?xml version="1.0" encoding="utf-8"?>
<worksheet xmlns="http://schemas.openxmlformats.org/spreadsheetml/2006/main">
  <sheetPr>
    <tabColor rgb="FF5B9BD5"/>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SD P1 – Vacation</t>
        </is>
      </c>
    </row>
    <row r="2"/>
    <row r="3" ht="15.5" customHeight="1" s="29">
      <c r="A3" s="31" t="inlineStr">
        <is>
          <t>Inputs</t>
        </is>
      </c>
      <c r="B3" s="39" t="n"/>
      <c r="C3" s="39" t="n"/>
      <c r="D3" s="40" t="n"/>
    </row>
    <row r="4">
      <c r="A4" s="5" t="inlineStr">
        <is>
          <t>Periodic Deposit (PMT)</t>
        </is>
      </c>
      <c r="B4" s="6" t="n">
        <v>3000</v>
      </c>
    </row>
    <row r="5">
      <c r="A5" s="5" t="inlineStr">
        <is>
          <t>Annual Interest Rate</t>
        </is>
      </c>
      <c r="B5" s="7" t="n">
        <v>0.05</v>
      </c>
    </row>
    <row r="6">
      <c r="A6" s="5" t="inlineStr">
        <is>
          <t>Term (Years)</t>
        </is>
      </c>
      <c r="B6" s="8" t="n">
        <v>5</v>
      </c>
    </row>
    <row r="7">
      <c r="A7" s="5" t="inlineStr">
        <is>
          <t>Compounds per Year</t>
        </is>
      </c>
      <c r="B7" s="9" t="n">
        <v>4</v>
      </c>
    </row>
    <row r="8"/>
    <row r="9"/>
    <row r="10" ht="15.5" customHeight="1" s="29">
      <c r="A10" s="33" t="inlineStr">
        <is>
          <t>Outputs</t>
        </is>
      </c>
      <c r="B10" s="39" t="n"/>
      <c r="C10" s="39" t="n"/>
      <c r="D10" s="40" t="n"/>
    </row>
    <row r="11"/>
    <row r="12">
      <c r="A12" s="10" t="inlineStr">
        <is>
          <t>Future Value of Deposits (FV)</t>
        </is>
      </c>
      <c r="B12" s="11">
        <f>FV(B5/B7, B6*B7, -B4, 0, 0)</f>
        <v/>
      </c>
    </row>
    <row r="13">
      <c r="A13" s="10" t="inlineStr">
        <is>
          <t>Total Deposited</t>
        </is>
      </c>
      <c r="B13" s="11">
        <f>B4 * B6 * B7</f>
        <v/>
      </c>
    </row>
    <row r="14">
      <c r="A14" s="10" t="inlineStr">
        <is>
          <t>Total Interest (FV - Total Deposited)</t>
        </is>
      </c>
      <c r="B14" s="11">
        <f>B12 - B13</f>
        <v/>
      </c>
    </row>
    <row r="15"/>
    <row r="16">
      <c r="A16" s="41" t="inlineStr">
        <is>
          <t>Compounding: Quarterly. FV(rate/CPY, years*CPY, -PMT, 0, 0).</t>
        </is>
      </c>
    </row>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6:D16"/>
    <mergeCell ref="A10:D10"/>
  </mergeCells>
  <pageMargins left="0.75" right="0.75" top="1" bottom="1" header="0.5" footer="0.5"/>
</worksheet>
</file>

<file path=xl/worksheets/sheet9.xml><?xml version="1.0" encoding="utf-8"?>
<worksheet xmlns="http://schemas.openxmlformats.org/spreadsheetml/2006/main">
  <sheetPr>
    <tabColor rgb="FF5B9BD5"/>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SD P2 – Education</t>
        </is>
      </c>
    </row>
    <row r="2"/>
    <row r="3" ht="15.5" customHeight="1" s="29">
      <c r="A3" s="31" t="inlineStr">
        <is>
          <t>Inputs</t>
        </is>
      </c>
      <c r="B3" s="39" t="n"/>
      <c r="C3" s="39" t="n"/>
      <c r="D3" s="40" t="n"/>
    </row>
    <row r="4">
      <c r="A4" s="5" t="inlineStr">
        <is>
          <t>Periodic Deposit (PMT)</t>
        </is>
      </c>
      <c r="B4" s="6" t="n">
        <v>10000</v>
      </c>
    </row>
    <row r="5">
      <c r="A5" s="5" t="inlineStr">
        <is>
          <t>Annual Interest Rate</t>
        </is>
      </c>
      <c r="B5" s="7" t="n">
        <v>0.07000000000000001</v>
      </c>
    </row>
    <row r="6">
      <c r="A6" s="5" t="inlineStr">
        <is>
          <t>Term (Years)</t>
        </is>
      </c>
      <c r="B6" s="8" t="n">
        <v>12</v>
      </c>
    </row>
    <row r="7">
      <c r="A7" s="5" t="inlineStr">
        <is>
          <t>Compounds per Year</t>
        </is>
      </c>
      <c r="B7" s="9" t="n">
        <v>1</v>
      </c>
    </row>
    <row r="8"/>
    <row r="9"/>
    <row r="10" ht="15.5" customHeight="1" s="29">
      <c r="A10" s="33" t="inlineStr">
        <is>
          <t>Outputs</t>
        </is>
      </c>
      <c r="B10" s="39" t="n"/>
      <c r="C10" s="39" t="n"/>
      <c r="D10" s="40" t="n"/>
    </row>
    <row r="11"/>
    <row r="12">
      <c r="A12" s="10" t="inlineStr">
        <is>
          <t>Future Value of Deposits (FV)</t>
        </is>
      </c>
      <c r="B12" s="11">
        <f>FV(B5/B7, B6*B7, -B4, 0, 0)</f>
        <v/>
      </c>
    </row>
    <row r="13">
      <c r="A13" s="10" t="inlineStr">
        <is>
          <t>Total Deposited</t>
        </is>
      </c>
      <c r="B13" s="11">
        <f>B4 * B6 * B7</f>
        <v/>
      </c>
    </row>
    <row r="14">
      <c r="A14" s="10" t="inlineStr">
        <is>
          <t>Total Interest (FV - Total Deposited)</t>
        </is>
      </c>
      <c r="B14" s="11">
        <f>B12 - B13</f>
        <v/>
      </c>
    </row>
    <row r="15"/>
    <row r="16">
      <c r="A16" s="41" t="inlineStr">
        <is>
          <t>Compounding: Annually. FV(rate/CPY, years*CPY, -PMT, 0, 0).</t>
        </is>
      </c>
    </row>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6:D16"/>
    <mergeCell ref="A10:D10"/>
  </mergeCells>
  <pageMargins left="0.75" right="0.75" top="1" bottom="1" header="0.5" footer="0.5"/>
</worksheet>
</file>

<file path=xl/worksheets/sheet10.xml><?xml version="1.0" encoding="utf-8"?>
<worksheet xmlns="http://schemas.openxmlformats.org/spreadsheetml/2006/main">
  <sheetPr>
    <tabColor rgb="FF5B9BD5"/>
    <outlinePr summaryBelow="1" summaryRight="1"/>
    <pageSetUpPr/>
  </sheetPr>
  <dimension ref="A1:D23"/>
  <sheetViews>
    <sheetView workbookViewId="0">
      <pane ySplit="3" topLeftCell="A4" activePane="bottomLeft" state="frozen"/>
      <selection pane="bottomLeft" activeCell="A1" sqref="A1:D1"/>
    </sheetView>
  </sheetViews>
  <sheetFormatPr baseColWidth="8" defaultRowHeight="14.5"/>
  <cols>
    <col width="34" customWidth="1" style="29" min="1" max="1"/>
    <col width="24" customWidth="1" style="29" min="2" max="2"/>
    <col width="22" customWidth="1" style="29" min="3" max="4"/>
  </cols>
  <sheetData>
    <row r="1" ht="19.5" customHeight="1" s="29">
      <c r="A1" s="38" t="inlineStr">
        <is>
          <t>SD P3 – Retirement</t>
        </is>
      </c>
    </row>
    <row r="2"/>
    <row r="3" ht="15.5" customHeight="1" s="29">
      <c r="A3" s="31" t="inlineStr">
        <is>
          <t>Inputs</t>
        </is>
      </c>
      <c r="B3" s="39" t="n"/>
      <c r="C3" s="39" t="n"/>
      <c r="D3" s="40" t="n"/>
    </row>
    <row r="4">
      <c r="A4" s="5" t="inlineStr">
        <is>
          <t>Periodic Deposit (PMT)</t>
        </is>
      </c>
      <c r="B4" s="6" t="n">
        <v>20000</v>
      </c>
    </row>
    <row r="5">
      <c r="A5" s="5" t="inlineStr">
        <is>
          <t>Annual Interest Rate</t>
        </is>
      </c>
      <c r="B5" s="7" t="n">
        <v>0.08</v>
      </c>
    </row>
    <row r="6">
      <c r="A6" s="5" t="inlineStr">
        <is>
          <t>Term (Years)</t>
        </is>
      </c>
      <c r="B6" s="8" t="n">
        <v>15</v>
      </c>
    </row>
    <row r="7">
      <c r="A7" s="5" t="inlineStr">
        <is>
          <t>Compounds per Year</t>
        </is>
      </c>
      <c r="B7" s="9" t="n">
        <v>2</v>
      </c>
    </row>
    <row r="8"/>
    <row r="9"/>
    <row r="10" ht="15.5" customHeight="1" s="29">
      <c r="A10" s="33" t="inlineStr">
        <is>
          <t>Outputs</t>
        </is>
      </c>
      <c r="B10" s="39" t="n"/>
      <c r="C10" s="39" t="n"/>
      <c r="D10" s="40" t="n"/>
    </row>
    <row r="11"/>
    <row r="12">
      <c r="A12" s="10" t="inlineStr">
        <is>
          <t>Future Value of Deposits (FV)</t>
        </is>
      </c>
      <c r="B12" s="11">
        <f>FV(B5/B7, B6*B7, -B4, 0, 0)</f>
        <v/>
      </c>
    </row>
    <row r="13">
      <c r="A13" s="10" t="inlineStr">
        <is>
          <t>Total Deposited</t>
        </is>
      </c>
      <c r="B13" s="11">
        <f>B4 * B6 * B7</f>
        <v/>
      </c>
    </row>
    <row r="14">
      <c r="A14" s="10" t="inlineStr">
        <is>
          <t>Total Interest (FV - Total Deposited)</t>
        </is>
      </c>
      <c r="B14" s="11">
        <f>B12 - B13</f>
        <v/>
      </c>
    </row>
    <row r="15"/>
    <row r="16">
      <c r="A16" s="41" t="inlineStr">
        <is>
          <t>Compounding: Semiannually. FV(rate/CPY, years*CPY, -PMT, 0, 0).</t>
        </is>
      </c>
    </row>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6:D16"/>
    <mergeCell ref="A10:D10"/>
  </mergeCells>
  <pageMargins left="0.75" right="0.75" top="1" bottom="1" header="0.5" footer="0.5"/>
</worksheet>
</file>

<file path=xl/worksheets/sheet11.xml><?xml version="1.0" encoding="utf-8"?>
<worksheet xmlns="http://schemas.openxmlformats.org/spreadsheetml/2006/main">
  <sheetPr>
    <tabColor rgb="FF5B9BD5"/>
    <outlinePr summaryBelow="1" summaryRight="1"/>
    <pageSetUpPr/>
  </sheetPr>
  <dimension ref="A1:D23"/>
  <sheetViews>
    <sheetView workbookViewId="0">
      <pane ySplit="3" topLeftCell="A4" activePane="bottomLeft" state="frozen"/>
      <selection pane="bottomLeft" activeCell="B4" sqref="B4"/>
    </sheetView>
  </sheetViews>
  <sheetFormatPr baseColWidth="8" defaultRowHeight="14.5"/>
  <cols>
    <col width="34" customWidth="1" style="29" min="1" max="1"/>
    <col width="24" customWidth="1" style="29" min="2" max="2"/>
    <col width="22" customWidth="1" style="29" min="3" max="4"/>
  </cols>
  <sheetData>
    <row r="1" ht="19.5" customHeight="1" s="29">
      <c r="A1" s="38" t="inlineStr">
        <is>
          <t>SD P4 – Emergency</t>
        </is>
      </c>
    </row>
    <row r="2"/>
    <row r="3" ht="15.5" customHeight="1" s="29">
      <c r="A3" s="31" t="inlineStr">
        <is>
          <t>Inputs</t>
        </is>
      </c>
      <c r="B3" s="39" t="n"/>
      <c r="C3" s="39" t="n"/>
      <c r="D3" s="40" t="n"/>
    </row>
    <row r="4">
      <c r="A4" s="5" t="inlineStr">
        <is>
          <t>Periodic Deposit (PMT)</t>
        </is>
      </c>
      <c r="B4" s="6" t="n">
        <v>2500</v>
      </c>
    </row>
    <row r="5">
      <c r="A5" s="5" t="inlineStr">
        <is>
          <t>Annual Interest Rate</t>
        </is>
      </c>
      <c r="B5" s="7" t="n">
        <v>0.065</v>
      </c>
    </row>
    <row r="6">
      <c r="A6" s="5" t="inlineStr">
        <is>
          <t>Term (Years)</t>
        </is>
      </c>
      <c r="B6" s="8" t="n">
        <v>10</v>
      </c>
    </row>
    <row r="7">
      <c r="A7" s="5" t="inlineStr">
        <is>
          <t>Compounds per Year</t>
        </is>
      </c>
      <c r="B7" s="9" t="n">
        <v>52</v>
      </c>
    </row>
    <row r="8"/>
    <row r="9"/>
    <row r="10" ht="15.5" customHeight="1" s="29">
      <c r="A10" s="33" t="inlineStr">
        <is>
          <t>Outputs</t>
        </is>
      </c>
      <c r="B10" s="39" t="n"/>
      <c r="C10" s="39" t="n"/>
      <c r="D10" s="40" t="n"/>
    </row>
    <row r="11"/>
    <row r="12">
      <c r="A12" s="10" t="inlineStr">
        <is>
          <t>Future Value of Deposits (FV)</t>
        </is>
      </c>
      <c r="B12" s="11">
        <f>FV(B5/B7, B6*B7, -B4, 0, 0)</f>
        <v/>
      </c>
    </row>
    <row r="13">
      <c r="A13" s="10" t="inlineStr">
        <is>
          <t>Total Deposited</t>
        </is>
      </c>
      <c r="B13" s="11">
        <f>B4 * B6 * B7</f>
        <v/>
      </c>
    </row>
    <row r="14">
      <c r="A14" s="10" t="inlineStr">
        <is>
          <t>Total Interest (FV - Total Deposited)</t>
        </is>
      </c>
      <c r="B14" s="11">
        <f>B12 - B13</f>
        <v/>
      </c>
    </row>
    <row r="15"/>
    <row r="16">
      <c r="A16" s="41" t="inlineStr">
        <is>
          <t>Compounding: Weekly. FV(rate/CPY, years*CPY, -PMT, 0, 0).</t>
        </is>
      </c>
    </row>
    <row r="17" ht="15.5" customHeight="1" s="29">
      <c r="A17" s="35" t="inlineStr">
        <is>
          <t>Sign Convention Reference</t>
        </is>
      </c>
      <c r="B17" s="39" t="n"/>
      <c r="C17" s="39" t="n"/>
      <c r="D17" s="40" t="n"/>
    </row>
    <row r="18">
      <c r="A18" s="12" t="inlineStr">
        <is>
          <t>Item</t>
        </is>
      </c>
      <c r="B18" s="12" t="inlineStr">
        <is>
          <t>Interpretation</t>
        </is>
      </c>
      <c r="C18" s="12" t="inlineStr">
        <is>
          <t>Typical Sign</t>
        </is>
      </c>
      <c r="D18" s="12" t="inlineStr">
        <is>
          <t>Excel Entry</t>
        </is>
      </c>
    </row>
    <row r="19">
      <c r="A19" s="13" t="inlineStr">
        <is>
          <t>PV</t>
        </is>
      </c>
      <c r="B19" s="13" t="inlineStr">
        <is>
          <t>Initial investment (lump sum)</t>
        </is>
      </c>
      <c r="C19" s="14" t="inlineStr">
        <is>
          <t>– (outflow)</t>
        </is>
      </c>
      <c r="D19" s="13" t="inlineStr">
        <is>
          <t>Enter pv as negative in FV()</t>
        </is>
      </c>
    </row>
    <row r="20">
      <c r="A20" s="13" t="inlineStr">
        <is>
          <t>PMT</t>
        </is>
      </c>
      <c r="B20" s="13" t="inlineStr">
        <is>
          <t>Periodic deposit (series)</t>
        </is>
      </c>
      <c r="C20" s="14" t="inlineStr">
        <is>
          <t>– (outflow)</t>
        </is>
      </c>
      <c r="D20" s="13" t="inlineStr">
        <is>
          <t>Enter pmt as negative in FV()</t>
        </is>
      </c>
    </row>
    <row r="21">
      <c r="A21" s="13" t="inlineStr">
        <is>
          <t>FV</t>
        </is>
      </c>
      <c r="B21" s="13" t="inlineStr">
        <is>
          <t>Amount received at the end</t>
        </is>
      </c>
      <c r="C21" s="14" t="inlineStr">
        <is>
          <t>+ (inflow)</t>
        </is>
      </c>
      <c r="D21" s="13" t="inlineStr">
        <is>
          <t>FV result positive</t>
        </is>
      </c>
    </row>
    <row r="22"/>
    <row r="23">
      <c r="A23" s="30" t="inlineStr">
        <is>
          <t>Tip: At least one of PV, PMT, or FV must be negative to indicate direction.</t>
        </is>
      </c>
      <c r="B23" s="39" t="n"/>
      <c r="C23" s="39" t="n"/>
      <c r="D23" s="40"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17:D17"/>
    <mergeCell ref="A3:D3"/>
    <mergeCell ref="A16:D16"/>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2025-10-30T03:52:36Z</dcterms:created>
  <dcterms:modified xmlns:dcterms="http://purl.org/dc/terms/" xmlns:xsi="http://www.w3.org/2001/XMLSchema-instance" xsi:type="dcterms:W3CDTF">2026-01-01T17:29:11Z</dcterms:modified>
  <cp:lastModifiedBy>srikanthyadav444p</cp:lastModifiedBy>
</cp:coreProperties>
</file>