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R P0 – Required Rate (Monthly)" sheetId="3" state="visible" r:id="rId3"/>
    <sheet xmlns:r="http://schemas.openxmlformats.org/officeDocument/2006/relationships" name="R P1 – College (Quarterly)" sheetId="4" state="visible" r:id="rId4"/>
    <sheet xmlns:r="http://schemas.openxmlformats.org/officeDocument/2006/relationships" name="R P2 – Vacation (Annual)" sheetId="5" state="visible" r:id="rId5"/>
    <sheet xmlns:r="http://schemas.openxmlformats.org/officeDocument/2006/relationships" name="R P3 – Emergency (Monthly)" sheetId="6" state="visible" r:id="rId6"/>
    <sheet xmlns:r="http://schemas.openxmlformats.org/officeDocument/2006/relationships" name="R P4 – Retirement (Semiannual)" sheetId="7" state="visible" r:id="rId7"/>
  </sheets>
  <definedNames/>
  <calcPr calcId="191029" fullCalcOnLoad="1"/>
</workbook>
</file>

<file path=xl/styles.xml><?xml version="1.0" encoding="utf-8"?>
<styleSheet xmlns="http://schemas.openxmlformats.org/spreadsheetml/2006/main">
  <numFmts count="5">
    <numFmt numFmtId="164" formatCode="\₹\ ###,##0.00"/>
    <numFmt numFmtId="165" formatCode="0&quot; Years&quot;"/>
    <numFmt numFmtId="166" formatCode="0&quot; Times&quot;"/>
    <numFmt numFmtId="167" formatCode="0&quot; = End (use 1 for Begin)&quot;"/>
    <numFmt numFmtId="168" formatCode="0.0000%"/>
  </numFmts>
  <fonts count="11">
    <font>
      <name val="Calibri"/>
      <family val="2"/>
      <color theme="1"/>
      <sz val="11"/>
      <scheme val="minor"/>
    </font>
    <font>
      <name val="Calibri"/>
      <family val="2"/>
      <sz val="11"/>
    </font>
    <font>
      <name val="Calibri"/>
      <family val="2"/>
      <b val="1"/>
      <sz val="15"/>
    </font>
    <font>
      <name val="Calibri"/>
      <family val="2"/>
      <b val="1"/>
      <sz val="12"/>
    </font>
    <font>
      <name val="Calibri"/>
      <family val="2"/>
      <b val="1"/>
      <sz val="11"/>
    </font>
    <font>
      <name val="Calibri"/>
      <family val="2"/>
      <color theme="10"/>
      <sz val="12"/>
      <scheme val="minor"/>
    </font>
    <font>
      <name val="Calibri"/>
      <family val="2"/>
      <color theme="1"/>
      <sz val="11"/>
      <scheme val="minor"/>
    </font>
    <font>
      <name val="Calibri"/>
      <family val="2"/>
      <b val="1"/>
      <color theme="1"/>
      <sz val="11"/>
      <scheme val="minor"/>
    </font>
    <font>
      <name val="Calibri"/>
      <family val="2"/>
      <b val="1"/>
      <color theme="1"/>
      <sz val="24"/>
      <scheme val="minor"/>
    </font>
    <font>
      <name val="Calibri"/>
      <family val="2"/>
      <b val="1"/>
      <color theme="1"/>
      <sz val="18"/>
      <scheme val="minor"/>
    </font>
    <font>
      <name val="Calibri"/>
      <family val="2"/>
      <i val="1"/>
      <color theme="1"/>
      <sz val="11"/>
      <scheme val="minor"/>
    </font>
  </fonts>
  <fills count="13">
    <fill>
      <patternFill/>
    </fill>
    <fill>
      <patternFill patternType="gray125"/>
    </fill>
    <fill>
      <patternFill patternType="solid">
        <fgColor rgb="FFE3F2FD"/>
      </patternFill>
    </fill>
    <fill>
      <patternFill patternType="solid">
        <fgColor rgb="FFD7EEF9"/>
      </patternFill>
    </fill>
    <fill>
      <patternFill patternType="solid">
        <fgColor rgb="FFFDE9D9"/>
      </patternFill>
    </fill>
    <fill>
      <patternFill patternType="solid">
        <fgColor rgb="FFFFF4EC"/>
      </patternFill>
    </fill>
    <fill>
      <patternFill patternType="solid">
        <fgColor rgb="FFE2F0D9"/>
      </patternFill>
    </fill>
    <fill>
      <patternFill patternType="solid">
        <fgColor rgb="FFF7FBF4"/>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6" fillId="0" borderId="1"/>
    <xf numFmtId="164" fontId="1" fillId="0" borderId="1" applyAlignment="1">
      <alignment horizontal="right" vertical="center"/>
    </xf>
    <xf numFmtId="168" fontId="1" fillId="0" borderId="1" applyAlignment="1">
      <alignment horizontal="right" vertical="center"/>
    </xf>
    <xf numFmtId="1" fontId="1" fillId="0" borderId="1" applyAlignment="1">
      <alignment horizontal="right" vertical="center"/>
    </xf>
    <xf numFmtId="0" fontId="5" fillId="0" borderId="1"/>
    <xf numFmtId="0" fontId="6" fillId="0" borderId="1"/>
  </cellStyleXfs>
  <cellXfs count="47">
    <xf numFmtId="0" fontId="0" fillId="0" borderId="0" pivotButton="0" quotePrefix="0" xfId="0"/>
    <xf numFmtId="0" fontId="3" fillId="2" borderId="2" applyAlignment="1" pivotButton="0" quotePrefix="0" xfId="0">
      <alignment horizontal="center" vertical="center"/>
    </xf>
    <xf numFmtId="0" fontId="0" fillId="0" borderId="2" applyAlignment="1" pivotButton="0" quotePrefix="0" xfId="0">
      <alignment horizontal="center" vertical="center"/>
    </xf>
    <xf numFmtId="0" fontId="0" fillId="0" borderId="2" pivotButton="0" quotePrefix="0" xfId="0"/>
    <xf numFmtId="0" fontId="5" fillId="0" borderId="2" pivotButton="0" quotePrefix="0" xfId="4"/>
    <xf numFmtId="164" fontId="0" fillId="0" borderId="2" applyAlignment="1" pivotButton="0" quotePrefix="0" xfId="0">
      <alignment horizontal="right" vertical="center"/>
    </xf>
    <xf numFmtId="0" fontId="4" fillId="3" borderId="2" applyAlignment="1" pivotButton="0" quotePrefix="0" xfId="0">
      <alignment horizontal="left" vertical="center"/>
    </xf>
    <xf numFmtId="164" fontId="1" fillId="0" borderId="1" applyAlignment="1" pivotButton="0" quotePrefix="0" xfId="1">
      <alignment horizontal="right" vertical="center"/>
    </xf>
    <xf numFmtId="165" fontId="1" fillId="0" borderId="1" applyAlignment="1" pivotButton="0" quotePrefix="0" xfId="3">
      <alignment horizontal="right" vertical="center"/>
    </xf>
    <xf numFmtId="166" fontId="1" fillId="0" borderId="1" applyAlignment="1" pivotButton="0" quotePrefix="0" xfId="3">
      <alignment horizontal="right" vertical="center"/>
    </xf>
    <xf numFmtId="167" fontId="1" fillId="0" borderId="1" applyAlignment="1" pivotButton="0" quotePrefix="0" xfId="3">
      <alignment horizontal="right" vertical="center"/>
    </xf>
    <xf numFmtId="0" fontId="4" fillId="5" borderId="2" pivotButton="0" quotePrefix="0" xfId="0"/>
    <xf numFmtId="168" fontId="0" fillId="0" borderId="2" applyAlignment="1" pivotButton="0" quotePrefix="0" xfId="0">
      <alignment horizontal="right" vertical="center"/>
    </xf>
    <xf numFmtId="0" fontId="4" fillId="6" borderId="2" applyAlignment="1" pivotButton="0" quotePrefix="0" xfId="0">
      <alignment horizontal="center" vertical="center"/>
    </xf>
    <xf numFmtId="0" fontId="0" fillId="7" borderId="2" applyAlignment="1" pivotButton="0" quotePrefix="0" xfId="0">
      <alignment horizontal="left" vertical="center"/>
    </xf>
    <xf numFmtId="0" fontId="0" fillId="7" borderId="2" applyAlignment="1" pivotButton="0" quotePrefix="0" xfId="0">
      <alignment horizontal="center"/>
    </xf>
    <xf numFmtId="0" fontId="8" fillId="0" borderId="1" applyAlignment="1" pivotButton="0" quotePrefix="0" xfId="5">
      <alignment vertical="center"/>
    </xf>
    <xf numFmtId="0" fontId="6" fillId="0" borderId="1" pivotButton="0" quotePrefix="0" xfId="5"/>
    <xf numFmtId="0" fontId="9" fillId="0" borderId="1" applyAlignment="1" pivotButton="0" quotePrefix="0" xfId="5">
      <alignment vertical="center"/>
    </xf>
    <xf numFmtId="0" fontId="9" fillId="9" borderId="1" applyAlignment="1" pivotButton="0" quotePrefix="0" xfId="5">
      <alignment vertical="center"/>
    </xf>
    <xf numFmtId="0" fontId="6" fillId="9" borderId="1" pivotButton="0" quotePrefix="0" xfId="5"/>
    <xf numFmtId="0" fontId="9" fillId="10" borderId="1" applyAlignment="1" pivotButton="0" quotePrefix="0" xfId="5">
      <alignment vertical="center"/>
    </xf>
    <xf numFmtId="0" fontId="7" fillId="11" borderId="1" applyAlignment="1" pivotButton="0" quotePrefix="0" xfId="5">
      <alignment vertical="top" wrapText="1"/>
    </xf>
    <xf numFmtId="0" fontId="6" fillId="0" borderId="1" applyAlignment="1" pivotButton="0" quotePrefix="0" xfId="5">
      <alignment horizontal="left" vertical="center" indent="1"/>
    </xf>
    <xf numFmtId="0" fontId="7" fillId="0" borderId="1" pivotButton="0" quotePrefix="0" xfId="5"/>
    <xf numFmtId="0" fontId="7" fillId="0" borderId="1" applyAlignment="1" pivotButton="0" quotePrefix="0" xfId="5">
      <alignment horizontal="left" vertical="center" indent="1"/>
    </xf>
    <xf numFmtId="0" fontId="6" fillId="8" borderId="1" applyAlignment="1" pivotButton="0" quotePrefix="0" xfId="5">
      <alignment horizontal="justify" vertical="justify" wrapText="1"/>
    </xf>
    <xf numFmtId="0" fontId="6" fillId="8" borderId="1" applyAlignment="1" pivotButton="0" quotePrefix="0" xfId="5">
      <alignment horizontal="left" vertical="top" wrapText="1"/>
    </xf>
    <xf numFmtId="0" fontId="6" fillId="12" borderId="1" applyAlignment="1" pivotButton="0" quotePrefix="0" xfId="5">
      <alignment horizontal="justify" vertical="justify" wrapText="1"/>
    </xf>
    <xf numFmtId="0" fontId="2" fillId="0" borderId="0" applyAlignment="1" pivotButton="0" quotePrefix="0" xfId="0">
      <alignment horizontal="center" vertical="center"/>
    </xf>
    <xf numFmtId="0" fontId="0" fillId="0" borderId="0" pivotButton="0" quotePrefix="0" xfId="0"/>
    <xf numFmtId="0" fontId="0" fillId="0" borderId="2" applyAlignment="1" pivotButton="0" quotePrefix="0" xfId="0">
      <alignment horizontal="left" vertical="center"/>
    </xf>
    <xf numFmtId="0" fontId="3" fillId="3" borderId="2" applyAlignment="1" pivotButton="0" quotePrefix="0" xfId="0">
      <alignment horizontal="center" vertical="center"/>
    </xf>
    <xf numFmtId="0" fontId="0" fillId="0" borderId="2" pivotButton="0" quotePrefix="0" xfId="0"/>
    <xf numFmtId="0" fontId="3" fillId="4" borderId="2" applyAlignment="1" pivotButton="0" quotePrefix="0" xfId="0">
      <alignment horizontal="center" vertical="center"/>
    </xf>
    <xf numFmtId="0" fontId="0" fillId="0" borderId="0" applyAlignment="1" pivotButton="0" quotePrefix="0" xfId="0">
      <alignment horizontal="left" vertical="center"/>
    </xf>
    <xf numFmtId="0" fontId="3" fillId="6" borderId="2" applyAlignment="1" pivotButton="0" quotePrefix="0" xfId="0">
      <alignment horizontal="center" vertical="center"/>
    </xf>
    <xf numFmtId="0" fontId="9" fillId="0" borderId="0" applyAlignment="1" pivotButton="0" quotePrefix="0" xfId="0">
      <alignment vertical="center"/>
    </xf>
    <xf numFmtId="0" fontId="10" fillId="0" borderId="0" pivotButton="0" quotePrefix="0" xfId="0"/>
    <xf numFmtId="0" fontId="2" fillId="0" borderId="1" applyAlignment="1" pivotButton="0" quotePrefix="0" xfId="0">
      <alignment horizontal="center" vertical="center"/>
    </xf>
    <xf numFmtId="0" fontId="0" fillId="0" borderId="5" pivotButton="0" quotePrefix="0" xfId="0"/>
    <xf numFmtId="0" fontId="0" fillId="0" borderId="6" pivotButton="0" quotePrefix="0" xfId="0"/>
    <xf numFmtId="165" fontId="1" fillId="0" borderId="1" applyAlignment="1" pivotButton="0" quotePrefix="0" xfId="3">
      <alignment horizontal="right" vertical="center"/>
    </xf>
    <xf numFmtId="166" fontId="1" fillId="0" borderId="1" applyAlignment="1" pivotButton="0" quotePrefix="0" xfId="3">
      <alignment horizontal="right" vertical="center"/>
    </xf>
    <xf numFmtId="167" fontId="1" fillId="0" borderId="1" applyAlignment="1" pivotButton="0" quotePrefix="0" xfId="3">
      <alignment horizontal="right" vertical="center"/>
    </xf>
    <xf numFmtId="168" fontId="0" fillId="0" borderId="2" applyAlignment="1" pivotButton="0" quotePrefix="0" xfId="0">
      <alignment horizontal="right" vertical="center"/>
    </xf>
    <xf numFmtId="0" fontId="0" fillId="0" borderId="1" applyAlignment="1" pivotButton="0" quotePrefix="0" xfId="0">
      <alignment horizontal="left" vertical="center"/>
    </xf>
  </cellXfs>
  <cellStyles count="6">
    <cellStyle name="Normal" xfId="0" builtinId="0"/>
    <cellStyle name="inr_right" xfId="1"/>
    <cellStyle name="pct_right" xfId="2"/>
    <cellStyle name="int_right" xfId="3"/>
    <cellStyle name="Hyperlink" xfId="4" builtinId="8"/>
    <cellStyle name="Normal 2" xf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19785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E18" sqref="E18:H28"/>
    </sheetView>
  </sheetViews>
  <sheetFormatPr baseColWidth="8" defaultRowHeight="14.5"/>
  <cols>
    <col width="8.7265625" customWidth="1" style="17" min="1" max="6"/>
    <col width="13.90625" customWidth="1" style="17" min="7" max="7"/>
    <col width="6.81640625" customWidth="1" style="17" min="8" max="8"/>
    <col width="65.1796875" customWidth="1" style="17" min="9" max="9"/>
    <col width="16.6328125" customWidth="1" style="17" min="10" max="10"/>
    <col width="8.7265625" customWidth="1" style="17" min="11" max="16384"/>
  </cols>
  <sheetData>
    <row r="1" ht="31" customHeight="1" s="30">
      <c r="A1" s="16" t="inlineStr">
        <is>
          <t>FINANCIAL MODELING USING EXCEL</t>
        </is>
      </c>
    </row>
    <row r="2"/>
    <row r="3" ht="23.5" customHeight="1" s="30">
      <c r="A3" s="37" t="inlineStr">
        <is>
          <t>Goal-Based Required Rate of Return Modeling Using Excel</t>
        </is>
      </c>
    </row>
    <row r="4"/>
    <row r="5">
      <c r="A5" s="38" t="inlineStr">
        <is>
          <t>Time Value of Money and Target-Driven Investment Planning</t>
        </is>
      </c>
    </row>
    <row r="6"/>
    <row r="7" ht="23.5" customHeight="1" s="30">
      <c r="A7" s="18" t="inlineStr">
        <is>
          <t>Workbook Purpose</t>
        </is>
      </c>
    </row>
    <row r="8"/>
    <row r="9" ht="129" customHeight="1" s="30">
      <c r="A9" s="26" t="inlineStr">
        <is>
          <t>This workbook is designed to analyze goal-based financial planning problems where the required rate of return must be determined to achieve a predefined future financial target. Using Excel, the workbook translates real-life financial goals into structured time value of money models that solve for the interest rate consistent with the goal, contribution pattern, and time horizon.
The workbook focuses on multiple goal scenarios—such as education, vacation, emergency corpus, and retirement—each with different compounding frequencies. By building these models in Excel, learners gain a clear understanding of how required returns vary across goals and how financial feasibility can be assessed quantitatively before making investment decisions.</t>
        </is>
      </c>
    </row>
    <row r="10"/>
    <row r="11"/>
    <row r="12"/>
    <row r="13"/>
    <row r="14"/>
    <row r="15" ht="23.5" customHeight="1" s="30">
      <c r="A15" s="19" t="inlineStr">
        <is>
          <t>Key Concepts Covered</t>
        </is>
      </c>
      <c r="B15" s="20" t="n"/>
      <c r="C15" s="20" t="n"/>
      <c r="D15" s="20" t="n"/>
      <c r="E15" s="20" t="n"/>
      <c r="F15" s="20" t="n"/>
      <c r="G15" s="20" t="n"/>
      <c r="I15" s="21" t="inlineStr">
        <is>
          <t>Excel Functions Used</t>
        </is>
      </c>
    </row>
    <row r="16" ht="255.5" customHeight="1" s="30">
      <c r="A16" s="27" t="inlineStr">
        <is>
          <t>Goal-based financial planning framework
Time value of money in target-driven decision making
Required rate of return as a feasibility metric
Relationship between present value, future goal, and time horizon
Impact of compounding frequency on required returns
Interpretation of required rates across short-term and long-term goals
Practical financial planning applications for individuals and households</t>
        </is>
      </c>
      <c r="I16" s="22" t="inlineStr">
        <is>
          <t>RATE – Computes the required rate of return to meet a financial goal
NPER – Aligns investment horizon with compounding frequency
FV – Represents target corpus values for each goal
PMT – Models periodic savings or contributions where applicable
IF – Manages scenario-specific logic and boundary conditions
ABS – Enforces consistent cash-flow sign conventions
The workbook emphasizes disciplined frequency alignment, correct cash-flow direction, and clear interpretation of required return outputs.</t>
        </is>
      </c>
    </row>
    <row r="17">
      <c r="A17" s="23" t="n"/>
    </row>
    <row r="18">
      <c r="A18" s="23" t="n"/>
      <c r="E18" s="28"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4" t="n"/>
    </row>
    <row r="19">
      <c r="A19" s="23" t="n"/>
    </row>
    <row r="20">
      <c r="A20" s="23" t="n"/>
      <c r="I20" s="24" t="n"/>
    </row>
    <row r="21">
      <c r="A21" s="23" t="n"/>
    </row>
    <row r="22">
      <c r="A22" s="23" t="n"/>
      <c r="I22" s="24" t="n"/>
    </row>
    <row r="23">
      <c r="A23" s="23" t="n"/>
    </row>
    <row r="24">
      <c r="A24" s="23" t="n"/>
      <c r="I24" s="24" t="n"/>
    </row>
    <row r="25">
      <c r="A25" s="23" t="n"/>
    </row>
    <row r="26">
      <c r="A26" s="23" t="n"/>
      <c r="I26" s="24" t="n"/>
    </row>
    <row r="27">
      <c r="A27" s="23" t="n"/>
    </row>
    <row r="28">
      <c r="A28" s="23" t="n"/>
      <c r="I28" s="24" t="n"/>
    </row>
    <row r="29">
      <c r="A29" s="23" t="n"/>
    </row>
    <row r="30">
      <c r="A30" s="23" t="n"/>
      <c r="I30" s="24" t="n"/>
    </row>
    <row r="31">
      <c r="A31" s="23" t="n"/>
      <c r="I31" s="23" t="n"/>
    </row>
    <row r="32">
      <c r="A32" s="23" t="n"/>
      <c r="I32" s="25" t="n"/>
    </row>
    <row r="33">
      <c r="A33" s="23"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F7"/>
  <sheetViews>
    <sheetView workbookViewId="0">
      <pane ySplit="2" topLeftCell="A3" activePane="bottomLeft" state="frozen"/>
      <selection pane="bottomLeft" activeCell="A1" sqref="A1:F1"/>
    </sheetView>
  </sheetViews>
  <sheetFormatPr baseColWidth="8" defaultRowHeight="14.5"/>
  <cols>
    <col width="7" customWidth="1" style="30" min="1" max="1"/>
    <col width="52" customWidth="1" style="30" min="2" max="2"/>
    <col width="20" customWidth="1" style="30" min="3" max="3"/>
    <col width="18" customWidth="1" style="30" min="4" max="4"/>
    <col width="22" customWidth="1" style="30" min="5" max="5"/>
    <col width="46" customWidth="1" style="30" min="6" max="6"/>
  </cols>
  <sheetData>
    <row r="1" ht="19.5" customHeight="1" s="30">
      <c r="A1" s="39" t="inlineStr">
        <is>
          <t>Working Toward an Investment Goal – RATE Set (Contents)</t>
        </is>
      </c>
    </row>
    <row r="2" ht="15.5" customHeight="1" s="30">
      <c r="A2" s="1" t="inlineStr">
        <is>
          <t>S.No</t>
        </is>
      </c>
      <c r="B2" s="1" t="inlineStr">
        <is>
          <t>Problem Title</t>
        </is>
      </c>
      <c r="C2" s="1" t="inlineStr">
        <is>
          <t>Sheet Link</t>
        </is>
      </c>
      <c r="D2" s="1" t="inlineStr">
        <is>
          <t>Compounding</t>
        </is>
      </c>
      <c r="E2" s="1" t="inlineStr">
        <is>
          <t>Goal (FV)</t>
        </is>
      </c>
      <c r="F2" s="1" t="inlineStr">
        <is>
          <t>Notes</t>
        </is>
      </c>
    </row>
    <row r="3" ht="15.5" customHeight="1" s="30">
      <c r="A3" s="2" t="n">
        <v>1</v>
      </c>
      <c r="B3" s="33" t="inlineStr">
        <is>
          <t>Problem 0 – Required Interest (Monthly)</t>
        </is>
      </c>
      <c r="C3" s="4" t="inlineStr">
        <is>
          <t>Go to sheet</t>
        </is>
      </c>
      <c r="D3" s="33" t="inlineStr">
        <is>
          <t>Monthly</t>
        </is>
      </c>
      <c r="E3" s="5" t="n">
        <v>5000000</v>
      </c>
      <c r="F3" s="33" t="inlineStr">
        <is>
          <t>PV/PMT entered as negatives; FV positive.</t>
        </is>
      </c>
    </row>
    <row r="4" ht="15.5" customHeight="1" s="30">
      <c r="A4" s="2" t="n">
        <v>2</v>
      </c>
      <c r="B4" s="33" t="inlineStr">
        <is>
          <t>Problem 1 – College Fund (Quarterly)</t>
        </is>
      </c>
      <c r="C4" s="4" t="inlineStr">
        <is>
          <t>Go to sheet</t>
        </is>
      </c>
      <c r="D4" s="33" t="inlineStr">
        <is>
          <t>Quarterly</t>
        </is>
      </c>
      <c r="E4" s="5" t="n">
        <v>3000000</v>
      </c>
      <c r="F4" s="33" t="inlineStr">
        <is>
          <t>PV/PMT entered as negatives; FV positive.</t>
        </is>
      </c>
    </row>
    <row r="5" ht="15.5" customHeight="1" s="30">
      <c r="A5" s="2" t="n">
        <v>3</v>
      </c>
      <c r="B5" s="33" t="inlineStr">
        <is>
          <t>Problem 2 – Vacation Fund (Annual)</t>
        </is>
      </c>
      <c r="C5" s="4" t="inlineStr">
        <is>
          <t>Go to sheet</t>
        </is>
      </c>
      <c r="D5" s="33" t="inlineStr">
        <is>
          <t>Annually</t>
        </is>
      </c>
      <c r="E5" s="5" t="n">
        <v>1000000</v>
      </c>
      <c r="F5" s="33" t="inlineStr">
        <is>
          <t>PV/PMT entered as negatives; FV positive.</t>
        </is>
      </c>
    </row>
    <row r="6" ht="15.5" customHeight="1" s="30">
      <c r="A6" s="2" t="n">
        <v>4</v>
      </c>
      <c r="B6" s="33" t="inlineStr">
        <is>
          <t>Problem 3 – Emergency Fund (Monthly, No PV)</t>
        </is>
      </c>
      <c r="C6" s="4" t="inlineStr">
        <is>
          <t>Go to sheet</t>
        </is>
      </c>
      <c r="D6" s="33" t="inlineStr">
        <is>
          <t>Monthly</t>
        </is>
      </c>
      <c r="E6" s="5" t="n">
        <v>500000</v>
      </c>
      <c r="F6" s="33" t="inlineStr">
        <is>
          <t>PV/PMT entered as negatives; FV positive.</t>
        </is>
      </c>
    </row>
    <row r="7" ht="15.5" customHeight="1" s="30">
      <c r="A7" s="2" t="n">
        <v>5</v>
      </c>
      <c r="B7" s="33" t="inlineStr">
        <is>
          <t>Problem 4 – Retirement Fund (Semiannual, No PV)</t>
        </is>
      </c>
      <c r="C7" s="4" t="inlineStr">
        <is>
          <t>Go to sheet</t>
        </is>
      </c>
      <c r="D7" s="33" t="inlineStr">
        <is>
          <t>Semiannually</t>
        </is>
      </c>
      <c r="E7" s="5" t="n">
        <v>10000000</v>
      </c>
      <c r="F7" s="33" t="inlineStr">
        <is>
          <t>PV/PMT entered as negatives; FV positive.</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F1"/>
  </mergeCells>
  <hyperlinks>
    <hyperlink ref="C3" location="'R P0 – Required Rate (Monthly)'!A1" display="Go to sheet"/>
    <hyperlink ref="C4" location="'R P1 – College (Quarterly)'!A1" display="Go to sheet"/>
    <hyperlink ref="C5" location="'R P2 – Vacation (Annual)'!A1" display="Go to sheet"/>
    <hyperlink ref="C6" location="'R P3 – Emergency (Monthly)'!A1" display="Go to sheet"/>
    <hyperlink ref="C7" location="'R P4 – Retirement (Semiannual)'!A1" display="Go to sheet"/>
  </hyperlinks>
  <pageMargins left="0.75" right="0.75" top="1" bottom="1" header="0.5" footer="0.5"/>
</worksheet>
</file>

<file path=xl/worksheets/sheet3.xml><?xml version="1.0" encoding="utf-8"?>
<worksheet xmlns="http://schemas.openxmlformats.org/spreadsheetml/2006/main">
  <sheetPr>
    <tabColor rgb="FF8FAADC"/>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4.5"/>
  <cols>
    <col width="36" customWidth="1" style="30" min="1" max="1"/>
    <col width="26" customWidth="1" style="30" min="2" max="2"/>
    <col width="22" customWidth="1" style="30" min="3" max="4"/>
  </cols>
  <sheetData>
    <row r="1" ht="19.5" customHeight="1" s="30">
      <c r="A1" s="39" t="inlineStr">
        <is>
          <t>R P0 – Required Rate (Monthly)</t>
        </is>
      </c>
    </row>
    <row r="2"/>
    <row r="3" ht="15.5" customHeight="1" s="30">
      <c r="A3" s="32" t="inlineStr">
        <is>
          <t>Inputs</t>
        </is>
      </c>
      <c r="B3" s="40" t="n"/>
      <c r="C3" s="40" t="n"/>
      <c r="D3" s="41" t="n"/>
    </row>
    <row r="4">
      <c r="A4" s="6" t="inlineStr">
        <is>
          <t>Target Amount (FV)</t>
        </is>
      </c>
      <c r="B4" s="7" t="n">
        <v>5000000</v>
      </c>
    </row>
    <row r="5">
      <c r="A5" s="6" t="inlineStr">
        <is>
          <t>Initial Deposit (PV)</t>
        </is>
      </c>
      <c r="B5" s="7" t="n">
        <v>500000</v>
      </c>
    </row>
    <row r="6">
      <c r="A6" s="6" t="inlineStr">
        <is>
          <t>Periodic Deposit (PMT)</t>
        </is>
      </c>
      <c r="B6" s="7" t="n">
        <v>10000</v>
      </c>
    </row>
    <row r="7">
      <c r="A7" s="6" t="inlineStr">
        <is>
          <t>Term (Years)</t>
        </is>
      </c>
      <c r="B7" s="42" t="n">
        <v>15</v>
      </c>
    </row>
    <row r="8">
      <c r="A8" s="6" t="inlineStr">
        <is>
          <t>Compounds per Year</t>
        </is>
      </c>
      <c r="B8" s="43" t="n">
        <v>12</v>
      </c>
    </row>
    <row r="9">
      <c r="A9" s="6" t="inlineStr">
        <is>
          <t>Deposit Timing (TYPE)</t>
        </is>
      </c>
      <c r="B9" s="44" t="n">
        <v>0</v>
      </c>
    </row>
    <row r="10"/>
    <row r="11" ht="15.5" customHeight="1" s="30">
      <c r="A11" s="34" t="inlineStr">
        <is>
          <t>Outputs</t>
        </is>
      </c>
      <c r="B11" s="40" t="n"/>
      <c r="C11" s="40" t="n"/>
      <c r="D11" s="41" t="n"/>
    </row>
    <row r="12"/>
    <row r="13">
      <c r="A13" s="11" t="inlineStr">
        <is>
          <t>Required Rate per Period</t>
        </is>
      </c>
      <c r="B13" s="45">
        <f>RATE(B7*B8, -B6, -B5, B4, B9)</f>
        <v/>
      </c>
    </row>
    <row r="14">
      <c r="A14" s="11" t="inlineStr">
        <is>
          <t>Equivalent Annual Rate (approx = period × CPY)</t>
        </is>
      </c>
      <c r="B14" s="45">
        <f>B13*B8</f>
        <v/>
      </c>
    </row>
    <row r="15">
      <c r="A15" s="11" t="inlineStr">
        <is>
          <t>Effective Annual Rate (EAR)</t>
        </is>
      </c>
      <c r="B15" s="45">
        <f>(1+B13)^B8-1</f>
        <v/>
      </c>
    </row>
    <row r="16">
      <c r="A16" s="46" t="inlineStr">
        <is>
          <t>Compounding: Monthly. RATE(nper, -PMT, -PV, FV, TYPE).</t>
        </is>
      </c>
    </row>
    <row r="17"/>
    <row r="18" ht="15.5" customHeight="1" s="30">
      <c r="A18" s="36"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 (outflow)</t>
        </is>
      </c>
      <c r="D20" s="14" t="inlineStr">
        <is>
          <t>Enter pv as negative</t>
        </is>
      </c>
    </row>
    <row r="21">
      <c r="A21" s="14" t="inlineStr">
        <is>
          <t>PMT</t>
        </is>
      </c>
      <c r="B21" s="14" t="inlineStr">
        <is>
          <t>Periodic deposit each period</t>
        </is>
      </c>
      <c r="C21" s="15" t="inlineStr">
        <is>
          <t>– (outflow)</t>
        </is>
      </c>
      <c r="D21" s="14" t="inlineStr">
        <is>
          <t>Enter pmt as negative</t>
        </is>
      </c>
    </row>
    <row r="22">
      <c r="A22" s="14" t="inlineStr">
        <is>
          <t>FV</t>
        </is>
      </c>
      <c r="B22" s="14" t="inlineStr">
        <is>
          <t>Target amount at the end</t>
        </is>
      </c>
      <c r="C22" s="15" t="inlineStr">
        <is>
          <t>+ (inflow)</t>
        </is>
      </c>
      <c r="D22" s="14" t="inlineStr">
        <is>
          <t>Enter fv as positive</t>
        </is>
      </c>
    </row>
    <row r="23">
      <c r="A23" s="14" t="inlineStr">
        <is>
          <t>TYPE</t>
        </is>
      </c>
      <c r="B23" s="14" t="inlineStr">
        <is>
          <t>0 = end; 1 = beginning</t>
        </is>
      </c>
      <c r="C23" s="15" t="inlineStr">
        <is>
          <t>—</t>
        </is>
      </c>
      <c r="D23" s="14" t="inlineStr">
        <is>
          <t>Use 0 for end-of-period deposits</t>
        </is>
      </c>
    </row>
    <row r="24"/>
    <row r="25">
      <c r="A25" s="31" t="inlineStr">
        <is>
          <t>Tip: RATE returns the rate per period. Annual rate = period rate × compounds per year.</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1:D11"/>
  </mergeCells>
  <pageMargins left="0.75" right="0.75" top="1" bottom="1" header="0.5" footer="0.5"/>
</worksheet>
</file>

<file path=xl/worksheets/sheet4.xml><?xml version="1.0" encoding="utf-8"?>
<worksheet xmlns="http://schemas.openxmlformats.org/spreadsheetml/2006/main">
  <sheetPr>
    <tabColor rgb="FF8FAADC"/>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4.5"/>
  <cols>
    <col width="36" customWidth="1" style="30" min="1" max="1"/>
    <col width="26" customWidth="1" style="30" min="2" max="2"/>
    <col width="22" customWidth="1" style="30" min="3" max="4"/>
  </cols>
  <sheetData>
    <row r="1" ht="19.5" customHeight="1" s="30">
      <c r="A1" s="39" t="inlineStr">
        <is>
          <t>R P1 – College (Quarterly)</t>
        </is>
      </c>
    </row>
    <row r="2"/>
    <row r="3" ht="15.5" customHeight="1" s="30">
      <c r="A3" s="32" t="inlineStr">
        <is>
          <t>Inputs</t>
        </is>
      </c>
      <c r="B3" s="40" t="n"/>
      <c r="C3" s="40" t="n"/>
      <c r="D3" s="41" t="n"/>
    </row>
    <row r="4">
      <c r="A4" s="6" t="inlineStr">
        <is>
          <t>Target Amount (FV)</t>
        </is>
      </c>
      <c r="B4" s="7" t="n">
        <v>3000000</v>
      </c>
    </row>
    <row r="5">
      <c r="A5" s="6" t="inlineStr">
        <is>
          <t>Initial Deposit (PV)</t>
        </is>
      </c>
      <c r="B5" s="7" t="n">
        <v>200000</v>
      </c>
    </row>
    <row r="6">
      <c r="A6" s="6" t="inlineStr">
        <is>
          <t>Periodic Deposit (PMT)</t>
        </is>
      </c>
      <c r="B6" s="7" t="n">
        <v>50000</v>
      </c>
    </row>
    <row r="7">
      <c r="A7" s="6" t="inlineStr">
        <is>
          <t>Term (Years)</t>
        </is>
      </c>
      <c r="B7" s="42" t="n">
        <v>12</v>
      </c>
    </row>
    <row r="8">
      <c r="A8" s="6" t="inlineStr">
        <is>
          <t>Compounds per Year</t>
        </is>
      </c>
      <c r="B8" s="43" t="n">
        <v>4</v>
      </c>
    </row>
    <row r="9">
      <c r="A9" s="6" t="inlineStr">
        <is>
          <t>Deposit Timing (TYPE)</t>
        </is>
      </c>
      <c r="B9" s="44" t="n">
        <v>0</v>
      </c>
    </row>
    <row r="10"/>
    <row r="11" ht="15.5" customHeight="1" s="30">
      <c r="A11" s="34" t="inlineStr">
        <is>
          <t>Outputs</t>
        </is>
      </c>
      <c r="B11" s="40" t="n"/>
      <c r="C11" s="40" t="n"/>
      <c r="D11" s="41" t="n"/>
    </row>
    <row r="12"/>
    <row r="13">
      <c r="A13" s="11" t="inlineStr">
        <is>
          <t>Required Rate per Period</t>
        </is>
      </c>
      <c r="B13" s="45">
        <f>RATE(B7*B8, -B6, -B5, B4, B9)</f>
        <v/>
      </c>
    </row>
    <row r="14">
      <c r="A14" s="11" t="inlineStr">
        <is>
          <t>Equivalent Annual Rate (approx = period × CPY)</t>
        </is>
      </c>
      <c r="B14" s="45">
        <f>B13*B8</f>
        <v/>
      </c>
    </row>
    <row r="15">
      <c r="A15" s="11" t="inlineStr">
        <is>
          <t>Effective Annual Rate (EAR)</t>
        </is>
      </c>
      <c r="B15" s="45">
        <f>(1+B13)^B8-1</f>
        <v/>
      </c>
    </row>
    <row r="16">
      <c r="A16" s="46" t="inlineStr">
        <is>
          <t>Compounding: Quarterly. RATE(nper, -PMT, -PV, FV, TYPE).</t>
        </is>
      </c>
    </row>
    <row r="17"/>
    <row r="18" ht="15.5" customHeight="1" s="30">
      <c r="A18" s="36"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 (outflow)</t>
        </is>
      </c>
      <c r="D20" s="14" t="inlineStr">
        <is>
          <t>Enter pv as negative</t>
        </is>
      </c>
    </row>
    <row r="21">
      <c r="A21" s="14" t="inlineStr">
        <is>
          <t>PMT</t>
        </is>
      </c>
      <c r="B21" s="14" t="inlineStr">
        <is>
          <t>Periodic deposit each period</t>
        </is>
      </c>
      <c r="C21" s="15" t="inlineStr">
        <is>
          <t>– (outflow)</t>
        </is>
      </c>
      <c r="D21" s="14" t="inlineStr">
        <is>
          <t>Enter pmt as negative</t>
        </is>
      </c>
    </row>
    <row r="22">
      <c r="A22" s="14" t="inlineStr">
        <is>
          <t>FV</t>
        </is>
      </c>
      <c r="B22" s="14" t="inlineStr">
        <is>
          <t>Target amount at the end</t>
        </is>
      </c>
      <c r="C22" s="15" t="inlineStr">
        <is>
          <t>+ (inflow)</t>
        </is>
      </c>
      <c r="D22" s="14" t="inlineStr">
        <is>
          <t>Enter fv as positive</t>
        </is>
      </c>
    </row>
    <row r="23">
      <c r="A23" s="14" t="inlineStr">
        <is>
          <t>TYPE</t>
        </is>
      </c>
      <c r="B23" s="14" t="inlineStr">
        <is>
          <t>0 = end; 1 = beginning</t>
        </is>
      </c>
      <c r="C23" s="15" t="inlineStr">
        <is>
          <t>—</t>
        </is>
      </c>
      <c r="D23" s="14" t="inlineStr">
        <is>
          <t>Use 0 for end-of-period deposits</t>
        </is>
      </c>
    </row>
    <row r="24"/>
    <row r="25">
      <c r="A25" s="31" t="inlineStr">
        <is>
          <t>Tip: RATE returns the rate per period. Annual rate = period rate × compounds per year.</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1:D11"/>
  </mergeCells>
  <pageMargins left="0.75" right="0.75" top="1" bottom="1" header="0.5" footer="0.5"/>
</worksheet>
</file>

<file path=xl/worksheets/sheet5.xml><?xml version="1.0" encoding="utf-8"?>
<worksheet xmlns="http://schemas.openxmlformats.org/spreadsheetml/2006/main">
  <sheetPr>
    <tabColor rgb="FF8FAADC"/>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4.5"/>
  <cols>
    <col width="36" customWidth="1" style="30" min="1" max="1"/>
    <col width="26" customWidth="1" style="30" min="2" max="2"/>
    <col width="22" customWidth="1" style="30" min="3" max="4"/>
  </cols>
  <sheetData>
    <row r="1" ht="19.5" customHeight="1" s="30">
      <c r="A1" s="39" t="inlineStr">
        <is>
          <t>R P2 – Vacation (Annual)</t>
        </is>
      </c>
    </row>
    <row r="2"/>
    <row r="3" ht="15.5" customHeight="1" s="30">
      <c r="A3" s="32" t="inlineStr">
        <is>
          <t>Inputs</t>
        </is>
      </c>
      <c r="B3" s="40" t="n"/>
      <c r="C3" s="40" t="n"/>
      <c r="D3" s="41" t="n"/>
    </row>
    <row r="4">
      <c r="A4" s="6" t="inlineStr">
        <is>
          <t>Target Amount (FV)</t>
        </is>
      </c>
      <c r="B4" s="7" t="n">
        <v>1000000</v>
      </c>
    </row>
    <row r="5">
      <c r="A5" s="6" t="inlineStr">
        <is>
          <t>Initial Deposit (PV)</t>
        </is>
      </c>
      <c r="B5" s="7" t="n">
        <v>150000</v>
      </c>
    </row>
    <row r="6">
      <c r="A6" s="6" t="inlineStr">
        <is>
          <t>Periodic Deposit (PMT)</t>
        </is>
      </c>
      <c r="B6" s="7" t="n">
        <v>120000</v>
      </c>
    </row>
    <row r="7">
      <c r="A7" s="6" t="inlineStr">
        <is>
          <t>Term (Years)</t>
        </is>
      </c>
      <c r="B7" s="42" t="n">
        <v>5</v>
      </c>
    </row>
    <row r="8">
      <c r="A8" s="6" t="inlineStr">
        <is>
          <t>Compounds per Year</t>
        </is>
      </c>
      <c r="B8" s="43" t="n">
        <v>1</v>
      </c>
    </row>
    <row r="9">
      <c r="A9" s="6" t="inlineStr">
        <is>
          <t>Deposit Timing (TYPE)</t>
        </is>
      </c>
      <c r="B9" s="44" t="n">
        <v>0</v>
      </c>
    </row>
    <row r="10"/>
    <row r="11" ht="15.5" customHeight="1" s="30">
      <c r="A11" s="34" t="inlineStr">
        <is>
          <t>Outputs</t>
        </is>
      </c>
      <c r="B11" s="40" t="n"/>
      <c r="C11" s="40" t="n"/>
      <c r="D11" s="41" t="n"/>
    </row>
    <row r="12"/>
    <row r="13">
      <c r="A13" s="11" t="inlineStr">
        <is>
          <t>Required Rate per Period</t>
        </is>
      </c>
      <c r="B13" s="45">
        <f>RATE(B7*B8, -B6, -B5, B4, B9)</f>
        <v/>
      </c>
    </row>
    <row r="14">
      <c r="A14" s="11" t="inlineStr">
        <is>
          <t>Equivalent Annual Rate (approx = period × CPY)</t>
        </is>
      </c>
      <c r="B14" s="45">
        <f>B13*B8</f>
        <v/>
      </c>
    </row>
    <row r="15">
      <c r="A15" s="11" t="inlineStr">
        <is>
          <t>Effective Annual Rate (EAR)</t>
        </is>
      </c>
      <c r="B15" s="45">
        <f>(1+B13)^B8-1</f>
        <v/>
      </c>
    </row>
    <row r="16">
      <c r="A16" s="46" t="inlineStr">
        <is>
          <t>Compounding: Annually. RATE(nper, -PMT, -PV, FV, TYPE).</t>
        </is>
      </c>
    </row>
    <row r="17"/>
    <row r="18" ht="15.5" customHeight="1" s="30">
      <c r="A18" s="36"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 (outflow)</t>
        </is>
      </c>
      <c r="D20" s="14" t="inlineStr">
        <is>
          <t>Enter pv as negative</t>
        </is>
      </c>
    </row>
    <row r="21">
      <c r="A21" s="14" t="inlineStr">
        <is>
          <t>PMT</t>
        </is>
      </c>
      <c r="B21" s="14" t="inlineStr">
        <is>
          <t>Periodic deposit each period</t>
        </is>
      </c>
      <c r="C21" s="15" t="inlineStr">
        <is>
          <t>– (outflow)</t>
        </is>
      </c>
      <c r="D21" s="14" t="inlineStr">
        <is>
          <t>Enter pmt as negative</t>
        </is>
      </c>
    </row>
    <row r="22">
      <c r="A22" s="14" t="inlineStr">
        <is>
          <t>FV</t>
        </is>
      </c>
      <c r="B22" s="14" t="inlineStr">
        <is>
          <t>Target amount at the end</t>
        </is>
      </c>
      <c r="C22" s="15" t="inlineStr">
        <is>
          <t>+ (inflow)</t>
        </is>
      </c>
      <c r="D22" s="14" t="inlineStr">
        <is>
          <t>Enter fv as positive</t>
        </is>
      </c>
    </row>
    <row r="23">
      <c r="A23" s="14" t="inlineStr">
        <is>
          <t>TYPE</t>
        </is>
      </c>
      <c r="B23" s="14" t="inlineStr">
        <is>
          <t>0 = end; 1 = beginning</t>
        </is>
      </c>
      <c r="C23" s="15" t="inlineStr">
        <is>
          <t>—</t>
        </is>
      </c>
      <c r="D23" s="14" t="inlineStr">
        <is>
          <t>Use 0 for end-of-period deposits</t>
        </is>
      </c>
    </row>
    <row r="24"/>
    <row r="25">
      <c r="A25" s="31" t="inlineStr">
        <is>
          <t>Tip: RATE returns the rate per period. Annual rate = period rate × compounds per year.</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1:D11"/>
  </mergeCells>
  <pageMargins left="0.75" right="0.75" top="1" bottom="1" header="0.5" footer="0.5"/>
</worksheet>
</file>

<file path=xl/worksheets/sheet6.xml><?xml version="1.0" encoding="utf-8"?>
<worksheet xmlns="http://schemas.openxmlformats.org/spreadsheetml/2006/main">
  <sheetPr>
    <tabColor rgb="FF8FAADC"/>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4.5"/>
  <cols>
    <col width="36" customWidth="1" style="30" min="1" max="1"/>
    <col width="26" customWidth="1" style="30" min="2" max="2"/>
    <col width="22" customWidth="1" style="30" min="3" max="4"/>
  </cols>
  <sheetData>
    <row r="1" ht="19.5" customHeight="1" s="30">
      <c r="A1" s="39" t="inlineStr">
        <is>
          <t>R P3 – Emergency (Monthly)</t>
        </is>
      </c>
    </row>
    <row r="2"/>
    <row r="3" ht="15.5" customHeight="1" s="30">
      <c r="A3" s="32" t="inlineStr">
        <is>
          <t>Inputs</t>
        </is>
      </c>
      <c r="B3" s="40" t="n"/>
      <c r="C3" s="40" t="n"/>
      <c r="D3" s="41" t="n"/>
    </row>
    <row r="4">
      <c r="A4" s="6" t="inlineStr">
        <is>
          <t>Target Amount (FV)</t>
        </is>
      </c>
      <c r="B4" s="7" t="n">
        <v>500000</v>
      </c>
    </row>
    <row r="5">
      <c r="A5" s="6" t="inlineStr">
        <is>
          <t>Initial Deposit (PV)</t>
        </is>
      </c>
      <c r="B5" s="7" t="n">
        <v>0</v>
      </c>
    </row>
    <row r="6">
      <c r="A6" s="6" t="inlineStr">
        <is>
          <t>Periodic Deposit (PMT)</t>
        </is>
      </c>
      <c r="B6" s="7" t="n">
        <v>4000</v>
      </c>
    </row>
    <row r="7">
      <c r="A7" s="6" t="inlineStr">
        <is>
          <t>Term (Years)</t>
        </is>
      </c>
      <c r="B7" s="42" t="n">
        <v>10</v>
      </c>
    </row>
    <row r="8">
      <c r="A8" s="6" t="inlineStr">
        <is>
          <t>Compounds per Year</t>
        </is>
      </c>
      <c r="B8" s="43" t="n">
        <v>12</v>
      </c>
    </row>
    <row r="9">
      <c r="A9" s="6" t="inlineStr">
        <is>
          <t>Deposit Timing (TYPE)</t>
        </is>
      </c>
      <c r="B9" s="44" t="n">
        <v>0</v>
      </c>
    </row>
    <row r="10"/>
    <row r="11" ht="15.5" customHeight="1" s="30">
      <c r="A11" s="34" t="inlineStr">
        <is>
          <t>Outputs</t>
        </is>
      </c>
      <c r="B11" s="40" t="n"/>
      <c r="C11" s="40" t="n"/>
      <c r="D11" s="41" t="n"/>
    </row>
    <row r="12"/>
    <row r="13">
      <c r="A13" s="11" t="inlineStr">
        <is>
          <t>Required Rate per Period</t>
        </is>
      </c>
      <c r="B13" s="45">
        <f>RATE(B7*B8, -B6, -B5, B4, B9)</f>
        <v/>
      </c>
    </row>
    <row r="14">
      <c r="A14" s="11" t="inlineStr">
        <is>
          <t>Equivalent Annual Rate (approx = period × CPY)</t>
        </is>
      </c>
      <c r="B14" s="45">
        <f>B13*B8</f>
        <v/>
      </c>
    </row>
    <row r="15">
      <c r="A15" s="11" t="inlineStr">
        <is>
          <t>Effective Annual Rate (EAR)</t>
        </is>
      </c>
      <c r="B15" s="45">
        <f>(1+B13)^B8-1</f>
        <v/>
      </c>
    </row>
    <row r="16">
      <c r="A16" s="46" t="inlineStr">
        <is>
          <t>Compounding: Monthly. RATE(nper, -PMT, -PV, FV, TYPE).</t>
        </is>
      </c>
    </row>
    <row r="17"/>
    <row r="18" ht="15.5" customHeight="1" s="30">
      <c r="A18" s="36"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 (outflow)</t>
        </is>
      </c>
      <c r="D20" s="14" t="inlineStr">
        <is>
          <t>Enter pv as negative</t>
        </is>
      </c>
    </row>
    <row r="21">
      <c r="A21" s="14" t="inlineStr">
        <is>
          <t>PMT</t>
        </is>
      </c>
      <c r="B21" s="14" t="inlineStr">
        <is>
          <t>Periodic deposit each period</t>
        </is>
      </c>
      <c r="C21" s="15" t="inlineStr">
        <is>
          <t>– (outflow)</t>
        </is>
      </c>
      <c r="D21" s="14" t="inlineStr">
        <is>
          <t>Enter pmt as negative</t>
        </is>
      </c>
    </row>
    <row r="22">
      <c r="A22" s="14" t="inlineStr">
        <is>
          <t>FV</t>
        </is>
      </c>
      <c r="B22" s="14" t="inlineStr">
        <is>
          <t>Target amount at the end</t>
        </is>
      </c>
      <c r="C22" s="15" t="inlineStr">
        <is>
          <t>+ (inflow)</t>
        </is>
      </c>
      <c r="D22" s="14" t="inlineStr">
        <is>
          <t>Enter fv as positive</t>
        </is>
      </c>
    </row>
    <row r="23">
      <c r="A23" s="14" t="inlineStr">
        <is>
          <t>TYPE</t>
        </is>
      </c>
      <c r="B23" s="14" t="inlineStr">
        <is>
          <t>0 = end; 1 = beginning</t>
        </is>
      </c>
      <c r="C23" s="15" t="inlineStr">
        <is>
          <t>—</t>
        </is>
      </c>
      <c r="D23" s="14" t="inlineStr">
        <is>
          <t>Use 0 for end-of-period deposits</t>
        </is>
      </c>
    </row>
    <row r="24"/>
    <row r="25">
      <c r="A25" s="31" t="inlineStr">
        <is>
          <t>Tip: RATE returns the rate per period. Annual rate = period rate × compounds per year.</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1:D11"/>
  </mergeCells>
  <pageMargins left="0.75" right="0.75" top="1" bottom="1" header="0.5" footer="0.5"/>
</worksheet>
</file>

<file path=xl/worksheets/sheet7.xml><?xml version="1.0" encoding="utf-8"?>
<worksheet xmlns="http://schemas.openxmlformats.org/spreadsheetml/2006/main">
  <sheetPr>
    <tabColor rgb="FF8FAADC"/>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4.5"/>
  <cols>
    <col width="36" customWidth="1" style="30" min="1" max="1"/>
    <col width="26" customWidth="1" style="30" min="2" max="2"/>
    <col width="22" customWidth="1" style="30" min="3" max="4"/>
  </cols>
  <sheetData>
    <row r="1" ht="19.5" customHeight="1" s="30">
      <c r="A1" s="39" t="inlineStr">
        <is>
          <t>R P4 – Retirement (Semiannual)</t>
        </is>
      </c>
    </row>
    <row r="2"/>
    <row r="3" ht="15.5" customHeight="1" s="30">
      <c r="A3" s="32" t="inlineStr">
        <is>
          <t>Inputs</t>
        </is>
      </c>
      <c r="B3" s="40" t="n"/>
      <c r="C3" s="40" t="n"/>
      <c r="D3" s="41" t="n"/>
    </row>
    <row r="4">
      <c r="A4" s="6" t="inlineStr">
        <is>
          <t>Target Amount (FV)</t>
        </is>
      </c>
      <c r="B4" s="7" t="n">
        <v>10000000</v>
      </c>
    </row>
    <row r="5">
      <c r="A5" s="6" t="inlineStr">
        <is>
          <t>Initial Deposit (PV)</t>
        </is>
      </c>
      <c r="B5" s="7" t="n">
        <v>0</v>
      </c>
    </row>
    <row r="6">
      <c r="A6" s="6" t="inlineStr">
        <is>
          <t>Periodic Deposit (PMT)</t>
        </is>
      </c>
      <c r="B6" s="7" t="n">
        <v>150000</v>
      </c>
    </row>
    <row r="7">
      <c r="A7" s="6" t="inlineStr">
        <is>
          <t>Term (Years)</t>
        </is>
      </c>
      <c r="B7" s="42" t="n">
        <v>20</v>
      </c>
    </row>
    <row r="8">
      <c r="A8" s="6" t="inlineStr">
        <is>
          <t>Compounds per Year</t>
        </is>
      </c>
      <c r="B8" s="43" t="n">
        <v>2</v>
      </c>
    </row>
    <row r="9">
      <c r="A9" s="6" t="inlineStr">
        <is>
          <t>Deposit Timing (TYPE)</t>
        </is>
      </c>
      <c r="B9" s="44" t="n">
        <v>0</v>
      </c>
    </row>
    <row r="10"/>
    <row r="11" ht="15.5" customHeight="1" s="30">
      <c r="A11" s="34" t="inlineStr">
        <is>
          <t>Outputs</t>
        </is>
      </c>
      <c r="B11" s="40" t="n"/>
      <c r="C11" s="40" t="n"/>
      <c r="D11" s="41" t="n"/>
    </row>
    <row r="12"/>
    <row r="13">
      <c r="A13" s="11" t="inlineStr">
        <is>
          <t>Required Rate per Period</t>
        </is>
      </c>
      <c r="B13" s="45">
        <f>RATE(B7*B8, -B6, -B5, B4, B9)</f>
        <v/>
      </c>
    </row>
    <row r="14">
      <c r="A14" s="11" t="inlineStr">
        <is>
          <t>Equivalent Annual Rate (approx = period × CPY)</t>
        </is>
      </c>
      <c r="B14" s="45">
        <f>B13*B8</f>
        <v/>
      </c>
    </row>
    <row r="15">
      <c r="A15" s="11" t="inlineStr">
        <is>
          <t>Effective Annual Rate (EAR)</t>
        </is>
      </c>
      <c r="B15" s="45">
        <f>(1+B13)^B8-1</f>
        <v/>
      </c>
    </row>
    <row r="16">
      <c r="A16" s="46" t="inlineStr">
        <is>
          <t>Compounding: Semiannually. RATE(nper, -PMT, -PV, FV, TYPE).</t>
        </is>
      </c>
    </row>
    <row r="17"/>
    <row r="18" ht="15.5" customHeight="1" s="30">
      <c r="A18" s="36" t="inlineStr">
        <is>
          <t>Sign Convention Reference</t>
        </is>
      </c>
      <c r="B18" s="40" t="n"/>
      <c r="C18" s="40" t="n"/>
      <c r="D18" s="41" t="n"/>
    </row>
    <row r="19">
      <c r="A19" s="13" t="inlineStr">
        <is>
          <t>Item</t>
        </is>
      </c>
      <c r="B19" s="13" t="inlineStr">
        <is>
          <t>Interpretation</t>
        </is>
      </c>
      <c r="C19" s="13" t="inlineStr">
        <is>
          <t>Typical Sign</t>
        </is>
      </c>
      <c r="D19" s="13" t="inlineStr">
        <is>
          <t>Excel Entry</t>
        </is>
      </c>
    </row>
    <row r="20">
      <c r="A20" s="14" t="inlineStr">
        <is>
          <t>PV</t>
        </is>
      </c>
      <c r="B20" s="14" t="inlineStr">
        <is>
          <t>Initial deposit (today)</t>
        </is>
      </c>
      <c r="C20" s="15" t="inlineStr">
        <is>
          <t>– (outflow)</t>
        </is>
      </c>
      <c r="D20" s="14" t="inlineStr">
        <is>
          <t>Enter pv as negative</t>
        </is>
      </c>
    </row>
    <row r="21">
      <c r="A21" s="14" t="inlineStr">
        <is>
          <t>PMT</t>
        </is>
      </c>
      <c r="B21" s="14" t="inlineStr">
        <is>
          <t>Periodic deposit each period</t>
        </is>
      </c>
      <c r="C21" s="15" t="inlineStr">
        <is>
          <t>– (outflow)</t>
        </is>
      </c>
      <c r="D21" s="14" t="inlineStr">
        <is>
          <t>Enter pmt as negative</t>
        </is>
      </c>
    </row>
    <row r="22">
      <c r="A22" s="14" t="inlineStr">
        <is>
          <t>FV</t>
        </is>
      </c>
      <c r="B22" s="14" t="inlineStr">
        <is>
          <t>Target amount at the end</t>
        </is>
      </c>
      <c r="C22" s="15" t="inlineStr">
        <is>
          <t>+ (inflow)</t>
        </is>
      </c>
      <c r="D22" s="14" t="inlineStr">
        <is>
          <t>Enter fv as positive</t>
        </is>
      </c>
    </row>
    <row r="23">
      <c r="A23" s="14" t="inlineStr">
        <is>
          <t>TYPE</t>
        </is>
      </c>
      <c r="B23" s="14" t="inlineStr">
        <is>
          <t>0 = end; 1 = beginning</t>
        </is>
      </c>
      <c r="C23" s="15" t="inlineStr">
        <is>
          <t>—</t>
        </is>
      </c>
      <c r="D23" s="14" t="inlineStr">
        <is>
          <t>Use 0 for end-of-period deposits</t>
        </is>
      </c>
    </row>
    <row r="24"/>
    <row r="25">
      <c r="A25" s="31" t="inlineStr">
        <is>
          <t>Tip: RATE returns the rate per period. Annual rate = period rate × compounds per year.</t>
        </is>
      </c>
      <c r="B25" s="40" t="n"/>
      <c r="C25" s="40" t="n"/>
      <c r="D25" s="41"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8:D18"/>
    <mergeCell ref="A3:D3"/>
    <mergeCell ref="A25:D25"/>
    <mergeCell ref="A16:D16"/>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2025-10-30T05:27:06Z</dcterms:created>
  <dcterms:modified xmlns:dcterms="http://purl.org/dc/terms/" xmlns:xsi="http://www.w3.org/2001/XMLSchema-instance" xsi:type="dcterms:W3CDTF">2026-01-01T17:29:11Z</dcterms:modified>
  <cp:lastModifiedBy>srikanthyadav444p</cp:lastModifiedBy>
</cp:coreProperties>
</file>