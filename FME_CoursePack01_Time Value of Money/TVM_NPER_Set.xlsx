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AE3A" lockStructure="1"/>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overPage" sheetId="1" state="visible" r:id="rId1"/>
    <sheet xmlns:r="http://schemas.openxmlformats.org/officeDocument/2006/relationships" name="Index" sheetId="2" state="visible" r:id="rId2"/>
    <sheet xmlns:r="http://schemas.openxmlformats.org/officeDocument/2006/relationships" name="N P0 – Retire (Monthly)" sheetId="3" state="visible" r:id="rId3"/>
    <sheet xmlns:r="http://schemas.openxmlformats.org/officeDocument/2006/relationships" name="N P1 – Education (Monthly)" sheetId="4" state="visible" r:id="rId4"/>
    <sheet xmlns:r="http://schemas.openxmlformats.org/officeDocument/2006/relationships" name="N P2 – Emergency (Quarterly)" sheetId="5" state="visible" r:id="rId5"/>
    <sheet xmlns:r="http://schemas.openxmlformats.org/officeDocument/2006/relationships" name="N P3 – Retirement (Annual)" sheetId="6" state="visible" r:id="rId6"/>
    <sheet xmlns:r="http://schemas.openxmlformats.org/officeDocument/2006/relationships" name="N P4 – Vacation (Weekly)" sheetId="7" state="visible" r:id="rId7"/>
  </sheets>
  <definedNames/>
  <calcPr calcId="191029" fullCalcOnLoad="1"/>
</workbook>
</file>

<file path=xl/styles.xml><?xml version="1.0" encoding="utf-8"?>
<styleSheet xmlns="http://schemas.openxmlformats.org/spreadsheetml/2006/main">
  <numFmts count="4">
    <numFmt numFmtId="164" formatCode="\₹\ ###,##0.00"/>
    <numFmt numFmtId="165" formatCode="0&quot; = End (use 1 for Begin)&quot;"/>
    <numFmt numFmtId="166" formatCode="0&quot; Times&quot;"/>
    <numFmt numFmtId="167" formatCode="###,##0.00"/>
  </numFmts>
  <fonts count="13">
    <font>
      <name val="Calibri"/>
      <family val="2"/>
      <color theme="1"/>
      <sz val="11"/>
      <scheme val="minor"/>
    </font>
    <font>
      <name val="Calibri"/>
      <family val="2"/>
      <sz val="11"/>
    </font>
    <font>
      <name val="Calibri"/>
      <family val="2"/>
      <b val="1"/>
      <sz val="15"/>
    </font>
    <font>
      <name val="Calibri"/>
      <family val="2"/>
      <b val="1"/>
      <sz val="12"/>
    </font>
    <font>
      <name val="Calibri"/>
      <family val="2"/>
      <b val="1"/>
      <sz val="11"/>
    </font>
    <font>
      <name val="Calibri"/>
      <family val="2"/>
      <color theme="10"/>
      <sz val="12"/>
      <scheme val="minor"/>
    </font>
    <font>
      <name val="Calibri"/>
      <family val="2"/>
      <color theme="1"/>
      <sz val="11"/>
      <scheme val="minor"/>
    </font>
    <font>
      <name val="Calibri"/>
      <family val="2"/>
      <b val="1"/>
      <color theme="1"/>
      <sz val="11"/>
      <scheme val="minor"/>
    </font>
    <font>
      <name val="Calibri"/>
      <family val="2"/>
      <b val="1"/>
      <color theme="1"/>
      <sz val="18"/>
      <scheme val="minor"/>
    </font>
    <font>
      <name val="Calibri"/>
      <family val="2"/>
      <b val="1"/>
      <color theme="3" tint="0.3999755851924192"/>
      <sz val="24"/>
      <scheme val="minor"/>
    </font>
    <font>
      <name val="Calibri"/>
      <family val="2"/>
      <b val="1"/>
      <color theme="7" tint="-0.249977111117893"/>
      <sz val="18"/>
      <scheme val="minor"/>
    </font>
    <font>
      <name val="Calibri"/>
      <family val="2"/>
      <i val="1"/>
      <color theme="9" tint="-0.499984740745262"/>
      <sz val="11"/>
      <scheme val="minor"/>
    </font>
    <font>
      <name val="Calibri"/>
      <family val="2"/>
      <b val="1"/>
      <color theme="8" tint="-0.249977111117893"/>
      <sz val="18"/>
      <scheme val="minor"/>
    </font>
  </fonts>
  <fills count="13">
    <fill>
      <patternFill/>
    </fill>
    <fill>
      <patternFill patternType="gray125"/>
    </fill>
    <fill>
      <patternFill patternType="solid">
        <fgColor rgb="FFE3F2FD"/>
      </patternFill>
    </fill>
    <fill>
      <patternFill patternType="solid">
        <fgColor rgb="FFD7EEF9"/>
      </patternFill>
    </fill>
    <fill>
      <patternFill patternType="solid">
        <fgColor rgb="FFFDE9D9"/>
      </patternFill>
    </fill>
    <fill>
      <patternFill patternType="solid">
        <fgColor rgb="FFFFF4EC"/>
      </patternFill>
    </fill>
    <fill>
      <patternFill patternType="solid">
        <fgColor rgb="FFE2F0D9"/>
      </patternFill>
    </fill>
    <fill>
      <patternFill patternType="solid">
        <fgColor rgb="FFF7FBF4"/>
      </patternFill>
    </fill>
    <fill>
      <patternFill patternType="solid">
        <fgColor theme="4" tint="0.7999816888943144"/>
        <bgColor indexed="64"/>
      </patternFill>
    </fill>
    <fill>
      <patternFill patternType="solid">
        <fgColor theme="3" tint="0.3999755851924192"/>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6" tint="0.7999816888943144"/>
        <bgColor indexed="64"/>
      </patternFill>
    </fill>
  </fills>
  <borders count="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s>
  <cellStyleXfs count="7">
    <xf numFmtId="0" fontId="6" fillId="0" borderId="1"/>
    <xf numFmtId="164" fontId="1" fillId="0" borderId="1" applyAlignment="1">
      <alignment horizontal="right" vertical="center"/>
    </xf>
    <xf numFmtId="10" fontId="1" fillId="0" borderId="1" applyAlignment="1">
      <alignment horizontal="right" vertical="center"/>
    </xf>
    <xf numFmtId="1" fontId="1" fillId="0" borderId="1" applyAlignment="1">
      <alignment horizontal="right" vertical="center"/>
    </xf>
    <xf numFmtId="167" fontId="1" fillId="0" borderId="1" applyAlignment="1">
      <alignment horizontal="right" vertical="center"/>
    </xf>
    <xf numFmtId="0" fontId="5" fillId="0" borderId="1"/>
    <xf numFmtId="0" fontId="6" fillId="0" borderId="1"/>
  </cellStyleXfs>
  <cellXfs count="48">
    <xf numFmtId="0" fontId="0" fillId="0" borderId="0" pivotButton="0" quotePrefix="0" xfId="0"/>
    <xf numFmtId="0" fontId="3" fillId="2" borderId="2" applyAlignment="1" pivotButton="0" quotePrefix="0" xfId="0">
      <alignment horizontal="center" vertical="center"/>
    </xf>
    <xf numFmtId="0" fontId="0" fillId="0" borderId="2" applyAlignment="1" pivotButton="0" quotePrefix="0" xfId="0">
      <alignment horizontal="center" vertical="center"/>
    </xf>
    <xf numFmtId="0" fontId="0" fillId="0" borderId="2" pivotButton="0" quotePrefix="0" xfId="0"/>
    <xf numFmtId="0" fontId="5" fillId="0" borderId="2" pivotButton="0" quotePrefix="0" xfId="5"/>
    <xf numFmtId="164" fontId="0" fillId="0" borderId="2" applyAlignment="1" pivotButton="0" quotePrefix="0" xfId="0">
      <alignment horizontal="right" vertical="center"/>
    </xf>
    <xf numFmtId="0" fontId="4" fillId="3" borderId="2" applyAlignment="1" pivotButton="0" quotePrefix="0" xfId="0">
      <alignment horizontal="left" vertical="center"/>
    </xf>
    <xf numFmtId="164" fontId="1" fillId="0" borderId="1" applyAlignment="1" pivotButton="0" quotePrefix="0" xfId="1">
      <alignment horizontal="right" vertical="center"/>
    </xf>
    <xf numFmtId="10" fontId="1" fillId="0" borderId="1" applyAlignment="1" pivotButton="0" quotePrefix="0" xfId="1">
      <alignment horizontal="right" vertical="center"/>
    </xf>
    <xf numFmtId="165" fontId="1" fillId="0" borderId="1" applyAlignment="1" pivotButton="0" quotePrefix="0" xfId="3">
      <alignment horizontal="right" vertical="center"/>
    </xf>
    <xf numFmtId="0" fontId="4" fillId="5" borderId="2" pivotButton="0" quotePrefix="0" xfId="0"/>
    <xf numFmtId="4" fontId="0" fillId="0" borderId="2" applyAlignment="1" pivotButton="0" quotePrefix="0" xfId="0">
      <alignment horizontal="right" vertical="center"/>
    </xf>
    <xf numFmtId="0" fontId="0" fillId="0" borderId="0" applyAlignment="1" pivotButton="0" quotePrefix="0" xfId="0">
      <alignment horizontal="left" vertical="center"/>
    </xf>
    <xf numFmtId="0" fontId="3" fillId="6" borderId="2" applyAlignment="1" pivotButton="0" quotePrefix="0" xfId="0">
      <alignment horizontal="center" vertical="center"/>
    </xf>
    <xf numFmtId="0" fontId="4" fillId="6" borderId="2" applyAlignment="1" pivotButton="0" quotePrefix="0" xfId="0">
      <alignment horizontal="center" vertical="center"/>
    </xf>
    <xf numFmtId="0" fontId="0" fillId="7" borderId="2" applyAlignment="1" pivotButton="0" quotePrefix="0" xfId="0">
      <alignment horizontal="left" vertical="center"/>
    </xf>
    <xf numFmtId="0" fontId="0" fillId="7" borderId="2" applyAlignment="1" pivotButton="0" quotePrefix="0" xfId="0">
      <alignment horizontal="center"/>
    </xf>
    <xf numFmtId="0" fontId="0" fillId="0" borderId="2" applyAlignment="1" pivotButton="0" quotePrefix="0" xfId="0">
      <alignment horizontal="left" vertical="center"/>
    </xf>
    <xf numFmtId="0" fontId="0" fillId="0" borderId="3" pivotButton="0" quotePrefix="0" xfId="0"/>
    <xf numFmtId="0" fontId="0" fillId="0" borderId="4" pivotButton="0" quotePrefix="0" xfId="0"/>
    <xf numFmtId="10" fontId="1" fillId="0" borderId="1" applyAlignment="1" pivotButton="0" quotePrefix="0" xfId="2">
      <alignment horizontal="right" vertical="center"/>
    </xf>
    <xf numFmtId="166" fontId="1" fillId="0" borderId="1" applyAlignment="1" pivotButton="0" quotePrefix="0" xfId="3">
      <alignment horizontal="right" vertical="center"/>
    </xf>
    <xf numFmtId="1" fontId="0" fillId="0" borderId="2" applyAlignment="1" pivotButton="0" quotePrefix="0" xfId="0">
      <alignment horizontal="right"/>
    </xf>
    <xf numFmtId="0" fontId="6" fillId="0" borderId="1" pivotButton="0" quotePrefix="0" xfId="6"/>
    <xf numFmtId="0" fontId="8" fillId="9" borderId="1" applyAlignment="1" pivotButton="0" quotePrefix="0" xfId="6">
      <alignment vertical="center"/>
    </xf>
    <xf numFmtId="0" fontId="6" fillId="9" borderId="1" pivotButton="0" quotePrefix="0" xfId="6"/>
    <xf numFmtId="0" fontId="8" fillId="10" borderId="1" applyAlignment="1" pivotButton="0" quotePrefix="0" xfId="6">
      <alignment vertical="center"/>
    </xf>
    <xf numFmtId="0" fontId="7" fillId="11" borderId="1" applyAlignment="1" pivotButton="0" quotePrefix="0" xfId="6">
      <alignment vertical="top" wrapText="1"/>
    </xf>
    <xf numFmtId="0" fontId="6" fillId="0" borderId="1" applyAlignment="1" pivotButton="0" quotePrefix="0" xfId="6">
      <alignment horizontal="left" vertical="center" indent="1"/>
    </xf>
    <xf numFmtId="0" fontId="7" fillId="0" borderId="1" pivotButton="0" quotePrefix="0" xfId="6"/>
    <xf numFmtId="0" fontId="7" fillId="0" borderId="1" applyAlignment="1" pivotButton="0" quotePrefix="0" xfId="6">
      <alignment horizontal="left" vertical="center" indent="1"/>
    </xf>
    <xf numFmtId="0" fontId="6" fillId="8" borderId="1" applyAlignment="1" pivotButton="0" quotePrefix="0" xfId="6">
      <alignment horizontal="justify" vertical="justify" wrapText="1"/>
    </xf>
    <xf numFmtId="0" fontId="6" fillId="8" borderId="1" applyAlignment="1" pivotButton="0" quotePrefix="0" xfId="6">
      <alignment horizontal="left" vertical="top" wrapText="1"/>
    </xf>
    <xf numFmtId="0" fontId="6" fillId="12" borderId="1" applyAlignment="1" pivotButton="0" quotePrefix="0" xfId="6">
      <alignment horizontal="justify" vertical="justify" wrapText="1"/>
    </xf>
    <xf numFmtId="0" fontId="2" fillId="0" borderId="0" applyAlignment="1" pivotButton="0" quotePrefix="0" xfId="0">
      <alignment horizontal="center" vertical="center"/>
    </xf>
    <xf numFmtId="0" fontId="0" fillId="0" borderId="0" pivotButton="0" quotePrefix="0" xfId="0"/>
    <xf numFmtId="0" fontId="3" fillId="3" borderId="2" applyAlignment="1" pivotButton="0" quotePrefix="0" xfId="0">
      <alignment horizontal="center" vertical="center"/>
    </xf>
    <xf numFmtId="0" fontId="0" fillId="0" borderId="3" pivotButton="0" quotePrefix="0" xfId="0"/>
    <xf numFmtId="0" fontId="0" fillId="0" borderId="4" pivotButton="0" quotePrefix="0" xfId="0"/>
    <xf numFmtId="0" fontId="3" fillId="4" borderId="2" applyAlignment="1" pivotButton="0" quotePrefix="0" xfId="0">
      <alignment horizontal="center" vertical="center"/>
    </xf>
    <xf numFmtId="0" fontId="9" fillId="0" borderId="1" applyAlignment="1" pivotButton="0" quotePrefix="0" xfId="6">
      <alignment vertical="center"/>
    </xf>
    <xf numFmtId="0" fontId="10" fillId="0" borderId="0" applyAlignment="1" pivotButton="0" quotePrefix="0" xfId="0">
      <alignment vertical="center"/>
    </xf>
    <xf numFmtId="0" fontId="11" fillId="0" borderId="0" pivotButton="0" quotePrefix="0" xfId="0"/>
    <xf numFmtId="0" fontId="12" fillId="0" borderId="1" applyAlignment="1" pivotButton="0" quotePrefix="0" xfId="6">
      <alignment vertical="center"/>
    </xf>
    <xf numFmtId="0" fontId="2" fillId="0" borderId="1" applyAlignment="1" pivotButton="0" quotePrefix="0" xfId="0">
      <alignment horizontal="center" vertical="center"/>
    </xf>
    <xf numFmtId="166" fontId="1" fillId="0" borderId="1" applyAlignment="1" pivotButton="0" quotePrefix="0" xfId="3">
      <alignment horizontal="right" vertical="center"/>
    </xf>
    <xf numFmtId="165" fontId="1" fillId="0" borderId="1" applyAlignment="1" pivotButton="0" quotePrefix="0" xfId="3">
      <alignment horizontal="right" vertical="center"/>
    </xf>
    <xf numFmtId="0" fontId="0" fillId="0" borderId="1" pivotButton="0" quotePrefix="0" xfId="0"/>
  </cellXfs>
  <cellStyles count="7">
    <cellStyle name="Normal" xfId="0" builtinId="0"/>
    <cellStyle name="inr_right" xfId="1"/>
    <cellStyle name="pct_right" xfId="2"/>
    <cellStyle name="int_right" xfId="3"/>
    <cellStyle name="num_2_right" xfId="4"/>
    <cellStyle name="Hyperlink" xfId="5" builtinId="8"/>
    <cellStyle name="Normal 2" xf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17</row>
      <rowOff>0</rowOff>
    </from>
    <to>
      <col>2</col>
      <colOff>603250</colOff>
      <row>27</row>
      <rowOff>171450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8197850"/>
          <a:ext cx="1822450" cy="20129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33"/>
  <sheetViews>
    <sheetView tabSelected="1" topLeftCell="A2" workbookViewId="0">
      <selection activeCell="L5" sqref="L5"/>
    </sheetView>
  </sheetViews>
  <sheetFormatPr baseColWidth="8" defaultRowHeight="14.5"/>
  <cols>
    <col width="8.7265625" customWidth="1" style="23" min="1" max="6"/>
    <col width="13.90625" customWidth="1" style="23" min="7" max="7"/>
    <col width="6.81640625" customWidth="1" style="23" min="8" max="8"/>
    <col width="56.36328125" customWidth="1" style="23" min="9" max="9"/>
    <col hidden="1" width="16.6328125" customWidth="1" style="23" min="10" max="10"/>
    <col width="8.7265625" customWidth="1" style="23" min="11" max="16384"/>
  </cols>
  <sheetData>
    <row r="1" ht="31" customHeight="1" s="35">
      <c r="A1" s="40" t="inlineStr">
        <is>
          <t>FINANCIAL MODELING USING EXCEL</t>
        </is>
      </c>
    </row>
    <row r="2"/>
    <row r="3" ht="23.5" customHeight="1" s="35">
      <c r="A3" s="41" t="inlineStr">
        <is>
          <t>Investment Time Horizon Determination Using Excel (NPER Function)</t>
        </is>
      </c>
    </row>
    <row r="4"/>
    <row r="5">
      <c r="A5" s="42" t="inlineStr">
        <is>
          <t>Time Value of Money and Duration Analysis</t>
        </is>
      </c>
    </row>
    <row r="6"/>
    <row r="7" ht="23.5" customHeight="1" s="35">
      <c r="A7" s="43" t="inlineStr">
        <is>
          <t>Workbook Purpose</t>
        </is>
      </c>
    </row>
    <row r="8"/>
    <row r="9" ht="132.5" customHeight="1" s="35">
      <c r="A9" s="31" t="inlineStr">
        <is>
          <t>This workbook is focused exclusively on determining the number of periods (time horizon) required to achieve a financial objective using Excel, with primary emphasis on the NPER function. It enables learners to answer practical questions such as how long it will take to reach a target value given an interest rate, periodic contributions, and compounding structure.
The workbook isolates the time dimension of financial decision-making, allowing learners to clearly understand how duration interacts with rate and cash flows. By implementing the logic directly in Excel, the workbook mirrors real-world applications in savings planning, investment accumulation, loan analysis, and long-term financial goal assessment.</t>
        </is>
      </c>
    </row>
    <row r="10"/>
    <row r="11"/>
    <row r="12"/>
    <row r="13"/>
    <row r="14"/>
    <row r="15" ht="23.5" customHeight="1" s="35">
      <c r="A15" s="24" t="inlineStr">
        <is>
          <t>Key Concepts Covered</t>
        </is>
      </c>
      <c r="B15" s="25" t="n"/>
      <c r="C15" s="25" t="n"/>
      <c r="D15" s="25" t="n"/>
      <c r="E15" s="25" t="n"/>
      <c r="F15" s="25" t="n"/>
      <c r="G15" s="25" t="n"/>
      <c r="I15" s="26" t="inlineStr">
        <is>
          <t>Excel Functions Used</t>
        </is>
      </c>
    </row>
    <row r="16" ht="255.5" customHeight="1" s="35">
      <c r="A16" s="32" t="inlineStr">
        <is>
          <t>Time value of money with explicit focus on the time variable
Investment and savings horizon determination
Relationship between interest rate, cash flows, and duration
Role of compounding frequency in time estimation
Trade-offs between required time and achievable financial goals
Interpretation of investment duration in financial planning contexts
Practical relevance of time-based feasibility analysis</t>
        </is>
      </c>
      <c r="I16" s="27" t="inlineStr">
        <is>
          <t>NPER – Calculates the number of periods required to reach a target value
RATE – Represents the assumed return or cost of capital
FV – Defines the target future value or goal amount
PMT – Models periodic investments or repayments where applicable
IF – Handles conditional logic and scenario boundaries
ABS – Ensures disciplined handling of cash-flow sign conventions
The workbook emphasizes correct alignment of time units with compounding frequency, consistent sign discipline, and clear interpretation of duration outputs.</t>
        </is>
      </c>
    </row>
    <row r="17">
      <c r="A17" s="28" t="n"/>
    </row>
    <row r="18">
      <c r="A18" s="28" t="n"/>
      <c r="E18" s="33" t="inlineStr">
        <is>
          <t>Srikanth Potharla is an accounting and finance educator with over fifteen years of teaching and industry-oriented experience. Currently serving as Assistant Professor at ICFAI Business School, Hyderabad, he specializes in financial modeling using Excel, valuation, and data analytics. His work bridges theory and practice through structured models, real-world applications, and hands-on learning resources designed for MBA, professional, and global learners.</t>
        </is>
      </c>
      <c r="I18" s="29" t="n"/>
    </row>
    <row r="19">
      <c r="A19" s="28" t="n"/>
    </row>
    <row r="20">
      <c r="A20" s="28" t="n"/>
      <c r="I20" s="29" t="n"/>
    </row>
    <row r="21">
      <c r="A21" s="28" t="n"/>
    </row>
    <row r="22">
      <c r="A22" s="28" t="n"/>
      <c r="I22" s="29" t="n"/>
    </row>
    <row r="23">
      <c r="A23" s="28" t="n"/>
    </row>
    <row r="24">
      <c r="A24" s="28" t="n"/>
      <c r="I24" s="29" t="n"/>
    </row>
    <row r="25">
      <c r="A25" s="28" t="n"/>
    </row>
    <row r="26">
      <c r="A26" s="28" t="n"/>
      <c r="I26" s="29" t="n"/>
    </row>
    <row r="27">
      <c r="A27" s="28" t="n"/>
    </row>
    <row r="28">
      <c r="A28" s="28" t="n"/>
      <c r="I28" s="29" t="n"/>
    </row>
    <row r="29">
      <c r="A29" s="28" t="n"/>
    </row>
    <row r="30">
      <c r="A30" s="28" t="n"/>
      <c r="I30" s="29" t="n"/>
    </row>
    <row r="31">
      <c r="A31" s="28" t="n"/>
      <c r="I31" s="28" t="n"/>
    </row>
    <row r="32">
      <c r="A32" s="28" t="n"/>
      <c r="I32" s="30" t="n"/>
    </row>
    <row r="33">
      <c r="A33" s="28" t="n"/>
    </row>
  </sheetData>
  <sheetProtection selectLockedCells="0" selectUnlockedCells="0" sheet="1" objects="1" insertRows="0" insertHyperlinks="1" autoFilter="0" scenarios="1" formatColumns="0" deleteColumns="0" insertColumns="0" pivotTables="0" deleteRows="0" formatCells="0" formatRows="0" sort="0" password="AE3A"/>
  <mergeCells count="3">
    <mergeCell ref="A16:G16"/>
    <mergeCell ref="A9:J9"/>
    <mergeCell ref="E18:H28"/>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tabColor rgb="FF4472C4"/>
    <outlinePr summaryBelow="1" summaryRight="1"/>
    <pageSetUpPr/>
  </sheetPr>
  <dimension ref="A1:F7"/>
  <sheetViews>
    <sheetView workbookViewId="0">
      <pane ySplit="2" topLeftCell="A3" activePane="bottomLeft" state="frozen"/>
      <selection pane="bottomLeft" activeCell="A1" sqref="A1:F1"/>
    </sheetView>
  </sheetViews>
  <sheetFormatPr baseColWidth="8" defaultRowHeight="14.5"/>
  <cols>
    <col width="7" customWidth="1" style="35" min="1" max="1"/>
    <col width="56" customWidth="1" style="35" min="2" max="2"/>
    <col width="20" customWidth="1" style="35" min="3" max="3"/>
    <col width="18" customWidth="1" style="35" min="4" max="4"/>
    <col width="22" customWidth="1" style="35" min="5" max="5"/>
    <col width="44" customWidth="1" style="35" min="6" max="6"/>
  </cols>
  <sheetData>
    <row r="1" ht="19.5" customHeight="1" s="35">
      <c r="A1" s="44" t="inlineStr">
        <is>
          <t>Calculating the Required Number of Periods – NPER Set (Contents)</t>
        </is>
      </c>
    </row>
    <row r="2" ht="15.5" customHeight="1" s="35">
      <c r="A2" s="1" t="inlineStr">
        <is>
          <t>S.No</t>
        </is>
      </c>
      <c r="B2" s="1" t="inlineStr">
        <is>
          <t>Problem Title</t>
        </is>
      </c>
      <c r="C2" s="1" t="inlineStr">
        <is>
          <t>Sheet Link</t>
        </is>
      </c>
      <c r="D2" s="1" t="inlineStr">
        <is>
          <t>Compounding</t>
        </is>
      </c>
      <c r="E2" s="1" t="inlineStr">
        <is>
          <t>Goal (FV)</t>
        </is>
      </c>
      <c r="F2" s="1" t="inlineStr">
        <is>
          <t>Notes</t>
        </is>
      </c>
    </row>
    <row r="3" ht="15.5" customHeight="1" s="35">
      <c r="A3" s="2" t="n">
        <v>1</v>
      </c>
      <c r="B3" s="3" t="inlineStr">
        <is>
          <t>Problem 0 – Retirement Goal (Monthly)</t>
        </is>
      </c>
      <c r="C3" s="4" t="inlineStr">
        <is>
          <t>Go to sheet</t>
        </is>
      </c>
      <c r="D3" s="3" t="inlineStr">
        <is>
          <t>Monthly</t>
        </is>
      </c>
      <c r="E3" s="5" t="n">
        <v>20000000</v>
      </c>
      <c r="F3" s="3" t="inlineStr">
        <is>
          <t>PV/PMT negatives; FV positive; NPER returns periods.</t>
        </is>
      </c>
    </row>
    <row r="4" ht="15.5" customHeight="1" s="35">
      <c r="A4" s="2" t="n">
        <v>2</v>
      </c>
      <c r="B4" s="3" t="inlineStr">
        <is>
          <t>Problem 1 – Education Fund (Monthly)</t>
        </is>
      </c>
      <c r="C4" s="4" t="inlineStr">
        <is>
          <t>Go to sheet</t>
        </is>
      </c>
      <c r="D4" s="3" t="inlineStr">
        <is>
          <t>Monthly</t>
        </is>
      </c>
      <c r="E4" s="5" t="n">
        <v>5000000</v>
      </c>
      <c r="F4" s="3" t="inlineStr">
        <is>
          <t>PV/PMT negatives; FV positive; NPER returns periods.</t>
        </is>
      </c>
    </row>
    <row r="5" ht="15.5" customHeight="1" s="35">
      <c r="A5" s="2" t="n">
        <v>3</v>
      </c>
      <c r="B5" s="3" t="inlineStr">
        <is>
          <t>Problem 2 – Emergency Fund (Quarterly)</t>
        </is>
      </c>
      <c r="C5" s="4" t="inlineStr">
        <is>
          <t>Go to sheet</t>
        </is>
      </c>
      <c r="D5" s="3" t="inlineStr">
        <is>
          <t>Quarterly</t>
        </is>
      </c>
      <c r="E5" s="5" t="n">
        <v>1000000</v>
      </c>
      <c r="F5" s="3" t="inlineStr">
        <is>
          <t>PV/PMT negatives; FV positive; NPER returns periods.</t>
        </is>
      </c>
    </row>
    <row r="6" ht="15.5" customHeight="1" s="35">
      <c r="A6" s="2" t="n">
        <v>4</v>
      </c>
      <c r="B6" s="3" t="inlineStr">
        <is>
          <t>Problem 3 – Retirement Fund (Annual)</t>
        </is>
      </c>
      <c r="C6" s="4" t="inlineStr">
        <is>
          <t>Go to sheet</t>
        </is>
      </c>
      <c r="D6" s="3" t="inlineStr">
        <is>
          <t>Annually</t>
        </is>
      </c>
      <c r="E6" s="5" t="n">
        <v>30000000</v>
      </c>
      <c r="F6" s="3" t="inlineStr">
        <is>
          <t>PV/PMT negatives; FV positive; NPER returns periods.</t>
        </is>
      </c>
    </row>
    <row r="7" ht="15.5" customHeight="1" s="35">
      <c r="A7" s="2" t="n">
        <v>5</v>
      </c>
      <c r="B7" s="3" t="inlineStr">
        <is>
          <t>Problem 4 – Vacation Fund (Weekly)</t>
        </is>
      </c>
      <c r="C7" s="4" t="inlineStr">
        <is>
          <t>Go to sheet</t>
        </is>
      </c>
      <c r="D7" s="3" t="inlineStr">
        <is>
          <t>Weekly</t>
        </is>
      </c>
      <c r="E7" s="5" t="n">
        <v>500000</v>
      </c>
      <c r="F7" s="3" t="inlineStr">
        <is>
          <t>PV/PMT negatives; FV positive; NPER returns periods.</t>
        </is>
      </c>
    </row>
  </sheetData>
  <sheetProtection selectLockedCells="0" selectUnlockedCells="0" sheet="1" objects="1" insertRows="0" insertHyperlinks="1" autoFilter="0" scenarios="1" formatColumns="0" deleteColumns="0" insertColumns="0" pivotTables="0" deleteRows="0" formatCells="0" formatRows="0" sort="0" password="AE3A"/>
  <mergeCells count="1">
    <mergeCell ref="A1:F1"/>
  </mergeCells>
  <hyperlinks>
    <hyperlink ref="C3" location="'N P0 – Retire (Monthly)'!A1" display="Go to sheet"/>
    <hyperlink ref="C4" location="'N P1 – Education (Monthly)'!A1" display="Go to sheet"/>
    <hyperlink ref="C5" location="'N P2 – Emergency (Quarterly)'!A1" display="Go to sheet"/>
    <hyperlink ref="C6" location="'N P3 – Retirement (Annual)'!A1" display="Go to sheet"/>
    <hyperlink ref="C7" location="'N P4 – Vacation (Weekly)'!A1" display="Go to sheet"/>
  </hyperlinks>
  <pageMargins left="0.75" right="0.75" top="1" bottom="1" header="0.5" footer="0.5"/>
</worksheet>
</file>

<file path=xl/worksheets/sheet3.xml><?xml version="1.0" encoding="utf-8"?>
<worksheet xmlns="http://schemas.openxmlformats.org/spreadsheetml/2006/main">
  <sheetPr>
    <tabColor rgb="FFB4A7D6"/>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4.5"/>
  <cols>
    <col width="38" customWidth="1" style="35" min="1" max="1"/>
    <col width="28" customWidth="1" style="35" min="2" max="2"/>
    <col width="22" customWidth="1" style="35" min="3" max="4"/>
  </cols>
  <sheetData>
    <row r="1" ht="19.5" customHeight="1" s="35">
      <c r="A1" s="44" t="inlineStr">
        <is>
          <t>N P0 – Retire (Monthly)</t>
        </is>
      </c>
    </row>
    <row r="2"/>
    <row r="3" ht="15.5" customHeight="1" s="35">
      <c r="A3" s="36" t="inlineStr">
        <is>
          <t>Inputs</t>
        </is>
      </c>
      <c r="B3" s="37" t="n"/>
      <c r="C3" s="37" t="n"/>
      <c r="D3" s="38" t="n"/>
    </row>
    <row r="4">
      <c r="A4" s="6" t="inlineStr">
        <is>
          <t>Target Amount (FV)</t>
        </is>
      </c>
      <c r="B4" s="7" t="n">
        <v>20000000</v>
      </c>
    </row>
    <row r="5">
      <c r="A5" s="6" t="inlineStr">
        <is>
          <t>Initial Deposit (PV)</t>
        </is>
      </c>
      <c r="B5" s="7" t="n">
        <v>1000000</v>
      </c>
    </row>
    <row r="6">
      <c r="A6" s="6" t="inlineStr">
        <is>
          <t>Periodic Deposit (PMT)</t>
        </is>
      </c>
      <c r="B6" s="8" t="n">
        <v>25000</v>
      </c>
    </row>
    <row r="7">
      <c r="A7" s="6" t="inlineStr">
        <is>
          <t>Annual Interest Rate</t>
        </is>
      </c>
      <c r="B7" s="20" t="n">
        <v>0.06</v>
      </c>
    </row>
    <row r="8">
      <c r="A8" s="6" t="inlineStr">
        <is>
          <t>Compounds per Year</t>
        </is>
      </c>
      <c r="B8" s="45" t="n">
        <v>12</v>
      </c>
    </row>
    <row r="9">
      <c r="A9" s="6" t="inlineStr">
        <is>
          <t>Deposit Timing (TYPE)</t>
        </is>
      </c>
      <c r="B9" s="46" t="n">
        <v>0</v>
      </c>
    </row>
    <row r="10" ht="15.5" customHeight="1" s="35">
      <c r="A10" s="39" t="inlineStr">
        <is>
          <t>Outputs</t>
        </is>
      </c>
      <c r="B10" s="37" t="n"/>
      <c r="C10" s="37" t="n"/>
      <c r="D10" s="38" t="n"/>
    </row>
    <row r="11"/>
    <row r="12">
      <c r="A12" s="10" t="inlineStr">
        <is>
          <t>Required Number of Periods (NPER)</t>
        </is>
      </c>
      <c r="B12" s="11">
        <f>NPER(B7/B8, -B6, -B5, B4, B9)</f>
        <v/>
      </c>
    </row>
    <row r="13">
      <c r="A13" s="10" t="inlineStr">
        <is>
          <t>Years (NPER / CPY)</t>
        </is>
      </c>
      <c r="B13" s="11">
        <f>B12/B8</f>
        <v/>
      </c>
    </row>
    <row r="14">
      <c r="A14" s="10" t="inlineStr">
        <is>
          <t>Rounded Years (Ceiling)</t>
        </is>
      </c>
      <c r="B14" s="22">
        <f>ROUNDUP(B13,0)</f>
        <v/>
      </c>
    </row>
    <row r="15">
      <c r="A15" s="47" t="n"/>
    </row>
    <row r="16">
      <c r="A16" s="12" t="inlineStr">
        <is>
          <t>Compounding: Monthly. NPER(rate/CPY, -PMT, -PV, FV, TYPE).</t>
        </is>
      </c>
    </row>
    <row r="17"/>
    <row r="18">
      <c r="A18" s="47" t="n"/>
    </row>
    <row r="19" ht="15.5" customHeight="1" s="35">
      <c r="A19" s="13" t="inlineStr">
        <is>
          <t>Sign Convention Reference</t>
        </is>
      </c>
      <c r="B19" s="37" t="n"/>
      <c r="C19" s="37" t="n"/>
      <c r="D19" s="38" t="n"/>
    </row>
    <row r="20">
      <c r="A20" s="14" t="inlineStr">
        <is>
          <t>Item</t>
        </is>
      </c>
      <c r="B20" s="14" t="inlineStr">
        <is>
          <t>Interpretation</t>
        </is>
      </c>
      <c r="C20" s="14" t="inlineStr">
        <is>
          <t>Typical Sign</t>
        </is>
      </c>
      <c r="D20" s="14" t="inlineStr">
        <is>
          <t>Excel Entry</t>
        </is>
      </c>
    </row>
    <row r="21">
      <c r="A21" s="15" t="inlineStr">
        <is>
          <t>PV</t>
        </is>
      </c>
      <c r="B21" s="15" t="inlineStr">
        <is>
          <t>Initial deposit (today)</t>
        </is>
      </c>
      <c r="C21" s="16" t="inlineStr">
        <is>
          <t>– (outflow)</t>
        </is>
      </c>
      <c r="D21" s="15" t="inlineStr">
        <is>
          <t>Enter pv as negative</t>
        </is>
      </c>
    </row>
    <row r="22">
      <c r="A22" s="15" t="inlineStr">
        <is>
          <t>PMT</t>
        </is>
      </c>
      <c r="B22" s="15" t="inlineStr">
        <is>
          <t>Periodic deposit</t>
        </is>
      </c>
      <c r="C22" s="16" t="inlineStr">
        <is>
          <t>– (outflow)</t>
        </is>
      </c>
      <c r="D22" s="15" t="inlineStr">
        <is>
          <t>Enter pmt as negative</t>
        </is>
      </c>
    </row>
    <row r="23">
      <c r="A23" s="15" t="inlineStr">
        <is>
          <t>FV</t>
        </is>
      </c>
      <c r="B23" s="15" t="inlineStr">
        <is>
          <t>Target amount at end</t>
        </is>
      </c>
      <c r="C23" s="16" t="inlineStr">
        <is>
          <t>+ (inflow)</t>
        </is>
      </c>
      <c r="D23" s="15" t="inlineStr">
        <is>
          <t>Enter fv as positive</t>
        </is>
      </c>
    </row>
    <row r="24">
      <c r="A24" s="15" t="inlineStr">
        <is>
          <t>TYPE</t>
        </is>
      </c>
      <c r="B24" s="15" t="inlineStr">
        <is>
          <t>0 = end; 1 = beginning</t>
        </is>
      </c>
      <c r="C24" s="16" t="inlineStr">
        <is>
          <t>—</t>
        </is>
      </c>
      <c r="D24" s="15" t="inlineStr">
        <is>
          <t>Use 0 for end-of-period deposits</t>
        </is>
      </c>
    </row>
    <row r="25">
      <c r="A25" s="47" t="n"/>
    </row>
    <row r="26">
      <c r="A26" s="17" t="inlineStr">
        <is>
          <t>Tip: NPER returns number of periods. Years = NPER / CPY.</t>
        </is>
      </c>
      <c r="B26" s="37" t="n"/>
      <c r="C26" s="37" t="n"/>
      <c r="D26" s="38"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18:D18"/>
    <mergeCell ref="A3:D3"/>
    <mergeCell ref="A15:D15"/>
    <mergeCell ref="A25:D25"/>
    <mergeCell ref="A10:D10"/>
  </mergeCells>
  <pageMargins left="0.75" right="0.75" top="1" bottom="1" header="0.5" footer="0.5"/>
</worksheet>
</file>

<file path=xl/worksheets/sheet4.xml><?xml version="1.0" encoding="utf-8"?>
<worksheet xmlns="http://schemas.openxmlformats.org/spreadsheetml/2006/main">
  <sheetPr>
    <tabColor rgb="FFB4A7D6"/>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4.5"/>
  <cols>
    <col width="38" customWidth="1" style="35" min="1" max="1"/>
    <col width="28" customWidth="1" style="35" min="2" max="2"/>
    <col width="22" customWidth="1" style="35" min="3" max="4"/>
  </cols>
  <sheetData>
    <row r="1" ht="19.5" customHeight="1" s="35">
      <c r="A1" s="44" t="inlineStr">
        <is>
          <t>N P1 – Education (Monthly)</t>
        </is>
      </c>
    </row>
    <row r="2"/>
    <row r="3" ht="15.5" customHeight="1" s="35">
      <c r="A3" s="36" t="inlineStr">
        <is>
          <t>Inputs</t>
        </is>
      </c>
      <c r="B3" s="37" t="n"/>
      <c r="C3" s="37" t="n"/>
      <c r="D3" s="38" t="n"/>
    </row>
    <row r="4">
      <c r="A4" s="6" t="inlineStr">
        <is>
          <t>Target Amount (FV)</t>
        </is>
      </c>
      <c r="B4" s="7" t="n">
        <v>5000000</v>
      </c>
    </row>
    <row r="5">
      <c r="A5" s="6" t="inlineStr">
        <is>
          <t>Initial Deposit (PV)</t>
        </is>
      </c>
      <c r="B5" s="7" t="n">
        <v>500000</v>
      </c>
    </row>
    <row r="6">
      <c r="A6" s="6" t="inlineStr">
        <is>
          <t>Periodic Deposit (PMT)</t>
        </is>
      </c>
      <c r="B6" s="8" t="n">
        <v>10000</v>
      </c>
    </row>
    <row r="7">
      <c r="A7" s="6" t="inlineStr">
        <is>
          <t>Annual Interest Rate</t>
        </is>
      </c>
      <c r="B7" s="20" t="n">
        <v>0.07000000000000001</v>
      </c>
    </row>
    <row r="8">
      <c r="A8" s="6" t="inlineStr">
        <is>
          <t>Compounds per Year</t>
        </is>
      </c>
      <c r="B8" s="45" t="n">
        <v>12</v>
      </c>
    </row>
    <row r="9">
      <c r="A9" s="6" t="inlineStr">
        <is>
          <t>Deposit Timing (TYPE)</t>
        </is>
      </c>
      <c r="B9" s="46" t="n">
        <v>0</v>
      </c>
    </row>
    <row r="10" ht="15.5" customHeight="1" s="35">
      <c r="A10" s="39" t="inlineStr">
        <is>
          <t>Outputs</t>
        </is>
      </c>
      <c r="B10" s="37" t="n"/>
      <c r="C10" s="37" t="n"/>
      <c r="D10" s="38" t="n"/>
    </row>
    <row r="11"/>
    <row r="12">
      <c r="A12" s="10" t="inlineStr">
        <is>
          <t>Required Number of Periods (NPER)</t>
        </is>
      </c>
      <c r="B12" s="11">
        <f>NPER(B7/B8, -B6, -B5, B4, B9)</f>
        <v/>
      </c>
    </row>
    <row r="13">
      <c r="A13" s="10" t="inlineStr">
        <is>
          <t>Years (NPER / CPY)</t>
        </is>
      </c>
      <c r="B13" s="11">
        <f>B12/B8</f>
        <v/>
      </c>
    </row>
    <row r="14">
      <c r="A14" s="10" t="inlineStr">
        <is>
          <t>Rounded Years (Ceiling)</t>
        </is>
      </c>
      <c r="B14" s="22">
        <f>ROUNDUP(B13,0)</f>
        <v/>
      </c>
    </row>
    <row r="15">
      <c r="A15" s="47" t="n"/>
    </row>
    <row r="16">
      <c r="A16" s="12" t="inlineStr">
        <is>
          <t>Compounding: Monthly. NPER(rate/CPY, -PMT, -PV, FV, TYPE).</t>
        </is>
      </c>
    </row>
    <row r="17"/>
    <row r="18">
      <c r="A18" s="47" t="n"/>
    </row>
    <row r="19" ht="15.5" customHeight="1" s="35">
      <c r="A19" s="13" t="inlineStr">
        <is>
          <t>Sign Convention Reference</t>
        </is>
      </c>
      <c r="B19" s="37" t="n"/>
      <c r="C19" s="37" t="n"/>
      <c r="D19" s="38" t="n"/>
    </row>
    <row r="20">
      <c r="A20" s="14" t="inlineStr">
        <is>
          <t>Item</t>
        </is>
      </c>
      <c r="B20" s="14" t="inlineStr">
        <is>
          <t>Interpretation</t>
        </is>
      </c>
      <c r="C20" s="14" t="inlineStr">
        <is>
          <t>Typical Sign</t>
        </is>
      </c>
      <c r="D20" s="14" t="inlineStr">
        <is>
          <t>Excel Entry</t>
        </is>
      </c>
    </row>
    <row r="21">
      <c r="A21" s="15" t="inlineStr">
        <is>
          <t>PV</t>
        </is>
      </c>
      <c r="B21" s="15" t="inlineStr">
        <is>
          <t>Initial deposit (today)</t>
        </is>
      </c>
      <c r="C21" s="16" t="inlineStr">
        <is>
          <t>– (outflow)</t>
        </is>
      </c>
      <c r="D21" s="15" t="inlineStr">
        <is>
          <t>Enter pv as negative</t>
        </is>
      </c>
    </row>
    <row r="22">
      <c r="A22" s="15" t="inlineStr">
        <is>
          <t>PMT</t>
        </is>
      </c>
      <c r="B22" s="15" t="inlineStr">
        <is>
          <t>Periodic deposit</t>
        </is>
      </c>
      <c r="C22" s="16" t="inlineStr">
        <is>
          <t>– (outflow)</t>
        </is>
      </c>
      <c r="D22" s="15" t="inlineStr">
        <is>
          <t>Enter pmt as negative</t>
        </is>
      </c>
    </row>
    <row r="23">
      <c r="A23" s="15" t="inlineStr">
        <is>
          <t>FV</t>
        </is>
      </c>
      <c r="B23" s="15" t="inlineStr">
        <is>
          <t>Target amount at end</t>
        </is>
      </c>
      <c r="C23" s="16" t="inlineStr">
        <is>
          <t>+ (inflow)</t>
        </is>
      </c>
      <c r="D23" s="15" t="inlineStr">
        <is>
          <t>Enter fv as positive</t>
        </is>
      </c>
    </row>
    <row r="24">
      <c r="A24" s="15" t="inlineStr">
        <is>
          <t>TYPE</t>
        </is>
      </c>
      <c r="B24" s="15" t="inlineStr">
        <is>
          <t>0 = end; 1 = beginning</t>
        </is>
      </c>
      <c r="C24" s="16" t="inlineStr">
        <is>
          <t>—</t>
        </is>
      </c>
      <c r="D24" s="15" t="inlineStr">
        <is>
          <t>Use 0 for end-of-period deposits</t>
        </is>
      </c>
    </row>
    <row r="25">
      <c r="A25" s="47" t="n"/>
    </row>
    <row r="26">
      <c r="A26" s="17" t="inlineStr">
        <is>
          <t>Tip: NPER returns number of periods. Years = NPER / CPY.</t>
        </is>
      </c>
      <c r="B26" s="37" t="n"/>
      <c r="C26" s="37" t="n"/>
      <c r="D26" s="38"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18:D18"/>
    <mergeCell ref="A3:D3"/>
    <mergeCell ref="A15:D15"/>
    <mergeCell ref="A25:D25"/>
    <mergeCell ref="A10:D10"/>
  </mergeCells>
  <pageMargins left="0.75" right="0.75" top="1" bottom="1" header="0.5" footer="0.5"/>
</worksheet>
</file>

<file path=xl/worksheets/sheet5.xml><?xml version="1.0" encoding="utf-8"?>
<worksheet xmlns="http://schemas.openxmlformats.org/spreadsheetml/2006/main">
  <sheetPr>
    <tabColor rgb="FFB4A7D6"/>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4.5"/>
  <cols>
    <col width="38" customWidth="1" style="35" min="1" max="1"/>
    <col width="28" customWidth="1" style="35" min="2" max="2"/>
    <col width="22" customWidth="1" style="35" min="3" max="4"/>
  </cols>
  <sheetData>
    <row r="1" ht="19.5" customHeight="1" s="35">
      <c r="A1" s="44" t="inlineStr">
        <is>
          <t>N P2 – Emergency (Quarterly)</t>
        </is>
      </c>
    </row>
    <row r="2"/>
    <row r="3" ht="15.5" customHeight="1" s="35">
      <c r="A3" s="36" t="inlineStr">
        <is>
          <t>Inputs</t>
        </is>
      </c>
      <c r="B3" s="37" t="n"/>
      <c r="C3" s="37" t="n"/>
      <c r="D3" s="38" t="n"/>
    </row>
    <row r="4">
      <c r="A4" s="6" t="inlineStr">
        <is>
          <t>Target Amount (FV)</t>
        </is>
      </c>
      <c r="B4" s="7" t="n">
        <v>1000000</v>
      </c>
    </row>
    <row r="5">
      <c r="A5" s="6" t="inlineStr">
        <is>
          <t>Initial Deposit (PV)</t>
        </is>
      </c>
      <c r="B5" s="7" t="n">
        <v>0</v>
      </c>
    </row>
    <row r="6">
      <c r="A6" s="6" t="inlineStr">
        <is>
          <t>Periodic Deposit (PMT)</t>
        </is>
      </c>
      <c r="B6" s="8" t="n">
        <v>25000</v>
      </c>
    </row>
    <row r="7">
      <c r="A7" s="6" t="inlineStr">
        <is>
          <t>Annual Interest Rate</t>
        </is>
      </c>
      <c r="B7" s="20" t="n">
        <v>0.06</v>
      </c>
    </row>
    <row r="8">
      <c r="A8" s="6" t="inlineStr">
        <is>
          <t>Compounds per Year</t>
        </is>
      </c>
      <c r="B8" s="45" t="n">
        <v>4</v>
      </c>
    </row>
    <row r="9">
      <c r="A9" s="6" t="inlineStr">
        <is>
          <t>Deposit Timing (TYPE)</t>
        </is>
      </c>
      <c r="B9" s="46" t="n">
        <v>0</v>
      </c>
    </row>
    <row r="10" ht="15.5" customHeight="1" s="35">
      <c r="A10" s="39" t="inlineStr">
        <is>
          <t>Outputs</t>
        </is>
      </c>
      <c r="B10" s="37" t="n"/>
      <c r="C10" s="37" t="n"/>
      <c r="D10" s="38" t="n"/>
    </row>
    <row r="11"/>
    <row r="12">
      <c r="A12" s="10" t="inlineStr">
        <is>
          <t>Required Number of Periods (NPER)</t>
        </is>
      </c>
      <c r="B12" s="11">
        <f>NPER(B7/B8, -B6, -B5, B4, B9)</f>
        <v/>
      </c>
    </row>
    <row r="13">
      <c r="A13" s="10" t="inlineStr">
        <is>
          <t>Years (NPER / CPY)</t>
        </is>
      </c>
      <c r="B13" s="11">
        <f>B12/B8</f>
        <v/>
      </c>
    </row>
    <row r="14">
      <c r="A14" s="10" t="inlineStr">
        <is>
          <t>Rounded Years (Ceiling)</t>
        </is>
      </c>
      <c r="B14" s="22">
        <f>ROUNDUP(B13,0)</f>
        <v/>
      </c>
    </row>
    <row r="15">
      <c r="A15" s="47" t="n"/>
    </row>
    <row r="16">
      <c r="A16" s="12" t="inlineStr">
        <is>
          <t>Compounding: Quarterly. NPER(rate/CPY, -PMT, -PV, FV, TYPE).</t>
        </is>
      </c>
    </row>
    <row r="17"/>
    <row r="18">
      <c r="A18" s="47" t="n"/>
    </row>
    <row r="19" ht="15.5" customHeight="1" s="35">
      <c r="A19" s="13" t="inlineStr">
        <is>
          <t>Sign Convention Reference</t>
        </is>
      </c>
      <c r="B19" s="37" t="n"/>
      <c r="C19" s="37" t="n"/>
      <c r="D19" s="38" t="n"/>
    </row>
    <row r="20">
      <c r="A20" s="14" t="inlineStr">
        <is>
          <t>Item</t>
        </is>
      </c>
      <c r="B20" s="14" t="inlineStr">
        <is>
          <t>Interpretation</t>
        </is>
      </c>
      <c r="C20" s="14" t="inlineStr">
        <is>
          <t>Typical Sign</t>
        </is>
      </c>
      <c r="D20" s="14" t="inlineStr">
        <is>
          <t>Excel Entry</t>
        </is>
      </c>
    </row>
    <row r="21">
      <c r="A21" s="15" t="inlineStr">
        <is>
          <t>PV</t>
        </is>
      </c>
      <c r="B21" s="15" t="inlineStr">
        <is>
          <t>Initial deposit (today)</t>
        </is>
      </c>
      <c r="C21" s="16" t="inlineStr">
        <is>
          <t>– (outflow)</t>
        </is>
      </c>
      <c r="D21" s="15" t="inlineStr">
        <is>
          <t>Enter pv as negative</t>
        </is>
      </c>
    </row>
    <row r="22">
      <c r="A22" s="15" t="inlineStr">
        <is>
          <t>PMT</t>
        </is>
      </c>
      <c r="B22" s="15" t="inlineStr">
        <is>
          <t>Periodic deposit</t>
        </is>
      </c>
      <c r="C22" s="16" t="inlineStr">
        <is>
          <t>– (outflow)</t>
        </is>
      </c>
      <c r="D22" s="15" t="inlineStr">
        <is>
          <t>Enter pmt as negative</t>
        </is>
      </c>
    </row>
    <row r="23">
      <c r="A23" s="15" t="inlineStr">
        <is>
          <t>FV</t>
        </is>
      </c>
      <c r="B23" s="15" t="inlineStr">
        <is>
          <t>Target amount at end</t>
        </is>
      </c>
      <c r="C23" s="16" t="inlineStr">
        <is>
          <t>+ (inflow)</t>
        </is>
      </c>
      <c r="D23" s="15" t="inlineStr">
        <is>
          <t>Enter fv as positive</t>
        </is>
      </c>
    </row>
    <row r="24">
      <c r="A24" s="15" t="inlineStr">
        <is>
          <t>TYPE</t>
        </is>
      </c>
      <c r="B24" s="15" t="inlineStr">
        <is>
          <t>0 = end; 1 = beginning</t>
        </is>
      </c>
      <c r="C24" s="16" t="inlineStr">
        <is>
          <t>—</t>
        </is>
      </c>
      <c r="D24" s="15" t="inlineStr">
        <is>
          <t>Use 0 for end-of-period deposits</t>
        </is>
      </c>
    </row>
    <row r="25">
      <c r="A25" s="47" t="n"/>
    </row>
    <row r="26">
      <c r="A26" s="17" t="inlineStr">
        <is>
          <t>Tip: NPER returns number of periods. Years = NPER / CPY.</t>
        </is>
      </c>
      <c r="B26" s="37" t="n"/>
      <c r="C26" s="37" t="n"/>
      <c r="D26" s="38"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18:D18"/>
    <mergeCell ref="A3:D3"/>
    <mergeCell ref="A15:D15"/>
    <mergeCell ref="A25:D25"/>
    <mergeCell ref="A10:D10"/>
  </mergeCells>
  <pageMargins left="0.75" right="0.75" top="1" bottom="1" header="0.5" footer="0.5"/>
</worksheet>
</file>

<file path=xl/worksheets/sheet6.xml><?xml version="1.0" encoding="utf-8"?>
<worksheet xmlns="http://schemas.openxmlformats.org/spreadsheetml/2006/main">
  <sheetPr>
    <tabColor rgb="FFB4A7D6"/>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4.5"/>
  <cols>
    <col width="38" customWidth="1" style="35" min="1" max="1"/>
    <col width="28" customWidth="1" style="35" min="2" max="2"/>
    <col width="22" customWidth="1" style="35" min="3" max="4"/>
  </cols>
  <sheetData>
    <row r="1" ht="19.5" customHeight="1" s="35">
      <c r="A1" s="44" t="inlineStr">
        <is>
          <t>N P3 – Retirement (Annual)</t>
        </is>
      </c>
    </row>
    <row r="2"/>
    <row r="3" ht="15.5" customHeight="1" s="35">
      <c r="A3" s="36" t="inlineStr">
        <is>
          <t>Inputs</t>
        </is>
      </c>
      <c r="B3" s="37" t="n"/>
      <c r="C3" s="37" t="n"/>
      <c r="D3" s="38" t="n"/>
    </row>
    <row r="4">
      <c r="A4" s="6" t="inlineStr">
        <is>
          <t>Target Amount (FV)</t>
        </is>
      </c>
      <c r="B4" s="7" t="n">
        <v>30000000</v>
      </c>
    </row>
    <row r="5">
      <c r="A5" s="6" t="inlineStr">
        <is>
          <t>Initial Deposit (PV)</t>
        </is>
      </c>
      <c r="B5" s="7" t="n">
        <v>2000000</v>
      </c>
    </row>
    <row r="6">
      <c r="A6" s="6" t="inlineStr">
        <is>
          <t>Periodic Deposit (PMT)</t>
        </is>
      </c>
      <c r="B6" s="8" t="n">
        <v>500000</v>
      </c>
    </row>
    <row r="7">
      <c r="A7" s="6" t="inlineStr">
        <is>
          <t>Annual Interest Rate</t>
        </is>
      </c>
      <c r="B7" s="20" t="n">
        <v>0.08</v>
      </c>
    </row>
    <row r="8">
      <c r="A8" s="6" t="inlineStr">
        <is>
          <t>Compounds per Year</t>
        </is>
      </c>
      <c r="B8" s="45" t="n">
        <v>1</v>
      </c>
    </row>
    <row r="9">
      <c r="A9" s="6" t="inlineStr">
        <is>
          <t>Deposit Timing (TYPE)</t>
        </is>
      </c>
      <c r="B9" s="46" t="n">
        <v>0</v>
      </c>
    </row>
    <row r="10" ht="15.5" customHeight="1" s="35">
      <c r="A10" s="39" t="inlineStr">
        <is>
          <t>Outputs</t>
        </is>
      </c>
      <c r="B10" s="37" t="n"/>
      <c r="C10" s="37" t="n"/>
      <c r="D10" s="38" t="n"/>
    </row>
    <row r="11"/>
    <row r="12">
      <c r="A12" s="10" t="inlineStr">
        <is>
          <t>Required Number of Periods (NPER)</t>
        </is>
      </c>
      <c r="B12" s="11">
        <f>NPER(B7/B8, -B6, -B5, B4, B9)</f>
        <v/>
      </c>
    </row>
    <row r="13">
      <c r="A13" s="10" t="inlineStr">
        <is>
          <t>Years (NPER / CPY)</t>
        </is>
      </c>
      <c r="B13" s="11">
        <f>B12/B8</f>
        <v/>
      </c>
    </row>
    <row r="14">
      <c r="A14" s="10" t="inlineStr">
        <is>
          <t>Rounded Years (Ceiling)</t>
        </is>
      </c>
      <c r="B14" s="22">
        <f>ROUNDUP(B13,0)</f>
        <v/>
      </c>
    </row>
    <row r="15">
      <c r="A15" s="47" t="n"/>
    </row>
    <row r="16">
      <c r="A16" s="12" t="inlineStr">
        <is>
          <t>Compounding: Annually. NPER(rate/CPY, -PMT, -PV, FV, TYPE).</t>
        </is>
      </c>
    </row>
    <row r="17"/>
    <row r="18">
      <c r="A18" s="47" t="n"/>
    </row>
    <row r="19" ht="15.5" customHeight="1" s="35">
      <c r="A19" s="13" t="inlineStr">
        <is>
          <t>Sign Convention Reference</t>
        </is>
      </c>
      <c r="B19" s="37" t="n"/>
      <c r="C19" s="37" t="n"/>
      <c r="D19" s="38" t="n"/>
    </row>
    <row r="20">
      <c r="A20" s="14" t="inlineStr">
        <is>
          <t>Item</t>
        </is>
      </c>
      <c r="B20" s="14" t="inlineStr">
        <is>
          <t>Interpretation</t>
        </is>
      </c>
      <c r="C20" s="14" t="inlineStr">
        <is>
          <t>Typical Sign</t>
        </is>
      </c>
      <c r="D20" s="14" t="inlineStr">
        <is>
          <t>Excel Entry</t>
        </is>
      </c>
    </row>
    <row r="21">
      <c r="A21" s="15" t="inlineStr">
        <is>
          <t>PV</t>
        </is>
      </c>
      <c r="B21" s="15" t="inlineStr">
        <is>
          <t>Initial deposit (today)</t>
        </is>
      </c>
      <c r="C21" s="16" t="inlineStr">
        <is>
          <t>– (outflow)</t>
        </is>
      </c>
      <c r="D21" s="15" t="inlineStr">
        <is>
          <t>Enter pv as negative</t>
        </is>
      </c>
    </row>
    <row r="22">
      <c r="A22" s="15" t="inlineStr">
        <is>
          <t>PMT</t>
        </is>
      </c>
      <c r="B22" s="15" t="inlineStr">
        <is>
          <t>Periodic deposit</t>
        </is>
      </c>
      <c r="C22" s="16" t="inlineStr">
        <is>
          <t>– (outflow)</t>
        </is>
      </c>
      <c r="D22" s="15" t="inlineStr">
        <is>
          <t>Enter pmt as negative</t>
        </is>
      </c>
    </row>
    <row r="23">
      <c r="A23" s="15" t="inlineStr">
        <is>
          <t>FV</t>
        </is>
      </c>
      <c r="B23" s="15" t="inlineStr">
        <is>
          <t>Target amount at end</t>
        </is>
      </c>
      <c r="C23" s="16" t="inlineStr">
        <is>
          <t>+ (inflow)</t>
        </is>
      </c>
      <c r="D23" s="15" t="inlineStr">
        <is>
          <t>Enter fv as positive</t>
        </is>
      </c>
    </row>
    <row r="24">
      <c r="A24" s="15" t="inlineStr">
        <is>
          <t>TYPE</t>
        </is>
      </c>
      <c r="B24" s="15" t="inlineStr">
        <is>
          <t>0 = end; 1 = beginning</t>
        </is>
      </c>
      <c r="C24" s="16" t="inlineStr">
        <is>
          <t>—</t>
        </is>
      </c>
      <c r="D24" s="15" t="inlineStr">
        <is>
          <t>Use 0 for end-of-period deposits</t>
        </is>
      </c>
    </row>
    <row r="25">
      <c r="A25" s="47" t="n"/>
    </row>
    <row r="26">
      <c r="A26" s="17" t="inlineStr">
        <is>
          <t>Tip: NPER returns number of periods. Years = NPER / CPY.</t>
        </is>
      </c>
      <c r="B26" s="37" t="n"/>
      <c r="C26" s="37" t="n"/>
      <c r="D26" s="38"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18:D18"/>
    <mergeCell ref="A3:D3"/>
    <mergeCell ref="A15:D15"/>
    <mergeCell ref="A25:D25"/>
    <mergeCell ref="A10:D10"/>
  </mergeCells>
  <pageMargins left="0.75" right="0.75" top="1" bottom="1" header="0.5" footer="0.5"/>
</worksheet>
</file>

<file path=xl/worksheets/sheet7.xml><?xml version="1.0" encoding="utf-8"?>
<worksheet xmlns="http://schemas.openxmlformats.org/spreadsheetml/2006/main">
  <sheetPr>
    <tabColor rgb="FFB4A7D6"/>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4.5"/>
  <cols>
    <col width="38" customWidth="1" style="35" min="1" max="1"/>
    <col width="28" customWidth="1" style="35" min="2" max="2"/>
    <col width="22" customWidth="1" style="35" min="3" max="4"/>
  </cols>
  <sheetData>
    <row r="1" ht="19.5" customHeight="1" s="35">
      <c r="A1" s="44" t="inlineStr">
        <is>
          <t>N P4 – Vacation (Weekly)</t>
        </is>
      </c>
    </row>
    <row r="2"/>
    <row r="3" ht="15.5" customHeight="1" s="35">
      <c r="A3" s="36" t="inlineStr">
        <is>
          <t>Inputs</t>
        </is>
      </c>
      <c r="B3" s="37" t="n"/>
      <c r="C3" s="37" t="n"/>
      <c r="D3" s="38" t="n"/>
    </row>
    <row r="4">
      <c r="A4" s="6" t="inlineStr">
        <is>
          <t>Target Amount (FV)</t>
        </is>
      </c>
      <c r="B4" s="7" t="n">
        <v>500000</v>
      </c>
    </row>
    <row r="5">
      <c r="A5" s="6" t="inlineStr">
        <is>
          <t>Initial Deposit (PV)</t>
        </is>
      </c>
      <c r="B5" s="7" t="n">
        <v>0</v>
      </c>
    </row>
    <row r="6">
      <c r="A6" s="6" t="inlineStr">
        <is>
          <t>Periodic Deposit (PMT)</t>
        </is>
      </c>
      <c r="B6" s="8" t="n">
        <v>2000</v>
      </c>
    </row>
    <row r="7">
      <c r="A7" s="6" t="inlineStr">
        <is>
          <t>Annual Interest Rate</t>
        </is>
      </c>
      <c r="B7" s="20" t="n">
        <v>0.055</v>
      </c>
    </row>
    <row r="8">
      <c r="A8" s="6" t="inlineStr">
        <is>
          <t>Compounds per Year</t>
        </is>
      </c>
      <c r="B8" s="45" t="n">
        <v>52</v>
      </c>
    </row>
    <row r="9">
      <c r="A9" s="6" t="inlineStr">
        <is>
          <t>Deposit Timing (TYPE)</t>
        </is>
      </c>
      <c r="B9" s="46" t="n">
        <v>0</v>
      </c>
    </row>
    <row r="10" ht="15.5" customHeight="1" s="35">
      <c r="A10" s="39" t="inlineStr">
        <is>
          <t>Outputs</t>
        </is>
      </c>
      <c r="B10" s="37" t="n"/>
      <c r="C10" s="37" t="n"/>
      <c r="D10" s="38" t="n"/>
    </row>
    <row r="11"/>
    <row r="12">
      <c r="A12" s="10" t="inlineStr">
        <is>
          <t>Required Number of Periods (NPER)</t>
        </is>
      </c>
      <c r="B12" s="11">
        <f>NPER(B7/B8, -B6, -B5, B4, B9)</f>
        <v/>
      </c>
    </row>
    <row r="13">
      <c r="A13" s="10" t="inlineStr">
        <is>
          <t>Years (NPER / CPY)</t>
        </is>
      </c>
      <c r="B13" s="11">
        <f>B12/B8</f>
        <v/>
      </c>
    </row>
    <row r="14">
      <c r="A14" s="10" t="inlineStr">
        <is>
          <t>Rounded Years (Ceiling)</t>
        </is>
      </c>
      <c r="B14" s="22">
        <f>ROUNDUP(B13,0)</f>
        <v/>
      </c>
    </row>
    <row r="15">
      <c r="A15" s="47" t="n"/>
    </row>
    <row r="16">
      <c r="A16" s="12" t="inlineStr">
        <is>
          <t>Compounding: Weekly. NPER(rate/CPY, -PMT, -PV, FV, TYPE).</t>
        </is>
      </c>
    </row>
    <row r="17"/>
    <row r="18">
      <c r="A18" s="47" t="n"/>
    </row>
    <row r="19" ht="15.5" customHeight="1" s="35">
      <c r="A19" s="13" t="inlineStr">
        <is>
          <t>Sign Convention Reference</t>
        </is>
      </c>
      <c r="B19" s="37" t="n"/>
      <c r="C19" s="37" t="n"/>
      <c r="D19" s="38" t="n"/>
    </row>
    <row r="20">
      <c r="A20" s="14" t="inlineStr">
        <is>
          <t>Item</t>
        </is>
      </c>
      <c r="B20" s="14" t="inlineStr">
        <is>
          <t>Interpretation</t>
        </is>
      </c>
      <c r="C20" s="14" t="inlineStr">
        <is>
          <t>Typical Sign</t>
        </is>
      </c>
      <c r="D20" s="14" t="inlineStr">
        <is>
          <t>Excel Entry</t>
        </is>
      </c>
    </row>
    <row r="21">
      <c r="A21" s="15" t="inlineStr">
        <is>
          <t>PV</t>
        </is>
      </c>
      <c r="B21" s="15" t="inlineStr">
        <is>
          <t>Initial deposit (today)</t>
        </is>
      </c>
      <c r="C21" s="16" t="inlineStr">
        <is>
          <t>– (outflow)</t>
        </is>
      </c>
      <c r="D21" s="15" t="inlineStr">
        <is>
          <t>Enter pv as negative</t>
        </is>
      </c>
    </row>
    <row r="22">
      <c r="A22" s="15" t="inlineStr">
        <is>
          <t>PMT</t>
        </is>
      </c>
      <c r="B22" s="15" t="inlineStr">
        <is>
          <t>Periodic deposit</t>
        </is>
      </c>
      <c r="C22" s="16" t="inlineStr">
        <is>
          <t>– (outflow)</t>
        </is>
      </c>
      <c r="D22" s="15" t="inlineStr">
        <is>
          <t>Enter pmt as negative</t>
        </is>
      </c>
    </row>
    <row r="23">
      <c r="A23" s="15" t="inlineStr">
        <is>
          <t>FV</t>
        </is>
      </c>
      <c r="B23" s="15" t="inlineStr">
        <is>
          <t>Target amount at end</t>
        </is>
      </c>
      <c r="C23" s="16" t="inlineStr">
        <is>
          <t>+ (inflow)</t>
        </is>
      </c>
      <c r="D23" s="15" t="inlineStr">
        <is>
          <t>Enter fv as positive</t>
        </is>
      </c>
    </row>
    <row r="24">
      <c r="A24" s="15" t="inlineStr">
        <is>
          <t>TYPE</t>
        </is>
      </c>
      <c r="B24" s="15" t="inlineStr">
        <is>
          <t>0 = end; 1 = beginning</t>
        </is>
      </c>
      <c r="C24" s="16" t="inlineStr">
        <is>
          <t>—</t>
        </is>
      </c>
      <c r="D24" s="15" t="inlineStr">
        <is>
          <t>Use 0 for end-of-period deposits</t>
        </is>
      </c>
    </row>
    <row r="25">
      <c r="A25" s="47" t="n"/>
    </row>
    <row r="26">
      <c r="A26" s="17" t="inlineStr">
        <is>
          <t>Tip: NPER returns number of periods. Years = NPER / CPY.</t>
        </is>
      </c>
      <c r="B26" s="37" t="n"/>
      <c r="C26" s="37" t="n"/>
      <c r="D26" s="38"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18:D18"/>
    <mergeCell ref="A3:D3"/>
    <mergeCell ref="A15:D15"/>
    <mergeCell ref="A25:D25"/>
    <mergeCell ref="A10:D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2025-10-30T05:27:06Z</dcterms:created>
  <dcterms:modified xmlns:dcterms="http://purl.org/dc/terms/" xmlns:xsi="http://www.w3.org/2001/XMLSchema-instance" xsi:type="dcterms:W3CDTF">2026-01-01T17:29:11Z</dcterms:modified>
  <cp:lastModifiedBy>srikanthyadav444p</cp:lastModifiedBy>
</cp:coreProperties>
</file>