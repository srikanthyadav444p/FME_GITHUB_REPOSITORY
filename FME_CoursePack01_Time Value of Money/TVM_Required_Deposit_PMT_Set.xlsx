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0 – Goal Deposit (Monthly)" sheetId="3" state="visible" r:id="rId3"/>
    <sheet xmlns:r="http://schemas.openxmlformats.org/officeDocument/2006/relationships" name="P1 – Retirement (Monthly)" sheetId="4" state="visible" r:id="rId4"/>
    <sheet xmlns:r="http://schemas.openxmlformats.org/officeDocument/2006/relationships" name="P2 – Education (Quarterly)" sheetId="5" state="visible" r:id="rId5"/>
    <sheet xmlns:r="http://schemas.openxmlformats.org/officeDocument/2006/relationships" name="P3 – Emergency (Annual)" sheetId="6" state="visible" r:id="rId6"/>
    <sheet xmlns:r="http://schemas.openxmlformats.org/officeDocument/2006/relationships" name="P4 – Vacation (Weekly)" sheetId="7" state="visible" r:id="rId7"/>
  </sheets>
  <definedNames/>
  <calcPr calcId="191029" fullCalcOnLoad="1"/>
</workbook>
</file>

<file path=xl/styles.xml><?xml version="1.0" encoding="utf-8"?>
<styleSheet xmlns="http://schemas.openxmlformats.org/spreadsheetml/2006/main">
  <numFmts count="4">
    <numFmt numFmtId="164" formatCode="\₹\ ###,##0.00"/>
    <numFmt numFmtId="165" formatCode="0&quot; Years&quot;"/>
    <numFmt numFmtId="166" formatCode="0&quot; Times&quot;"/>
    <numFmt numFmtId="167" formatCode="0&quot; = End (use 1 for Begin)&quot;"/>
  </numFmts>
  <fonts count="13">
    <font>
      <name val="Calibri"/>
      <family val="2"/>
      <color theme="1"/>
      <sz val="11"/>
      <scheme val="minor"/>
    </font>
    <font>
      <name val="Calibri"/>
      <family val="2"/>
      <sz val="11"/>
    </font>
    <font>
      <name val="Calibri"/>
      <family val="2"/>
      <b val="1"/>
      <sz val="15"/>
    </font>
    <font>
      <name val="Calibri"/>
      <family val="2"/>
      <b val="1"/>
      <sz val="12"/>
    </font>
    <font>
      <name val="Calibri"/>
      <family val="2"/>
      <b val="1"/>
      <sz val="11"/>
    </font>
    <font>
      <name val="Calibri"/>
      <family val="2"/>
      <color theme="10"/>
      <sz val="12"/>
      <scheme val="minor"/>
    </font>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theme="3" tint="0.3999755851924192"/>
      <sz val="24"/>
      <scheme val="minor"/>
    </font>
    <font>
      <name val="Calibri"/>
      <family val="2"/>
      <b val="1"/>
      <color theme="7" tint="-0.249977111117893"/>
      <sz val="18"/>
      <scheme val="minor"/>
    </font>
    <font>
      <name val="Calibri"/>
      <family val="2"/>
      <i val="1"/>
      <color theme="9" tint="-0.499984740745262"/>
      <sz val="11"/>
      <scheme val="minor"/>
    </font>
    <font>
      <name val="Calibri"/>
      <family val="2"/>
      <b val="1"/>
      <color theme="8" tint="-0.249977111117893"/>
      <sz val="18"/>
      <scheme val="minor"/>
    </font>
  </fonts>
  <fills count="13">
    <fill>
      <patternFill/>
    </fill>
    <fill>
      <patternFill patternType="gray125"/>
    </fill>
    <fill>
      <patternFill patternType="solid">
        <fgColor rgb="FFE3F2FD"/>
      </patternFill>
    </fill>
    <fill>
      <patternFill patternType="solid">
        <fgColor rgb="FFD7EEF9"/>
      </patternFill>
    </fill>
    <fill>
      <patternFill patternType="solid">
        <fgColor rgb="FFFDE9D9"/>
      </patternFill>
    </fill>
    <fill>
      <patternFill patternType="solid">
        <fgColor rgb="FFFFF4EC"/>
      </patternFill>
    </fill>
    <fill>
      <patternFill patternType="solid">
        <fgColor rgb="FFE2F0D9"/>
      </patternFill>
    </fill>
    <fill>
      <patternFill patternType="solid">
        <fgColor rgb="FFF7FBF4"/>
      </patternFill>
    </fill>
    <fill>
      <patternFill patternType="solid">
        <fgColor theme="4" tint="0.7999816888943144"/>
        <bgColor indexed="64"/>
      </patternFill>
    </fill>
    <fill>
      <patternFill patternType="solid">
        <fgColor theme="3" tint="0.3999755851924192"/>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6" fillId="0" borderId="1"/>
    <xf numFmtId="164" fontId="1" fillId="0" borderId="1" applyAlignment="1">
      <alignment horizontal="right" vertical="center"/>
    </xf>
    <xf numFmtId="10" fontId="1" fillId="0" borderId="1" applyAlignment="1">
      <alignment horizontal="right" vertical="center"/>
    </xf>
    <xf numFmtId="1" fontId="1" fillId="0" borderId="1" applyAlignment="1">
      <alignment horizontal="right" vertical="center"/>
    </xf>
    <xf numFmtId="0" fontId="5" fillId="0" borderId="1"/>
    <xf numFmtId="0" fontId="6" fillId="0" borderId="1"/>
  </cellStyleXfs>
  <cellXfs count="43">
    <xf numFmtId="0" fontId="0" fillId="0" borderId="0" pivotButton="0" quotePrefix="0" xfId="0"/>
    <xf numFmtId="0" fontId="3" fillId="2" borderId="2" applyAlignment="1" pivotButton="0" quotePrefix="0" xfId="0">
      <alignment horizontal="center" vertical="center"/>
    </xf>
    <xf numFmtId="0" fontId="0" fillId="0" borderId="2" applyAlignment="1" pivotButton="0" quotePrefix="0" xfId="0">
      <alignment horizontal="center" vertical="center"/>
    </xf>
    <xf numFmtId="0" fontId="0" fillId="0" borderId="2" pivotButton="0" quotePrefix="0" xfId="0"/>
    <xf numFmtId="0" fontId="5" fillId="0" borderId="2" pivotButton="0" quotePrefix="0" xfId="4"/>
    <xf numFmtId="164" fontId="0" fillId="0" borderId="2" applyAlignment="1" pivotButton="0" quotePrefix="0" xfId="0">
      <alignment horizontal="right" vertical="center"/>
    </xf>
    <xf numFmtId="0" fontId="4" fillId="3" borderId="2" applyAlignment="1" pivotButton="0" quotePrefix="0" xfId="0">
      <alignment horizontal="left" vertical="center"/>
    </xf>
    <xf numFmtId="164" fontId="1" fillId="0" borderId="1" applyAlignment="1" pivotButton="0" quotePrefix="0" xfId="1">
      <alignment horizontal="right" vertical="center"/>
    </xf>
    <xf numFmtId="10" fontId="1" fillId="0" borderId="1" applyAlignment="1" pivotButton="0" quotePrefix="0" xfId="2">
      <alignment horizontal="right" vertical="center"/>
    </xf>
    <xf numFmtId="165" fontId="1" fillId="0" borderId="1" applyAlignment="1" pivotButton="0" quotePrefix="0" xfId="3">
      <alignment horizontal="right" vertical="center"/>
    </xf>
    <xf numFmtId="166" fontId="1" fillId="0" borderId="1" applyAlignment="1" pivotButton="0" quotePrefix="0" xfId="3">
      <alignment horizontal="right" vertical="center"/>
    </xf>
    <xf numFmtId="167" fontId="1" fillId="0" borderId="1" applyAlignment="1" pivotButton="0" quotePrefix="0" xfId="3">
      <alignment horizontal="right" vertical="center"/>
    </xf>
    <xf numFmtId="0" fontId="4" fillId="5" borderId="2" pivotButton="0" quotePrefix="0" xfId="0"/>
    <xf numFmtId="0" fontId="4" fillId="6" borderId="2" applyAlignment="1" pivotButton="0" quotePrefix="0" xfId="0">
      <alignment horizontal="center" vertical="center"/>
    </xf>
    <xf numFmtId="0" fontId="0" fillId="7" borderId="2" applyAlignment="1" pivotButton="0" quotePrefix="0" xfId="0">
      <alignment horizontal="left" vertical="center"/>
    </xf>
    <xf numFmtId="0" fontId="0" fillId="7" borderId="2" applyAlignment="1" pivotButton="0" quotePrefix="0" xfId="0">
      <alignment horizontal="center"/>
    </xf>
    <xf numFmtId="0" fontId="6" fillId="0" borderId="1" pivotButton="0" quotePrefix="0" xfId="5"/>
    <xf numFmtId="0" fontId="8" fillId="9" borderId="1" applyAlignment="1" pivotButton="0" quotePrefix="0" xfId="5">
      <alignment vertical="center"/>
    </xf>
    <xf numFmtId="0" fontId="6" fillId="9" borderId="1" pivotButton="0" quotePrefix="0" xfId="5"/>
    <xf numFmtId="0" fontId="8" fillId="10" borderId="1" applyAlignment="1" pivotButton="0" quotePrefix="0" xfId="5">
      <alignment vertical="center"/>
    </xf>
    <xf numFmtId="0" fontId="7" fillId="11" borderId="1" applyAlignment="1" pivotButton="0" quotePrefix="0" xfId="5">
      <alignment vertical="top" wrapText="1"/>
    </xf>
    <xf numFmtId="0" fontId="6" fillId="0" borderId="1" applyAlignment="1" pivotButton="0" quotePrefix="0" xfId="5">
      <alignment horizontal="left" vertical="center" indent="1"/>
    </xf>
    <xf numFmtId="0" fontId="7" fillId="0" borderId="1" pivotButton="0" quotePrefix="0" xfId="5"/>
    <xf numFmtId="0" fontId="7" fillId="0" borderId="1" applyAlignment="1" pivotButton="0" quotePrefix="0" xfId="5">
      <alignment horizontal="left" vertical="center" indent="1"/>
    </xf>
    <xf numFmtId="0" fontId="9" fillId="0" borderId="1" applyAlignment="1" pivotButton="0" quotePrefix="0" xfId="5">
      <alignment vertical="center"/>
    </xf>
    <xf numFmtId="0" fontId="10" fillId="0" borderId="1" applyAlignment="1" pivotButton="0" quotePrefix="0" xfId="5">
      <alignment vertical="center"/>
    </xf>
    <xf numFmtId="0" fontId="11" fillId="0" borderId="1" pivotButton="0" quotePrefix="0" xfId="5"/>
    <xf numFmtId="0" fontId="12" fillId="0" borderId="1" applyAlignment="1" pivotButton="0" quotePrefix="0" xfId="5">
      <alignment vertical="center"/>
    </xf>
    <xf numFmtId="0" fontId="6" fillId="8" borderId="1" applyAlignment="1" pivotButton="0" quotePrefix="0" xfId="5">
      <alignment horizontal="justify" vertical="justify" wrapText="1"/>
    </xf>
    <xf numFmtId="0" fontId="6" fillId="8" borderId="1" applyAlignment="1" pivotButton="0" quotePrefix="0" xfId="5">
      <alignment horizontal="left" vertical="top" wrapText="1"/>
    </xf>
    <xf numFmtId="0" fontId="6" fillId="12" borderId="1" applyAlignment="1" pivotButton="0" quotePrefix="0" xfId="5">
      <alignment horizontal="justify" vertical="justify" wrapText="1"/>
    </xf>
    <xf numFmtId="0" fontId="2" fillId="0" borderId="0" applyAlignment="1" pivotButton="0" quotePrefix="0" xfId="0">
      <alignment horizontal="center" vertical="center"/>
    </xf>
    <xf numFmtId="0" fontId="0" fillId="0" borderId="0" pivotButton="0" quotePrefix="0" xfId="0"/>
    <xf numFmtId="0" fontId="0" fillId="0" borderId="2" applyAlignment="1" pivotButton="0" quotePrefix="0" xfId="0">
      <alignment horizontal="left" vertical="center"/>
    </xf>
    <xf numFmtId="0" fontId="3" fillId="3" borderId="2" applyAlignment="1" pivotButton="0" quotePrefix="0" xfId="0">
      <alignment horizontal="center" vertical="center"/>
    </xf>
    <xf numFmtId="0" fontId="0" fillId="0" borderId="2" pivotButton="0" quotePrefix="0" xfId="0"/>
    <xf numFmtId="0" fontId="3" fillId="4" borderId="2" applyAlignment="1" pivotButton="0" quotePrefix="0" xfId="0">
      <alignment horizontal="center" vertical="center"/>
    </xf>
    <xf numFmtId="0" fontId="0" fillId="0" borderId="0" applyAlignment="1" pivotButton="0" quotePrefix="0" xfId="0">
      <alignment horizontal="left" vertical="center"/>
    </xf>
    <xf numFmtId="0" fontId="3" fillId="6" borderId="2" applyAlignment="1" pivotButton="0" quotePrefix="0" xfId="0">
      <alignment horizontal="center" vertical="center"/>
    </xf>
    <xf numFmtId="0" fontId="2" fillId="0" borderId="1" applyAlignment="1" pivotButton="0" quotePrefix="0" xfId="0">
      <alignment horizontal="center" vertical="center"/>
    </xf>
    <xf numFmtId="0" fontId="0" fillId="0" borderId="5" pivotButton="0" quotePrefix="0" xfId="0"/>
    <xf numFmtId="0" fontId="0" fillId="0" borderId="6" pivotButton="0" quotePrefix="0" xfId="0"/>
    <xf numFmtId="0" fontId="0" fillId="0" borderId="1" applyAlignment="1" pivotButton="0" quotePrefix="0" xfId="0">
      <alignment horizontal="left" vertical="center"/>
    </xf>
  </cellXfs>
  <cellStyles count="6">
    <cellStyle name="Normal" xfId="0" builtinId="0"/>
    <cellStyle name="inr_right" xfId="1"/>
    <cellStyle name="pct_right" xfId="2"/>
    <cellStyle name="int_right" xfId="3"/>
    <cellStyle name="Hyperlink" xfId="4" builtinId="8"/>
    <cellStyle name="Normal 2" xf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242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zoomScale="130" zoomScaleNormal="130" workbookViewId="0">
      <selection activeCell="I23" sqref="I23"/>
    </sheetView>
  </sheetViews>
  <sheetFormatPr baseColWidth="8" defaultRowHeight="14.5"/>
  <cols>
    <col width="8.7265625" customWidth="1" style="16" min="1" max="6"/>
    <col width="13.90625" customWidth="1" style="16" min="7" max="7"/>
    <col width="6.81640625" customWidth="1" style="16" min="8" max="8"/>
    <col width="67.1796875" customWidth="1" style="16" min="9" max="9"/>
    <col width="4.1796875" customWidth="1" style="16" min="10" max="10"/>
    <col width="8.7265625" customWidth="1" style="16" min="11" max="16384"/>
  </cols>
  <sheetData>
    <row r="1" ht="31" customHeight="1" s="32">
      <c r="A1" s="24" t="inlineStr">
        <is>
          <t>FINANCIAL MODELING USING EXCEL</t>
        </is>
      </c>
    </row>
    <row r="2"/>
    <row r="3" ht="23.5" customHeight="1" s="32">
      <c r="A3" s="25" t="inlineStr">
        <is>
          <t>Financial Statement Analysis Using Excel</t>
        </is>
      </c>
    </row>
    <row r="4"/>
    <row r="5">
      <c r="A5" s="26" t="inlineStr">
        <is>
          <t>Tata Motors Ltd.: Structured Ratio, Trend, and Performance Analysis</t>
        </is>
      </c>
    </row>
    <row r="6"/>
    <row r="7" ht="23.5" customHeight="1" s="32">
      <c r="A7" s="27" t="inlineStr">
        <is>
          <t>Workbook Purpose</t>
        </is>
      </c>
    </row>
    <row r="8"/>
    <row r="9" ht="132.5" customHeight="1" s="32">
      <c r="A9" s="28" t="inlineStr">
        <is>
          <t>This workbook is designed to perform a comprehensive financial statement analysis of Tata Motors Ltd. using Excel. It systematically transforms published financial statement data into structured analytical outputs that enable evaluation of the company’s profitability, liquidity, solvency, efficiency, and growth performance over time.
The workbook emphasizes analytical rigor rather than mechanical computation. Learners are guided to understand how raw financial statement numbers are reorganized, normalized, and interpreted through ratios, trend analysis, and comparative metrics. Excel is used as an analytical platform to ensure transparency, internal consistency, and auditability—mirroring the approach followed by equity analysts, credit analysts, and corporate finance professionals.</t>
        </is>
      </c>
    </row>
    <row r="10"/>
    <row r="11"/>
    <row r="12"/>
    <row r="13"/>
    <row r="14"/>
    <row r="15" ht="23.5" customHeight="1" s="32">
      <c r="A15" s="17" t="inlineStr">
        <is>
          <t>Key Concepts Covered</t>
        </is>
      </c>
      <c r="B15" s="18" t="n"/>
      <c r="C15" s="18" t="n"/>
      <c r="D15" s="18" t="n"/>
      <c r="E15" s="18" t="n"/>
      <c r="F15" s="18" t="n"/>
      <c r="G15" s="18" t="n"/>
      <c r="I15" s="19" t="inlineStr">
        <is>
          <t>Excel Functions Used</t>
        </is>
      </c>
    </row>
    <row r="16" ht="362" customHeight="1" s="32">
      <c r="A16" s="29" t="inlineStr">
        <is>
          <t>Structure and interlinkages of financial statements
Income statement, balance sheet, and cash flow interpretation
Profitability analysis and margin decomposition
Liquidity assessment and short-term financial health
Capital structure and solvency evaluation
Efficiency and asset utilization analysis
Trend analysis across multiple reporting periods
Analytical interpretation of financial ratios in a corporate context</t>
        </is>
      </c>
      <c r="I16" s="20" t="inlineStr">
        <is>
          <t>The workbook uses the following Excel functions accurately and comprehensively, aligned with financial analysis requirements:
SUM – Aggregates financial statement line items and subtotals
AVERAGE – Computes average balances for ratio analysis
IF – Handles conditional logic, data availability, and logical checks
ABS – Maintains sign discipline for financial statement values
ROUND – Ensures numerical clarity and reporting precision
MAX / MIN – Identifies extremes in performance metrics
COUNT / COUNTA – Supports data completeness checks
INDEX – Retrieves specific financial values from structured tables
MATCH – Locates period-wise or item-wise positions dynamically
INDEX–MATCH – Enables flexible and auditable data referencing
SUMPRODUCT – Computes weighted averages and composite ratios
IFERROR – Manages division-by-zero and data gaps gracefully
PERCENTAGE FORMULAS – Used extensively for ratio computation
HYPERLINK – Facilitates navigation across statements and analysis sections
The workbook strongly emphasizes correct denominator selection, inter-period consistency, and reconciliation between statements.</t>
        </is>
      </c>
    </row>
    <row r="17">
      <c r="A17" s="21" t="n"/>
    </row>
    <row r="18">
      <c r="A18" s="21" t="n"/>
      <c r="E18" s="30"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2" t="n"/>
    </row>
    <row r="19">
      <c r="A19" s="21" t="n"/>
    </row>
    <row r="20">
      <c r="A20" s="21" t="n"/>
      <c r="I20" s="22" t="n"/>
    </row>
    <row r="21">
      <c r="A21" s="21" t="n"/>
    </row>
    <row r="22">
      <c r="A22" s="21" t="n"/>
      <c r="I22" s="22" t="n"/>
    </row>
    <row r="23">
      <c r="A23" s="21" t="n"/>
    </row>
    <row r="24">
      <c r="A24" s="21" t="n"/>
      <c r="I24" s="22" t="n"/>
    </row>
    <row r="25">
      <c r="A25" s="21" t="n"/>
    </row>
    <row r="26">
      <c r="A26" s="21" t="n"/>
      <c r="I26" s="22" t="n"/>
    </row>
    <row r="27">
      <c r="A27" s="21" t="n"/>
    </row>
    <row r="28">
      <c r="A28" s="21" t="n"/>
      <c r="I28" s="22" t="n"/>
    </row>
    <row r="29">
      <c r="A29" s="21" t="n"/>
    </row>
    <row r="30">
      <c r="A30" s="21" t="n"/>
      <c r="I30" s="22" t="n"/>
    </row>
    <row r="31">
      <c r="A31" s="21" t="n"/>
      <c r="I31" s="21" t="n"/>
    </row>
    <row r="32">
      <c r="A32" s="21" t="n"/>
      <c r="I32" s="23" t="n"/>
    </row>
    <row r="33">
      <c r="A33" s="21"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4472C4"/>
    <outlinePr summaryBelow="1" summaryRight="1"/>
    <pageSetUpPr/>
  </sheetPr>
  <dimension ref="A1:F7"/>
  <sheetViews>
    <sheetView workbookViewId="0">
      <pane ySplit="2" topLeftCell="A3" activePane="bottomLeft" state="frozen"/>
      <selection pane="bottomLeft" activeCell="B13" sqref="B13"/>
    </sheetView>
  </sheetViews>
  <sheetFormatPr baseColWidth="8" defaultRowHeight="14.5"/>
  <cols>
    <col width="7" customWidth="1" style="32" min="1" max="1"/>
    <col width="56" customWidth="1" style="32" min="2" max="2"/>
    <col width="20" customWidth="1" style="32" min="3" max="3"/>
    <col width="18" customWidth="1" style="32" min="4" max="4"/>
    <col width="22" customWidth="1" style="32" min="5" max="5"/>
    <col width="44" customWidth="1" style="32" min="6" max="6"/>
  </cols>
  <sheetData>
    <row r="1" ht="19.5" customHeight="1" s="32">
      <c r="A1" s="39" t="inlineStr">
        <is>
          <t>Calculating the Required Regular Deposit – PMT Set (Contents)</t>
        </is>
      </c>
    </row>
    <row r="2" ht="15.5" customHeight="1" s="32">
      <c r="A2" s="1" t="inlineStr">
        <is>
          <t>S.No</t>
        </is>
      </c>
      <c r="B2" s="1" t="inlineStr">
        <is>
          <t>Problem Title</t>
        </is>
      </c>
      <c r="C2" s="1" t="inlineStr">
        <is>
          <t>Sheet Link</t>
        </is>
      </c>
      <c r="D2" s="1" t="inlineStr">
        <is>
          <t>Compounding</t>
        </is>
      </c>
      <c r="E2" s="1" t="inlineStr">
        <is>
          <t>Goal (FV)</t>
        </is>
      </c>
      <c r="F2" s="1" t="inlineStr">
        <is>
          <t>Notes</t>
        </is>
      </c>
    </row>
    <row r="3" ht="15.5" customHeight="1" s="32">
      <c r="A3" s="2" t="n">
        <v>1</v>
      </c>
      <c r="B3" s="35" t="inlineStr">
        <is>
          <t>Problem 0 – Required Deposit (Monthly)</t>
        </is>
      </c>
      <c r="C3" s="4" t="inlineStr">
        <is>
          <t>Go to sheet</t>
        </is>
      </c>
      <c r="D3" s="35" t="inlineStr">
        <is>
          <t>Monthly</t>
        </is>
      </c>
      <c r="E3" s="5" t="n">
        <v>10000000</v>
      </c>
      <c r="F3" s="35" t="inlineStr">
        <is>
          <t>Using =-PMT(rate/CPY, years*CPY, 0, FV, TYPE)</t>
        </is>
      </c>
    </row>
    <row r="4" ht="15.5" customHeight="1" s="32">
      <c r="A4" s="2" t="n">
        <v>2</v>
      </c>
      <c r="B4" s="35" t="inlineStr">
        <is>
          <t>Problem 1 – Retirement Fund (Monthly)</t>
        </is>
      </c>
      <c r="C4" s="4" t="inlineStr">
        <is>
          <t>Go to sheet</t>
        </is>
      </c>
      <c r="D4" s="35" t="inlineStr">
        <is>
          <t>Monthly</t>
        </is>
      </c>
      <c r="E4" s="5" t="n">
        <v>15000000</v>
      </c>
      <c r="F4" s="35" t="inlineStr">
        <is>
          <t>Using =-PMT(rate/CPY, years*CPY, 0, FV, TYPE)</t>
        </is>
      </c>
    </row>
    <row r="5" ht="15.5" customHeight="1" s="32">
      <c r="A5" s="2" t="n">
        <v>3</v>
      </c>
      <c r="B5" s="35" t="inlineStr">
        <is>
          <t>Problem 2 – Education Fund (Quarterly)</t>
        </is>
      </c>
      <c r="C5" s="4" t="inlineStr">
        <is>
          <t>Go to sheet</t>
        </is>
      </c>
      <c r="D5" s="35" t="inlineStr">
        <is>
          <t>Quarterly</t>
        </is>
      </c>
      <c r="E5" s="5" t="n">
        <v>4000000</v>
      </c>
      <c r="F5" s="35" t="inlineStr">
        <is>
          <t>Using =-PMT(rate/CPY, years*CPY, 0, FV, TYPE)</t>
        </is>
      </c>
    </row>
    <row r="6" ht="15.5" customHeight="1" s="32">
      <c r="A6" s="2" t="n">
        <v>4</v>
      </c>
      <c r="B6" s="35" t="inlineStr">
        <is>
          <t>Problem 3 – Emergency Fund (Annual)</t>
        </is>
      </c>
      <c r="C6" s="4" t="inlineStr">
        <is>
          <t>Go to sheet</t>
        </is>
      </c>
      <c r="D6" s="35" t="inlineStr">
        <is>
          <t>Annual</t>
        </is>
      </c>
      <c r="E6" s="5" t="n">
        <v>2000000</v>
      </c>
      <c r="F6" s="35" t="inlineStr">
        <is>
          <t>Using =-PMT(rate/CPY, years*CPY, 0, FV, TYPE)</t>
        </is>
      </c>
    </row>
    <row r="7" ht="15.5" customHeight="1" s="32">
      <c r="A7" s="2" t="n">
        <v>5</v>
      </c>
      <c r="B7" s="35" t="inlineStr">
        <is>
          <t>Problem 4 – Vacation Fund (Weekly)</t>
        </is>
      </c>
      <c r="C7" s="4" t="inlineStr">
        <is>
          <t>Go to sheet</t>
        </is>
      </c>
      <c r="D7" s="35" t="inlineStr">
        <is>
          <t>Weekly</t>
        </is>
      </c>
      <c r="E7" s="5" t="n">
        <v>500000</v>
      </c>
      <c r="F7" s="35" t="inlineStr">
        <is>
          <t>Using =-PMT(rate/CPY, years*CPY, 0, FV, TYPE)</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F1"/>
  </mergeCells>
  <hyperlinks>
    <hyperlink ref="C3" location="'P0 – Goal Deposit (Monthly)'!A1" display="Go to sheet"/>
    <hyperlink ref="C4" location="'P1 – Retirement (Monthly)'!A1" display="Go to sheet"/>
    <hyperlink ref="C5" location="'P2 – Education (Quarterly)'!A1" display="Go to sheet"/>
    <hyperlink ref="C6" location="'P3 – Emergency (Annual)'!A1" display="Go to sheet"/>
    <hyperlink ref="C7" location="'P4 – Vacation (Weekly)'!A1" display="Go to sheet"/>
  </hyperlinks>
  <pageMargins left="0.75" right="0.75" top="1" bottom="1" header="0.5" footer="0.5"/>
</worksheet>
</file>

<file path=xl/worksheets/sheet3.xml><?xml version="1.0" encoding="utf-8"?>
<worksheet xmlns="http://schemas.openxmlformats.org/spreadsheetml/2006/main">
  <sheetPr>
    <tabColor rgb="FFFFB366"/>
    <outlinePr summaryBelow="1" summaryRight="1"/>
    <pageSetUpPr/>
  </sheetPr>
  <dimension ref="A1:D25"/>
  <sheetViews>
    <sheetView workbookViewId="0">
      <pane ySplit="3" topLeftCell="A10" activePane="bottomLeft" state="frozen"/>
      <selection pane="bottomLeft" activeCell="B12" sqref="B12"/>
    </sheetView>
  </sheetViews>
  <sheetFormatPr baseColWidth="8" defaultRowHeight="14.5"/>
  <cols>
    <col width="38" customWidth="1" style="32" min="1" max="1"/>
    <col width="28" customWidth="1" style="32" min="2" max="2"/>
    <col width="22" customWidth="1" style="32" min="3" max="4"/>
  </cols>
  <sheetData>
    <row r="1" ht="19.5" customHeight="1" s="32">
      <c r="A1" s="39" t="inlineStr">
        <is>
          <t>P0 – Goal Deposit (Monthly)</t>
        </is>
      </c>
    </row>
    <row r="2"/>
    <row r="3" ht="15.5" customHeight="1" s="32">
      <c r="A3" s="34" t="inlineStr">
        <is>
          <t>Inputs</t>
        </is>
      </c>
      <c r="B3" s="40" t="n"/>
      <c r="C3" s="40" t="n"/>
      <c r="D3" s="41" t="n"/>
    </row>
    <row r="4">
      <c r="A4" s="6" t="inlineStr">
        <is>
          <t>Target Amount (FV)</t>
        </is>
      </c>
      <c r="B4" s="7" t="n">
        <v>10000000</v>
      </c>
    </row>
    <row r="5">
      <c r="A5" s="6" t="inlineStr">
        <is>
          <t>Annual Interest Rate</t>
        </is>
      </c>
      <c r="B5" s="8" t="n">
        <v>0.05</v>
      </c>
    </row>
    <row r="6">
      <c r="A6" s="6" t="inlineStr">
        <is>
          <t>Term (Years)</t>
        </is>
      </c>
      <c r="B6" s="9" t="n">
        <v>20</v>
      </c>
    </row>
    <row r="7">
      <c r="A7" s="6" t="inlineStr">
        <is>
          <t>Compounds per Year</t>
        </is>
      </c>
      <c r="B7" s="10" t="n">
        <v>12</v>
      </c>
    </row>
    <row r="8">
      <c r="A8" s="6" t="inlineStr">
        <is>
          <t>Deposit Timing (TYPE)</t>
        </is>
      </c>
      <c r="B8" s="11" t="n">
        <v>0</v>
      </c>
    </row>
    <row r="9"/>
    <row r="10" ht="15.5" customHeight="1" s="32">
      <c r="A10" s="36" t="inlineStr">
        <is>
          <t>Outputs</t>
        </is>
      </c>
      <c r="B10" s="40" t="n"/>
      <c r="C10" s="40" t="n"/>
      <c r="D10" s="41" t="n"/>
    </row>
    <row r="11"/>
    <row r="12">
      <c r="A12" s="12" t="inlineStr">
        <is>
          <t>Required Monthly Deposit (PMT)</t>
        </is>
      </c>
      <c r="B12" s="5">
        <f>-PMT(B5/B7, B6*B7, 0, B4, B8)</f>
        <v/>
      </c>
    </row>
    <row r="13">
      <c r="A13" s="12" t="inlineStr">
        <is>
          <t>Total Deposited (PMT × NPER)</t>
        </is>
      </c>
      <c r="B13" s="5">
        <f>B12 * B6 * B7</f>
        <v/>
      </c>
    </row>
    <row r="14">
      <c r="A14" s="12" t="inlineStr">
        <is>
          <t>Check: FV from PMT (should ≈ Target)</t>
        </is>
      </c>
      <c r="B14" s="5">
        <f>FV(B5/B7, B6*B7, -B12, 0, B8)</f>
        <v/>
      </c>
    </row>
    <row r="15"/>
    <row r="16">
      <c r="A16" s="42" t="inlineStr">
        <is>
          <t>Compounding: Monthly. PMT(rate/CPY, years*CPY, 0, FV, TYPE); displayed as positive with leading minus sign.</t>
        </is>
      </c>
    </row>
    <row r="17"/>
    <row r="18" ht="15.5" customHeight="1" s="32">
      <c r="A18" s="38"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0 in these problems</t>
        </is>
      </c>
      <c r="D20" s="14" t="inlineStr">
        <is>
          <t>Enter pv = 0</t>
        </is>
      </c>
    </row>
    <row r="21">
      <c r="A21" s="14" t="inlineStr">
        <is>
          <t>PMT</t>
        </is>
      </c>
      <c r="B21" s="14" t="inlineStr">
        <is>
          <t>Periodic deposit to compute</t>
        </is>
      </c>
      <c r="C21" s="15" t="inlineStr">
        <is>
          <t>Outflow</t>
        </is>
      </c>
      <c r="D21" s="14" t="inlineStr">
        <is>
          <t>Use =-PMT(...) to display positive deposit</t>
        </is>
      </c>
    </row>
    <row r="22">
      <c r="A22" s="14" t="inlineStr">
        <is>
          <t>FV</t>
        </is>
      </c>
      <c r="B22" s="14" t="inlineStr">
        <is>
          <t>Target amount at end</t>
        </is>
      </c>
      <c r="C22" s="15" t="inlineStr">
        <is>
          <t>Inflow</t>
        </is>
      </c>
      <c r="D22" s="14" t="inlineStr">
        <is>
          <t>Enter fv as positive</t>
        </is>
      </c>
    </row>
    <row r="23">
      <c r="A23" s="14" t="inlineStr">
        <is>
          <t>TYPE</t>
        </is>
      </c>
      <c r="B23" s="14" t="inlineStr">
        <is>
          <t>0 = end; 1 = beginning</t>
        </is>
      </c>
      <c r="C23" s="15" t="inlineStr">
        <is>
          <t>—</t>
        </is>
      </c>
      <c r="D23" s="14" t="inlineStr">
        <is>
          <t>Use 0 here (end-of-period)</t>
        </is>
      </c>
    </row>
    <row r="24"/>
    <row r="25">
      <c r="A25" s="33" t="inlineStr">
        <is>
          <t>Tip: Required Deposit = -PMT(rate/CPY, years*CPY, 0, FV, TYPE).</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0:D10"/>
  </mergeCells>
  <pageMargins left="0.75" right="0.75" top="1" bottom="1" header="0.5" footer="0.5"/>
</worksheet>
</file>

<file path=xl/worksheets/sheet4.xml><?xml version="1.0" encoding="utf-8"?>
<worksheet xmlns="http://schemas.openxmlformats.org/spreadsheetml/2006/main">
  <sheetPr>
    <tabColor rgb="FFFFB366"/>
    <outlinePr summaryBelow="1" summaryRight="1"/>
    <pageSetUpPr/>
  </sheetPr>
  <dimension ref="A1:D25"/>
  <sheetViews>
    <sheetView workbookViewId="0">
      <pane ySplit="3" topLeftCell="A4" activePane="bottomLeft" state="frozen"/>
      <selection pane="bottomLeft" activeCell="A1" sqref="A1:D1"/>
    </sheetView>
  </sheetViews>
  <sheetFormatPr baseColWidth="8" defaultRowHeight="14.5"/>
  <cols>
    <col width="38" customWidth="1" style="32" min="1" max="1"/>
    <col width="28" customWidth="1" style="32" min="2" max="2"/>
    <col width="22" customWidth="1" style="32" min="3" max="4"/>
  </cols>
  <sheetData>
    <row r="1" ht="19.5" customHeight="1" s="32">
      <c r="A1" s="39" t="inlineStr">
        <is>
          <t>P1 – Retirement (Monthly)</t>
        </is>
      </c>
    </row>
    <row r="2"/>
    <row r="3" ht="15.5" customHeight="1" s="32">
      <c r="A3" s="34" t="inlineStr">
        <is>
          <t>Inputs</t>
        </is>
      </c>
      <c r="B3" s="40" t="n"/>
      <c r="C3" s="40" t="n"/>
      <c r="D3" s="41" t="n"/>
    </row>
    <row r="4">
      <c r="A4" s="6" t="inlineStr">
        <is>
          <t>Target Amount (FV)</t>
        </is>
      </c>
      <c r="B4" s="7" t="n">
        <v>15000000</v>
      </c>
    </row>
    <row r="5">
      <c r="A5" s="6" t="inlineStr">
        <is>
          <t>Annual Interest Rate</t>
        </is>
      </c>
      <c r="B5" s="8" t="n">
        <v>0.06</v>
      </c>
    </row>
    <row r="6">
      <c r="A6" s="6" t="inlineStr">
        <is>
          <t>Term (Years)</t>
        </is>
      </c>
      <c r="B6" s="9" t="n">
        <v>25</v>
      </c>
    </row>
    <row r="7">
      <c r="A7" s="6" t="inlineStr">
        <is>
          <t>Compounds per Year</t>
        </is>
      </c>
      <c r="B7" s="10" t="n">
        <v>12</v>
      </c>
    </row>
    <row r="8">
      <c r="A8" s="6" t="inlineStr">
        <is>
          <t>Deposit Timing (TYPE)</t>
        </is>
      </c>
      <c r="B8" s="11" t="n">
        <v>0</v>
      </c>
    </row>
    <row r="9"/>
    <row r="10" ht="15.5" customHeight="1" s="32">
      <c r="A10" s="36" t="inlineStr">
        <is>
          <t>Outputs</t>
        </is>
      </c>
      <c r="B10" s="40" t="n"/>
      <c r="C10" s="40" t="n"/>
      <c r="D10" s="41" t="n"/>
    </row>
    <row r="11"/>
    <row r="12">
      <c r="A12" s="12" t="inlineStr">
        <is>
          <t>Required Monthly Deposit (PMT)</t>
        </is>
      </c>
      <c r="B12" s="5">
        <f>-PMT(B5/B7, B6*B7, 0, B4, B8)</f>
        <v/>
      </c>
    </row>
    <row r="13">
      <c r="A13" s="12" t="inlineStr">
        <is>
          <t>Total Deposited (PMT × NPER)</t>
        </is>
      </c>
      <c r="B13" s="5">
        <f>B12 * B6 * B7</f>
        <v/>
      </c>
    </row>
    <row r="14">
      <c r="A14" s="12" t="inlineStr">
        <is>
          <t>Check: FV from PMT (should ≈ Target)</t>
        </is>
      </c>
      <c r="B14" s="5">
        <f>FV(B5/B7, B6*B7, -B12, 0, B8)</f>
        <v/>
      </c>
    </row>
    <row r="15"/>
    <row r="16">
      <c r="A16" s="42" t="inlineStr">
        <is>
          <t>Compounding: Monthly. PMT(rate/CPY, years*CPY, 0, FV, TYPE); displayed as positive with leading minus sign.</t>
        </is>
      </c>
    </row>
    <row r="17"/>
    <row r="18" ht="15.5" customHeight="1" s="32">
      <c r="A18" s="38"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0 in these problems</t>
        </is>
      </c>
      <c r="D20" s="14" t="inlineStr">
        <is>
          <t>Enter pv = 0</t>
        </is>
      </c>
    </row>
    <row r="21">
      <c r="A21" s="14" t="inlineStr">
        <is>
          <t>PMT</t>
        </is>
      </c>
      <c r="B21" s="14" t="inlineStr">
        <is>
          <t>Periodic deposit to compute</t>
        </is>
      </c>
      <c r="C21" s="15" t="inlineStr">
        <is>
          <t>Outflow</t>
        </is>
      </c>
      <c r="D21" s="14" t="inlineStr">
        <is>
          <t>Use =-PMT(...) to display positive deposit</t>
        </is>
      </c>
    </row>
    <row r="22">
      <c r="A22" s="14" t="inlineStr">
        <is>
          <t>FV</t>
        </is>
      </c>
      <c r="B22" s="14" t="inlineStr">
        <is>
          <t>Target amount at end</t>
        </is>
      </c>
      <c r="C22" s="15" t="inlineStr">
        <is>
          <t>Inflow</t>
        </is>
      </c>
      <c r="D22" s="14" t="inlineStr">
        <is>
          <t>Enter fv as positive</t>
        </is>
      </c>
    </row>
    <row r="23">
      <c r="A23" s="14" t="inlineStr">
        <is>
          <t>TYPE</t>
        </is>
      </c>
      <c r="B23" s="14" t="inlineStr">
        <is>
          <t>0 = end; 1 = beginning</t>
        </is>
      </c>
      <c r="C23" s="15" t="inlineStr">
        <is>
          <t>—</t>
        </is>
      </c>
      <c r="D23" s="14" t="inlineStr">
        <is>
          <t>Use 0 here (end-of-period)</t>
        </is>
      </c>
    </row>
    <row r="24"/>
    <row r="25">
      <c r="A25" s="33" t="inlineStr">
        <is>
          <t>Tip: Required Deposit = -PMT(rate/CPY, years*CPY, 0, FV, TYPE).</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0:D10"/>
  </mergeCells>
  <pageMargins left="0.75" right="0.75" top="1" bottom="1" header="0.5" footer="0.5"/>
</worksheet>
</file>

<file path=xl/worksheets/sheet5.xml><?xml version="1.0" encoding="utf-8"?>
<worksheet xmlns="http://schemas.openxmlformats.org/spreadsheetml/2006/main">
  <sheetPr>
    <tabColor rgb="FFFFB366"/>
    <outlinePr summaryBelow="1" summaryRight="1"/>
    <pageSetUpPr/>
  </sheetPr>
  <dimension ref="A1:D25"/>
  <sheetViews>
    <sheetView workbookViewId="0">
      <pane ySplit="3" topLeftCell="A4" activePane="bottomLeft" state="frozen"/>
      <selection pane="bottomLeft" activeCell="A1" sqref="A1:D1"/>
    </sheetView>
  </sheetViews>
  <sheetFormatPr baseColWidth="8" defaultRowHeight="14.5"/>
  <cols>
    <col width="38" customWidth="1" style="32" min="1" max="1"/>
    <col width="28" customWidth="1" style="32" min="2" max="2"/>
    <col width="22" customWidth="1" style="32" min="3" max="4"/>
  </cols>
  <sheetData>
    <row r="1" ht="19.5" customHeight="1" s="32">
      <c r="A1" s="39" t="inlineStr">
        <is>
          <t>P2 – Education (Quarterly)</t>
        </is>
      </c>
    </row>
    <row r="2"/>
    <row r="3" ht="15.5" customHeight="1" s="32">
      <c r="A3" s="34" t="inlineStr">
        <is>
          <t>Inputs</t>
        </is>
      </c>
      <c r="B3" s="40" t="n"/>
      <c r="C3" s="40" t="n"/>
      <c r="D3" s="41" t="n"/>
    </row>
    <row r="4">
      <c r="A4" s="6" t="inlineStr">
        <is>
          <t>Target Amount (FV)</t>
        </is>
      </c>
      <c r="B4" s="7" t="n">
        <v>4000000</v>
      </c>
    </row>
    <row r="5">
      <c r="A5" s="6" t="inlineStr">
        <is>
          <t>Annual Interest Rate</t>
        </is>
      </c>
      <c r="B5" s="8" t="n">
        <v>0.07000000000000001</v>
      </c>
    </row>
    <row r="6">
      <c r="A6" s="6" t="inlineStr">
        <is>
          <t>Term (Years)</t>
        </is>
      </c>
      <c r="B6" s="9" t="n">
        <v>15</v>
      </c>
    </row>
    <row r="7">
      <c r="A7" s="6" t="inlineStr">
        <is>
          <t>Compounds per Year</t>
        </is>
      </c>
      <c r="B7" s="10" t="n">
        <v>4</v>
      </c>
    </row>
    <row r="8">
      <c r="A8" s="6" t="inlineStr">
        <is>
          <t>Deposit Timing (TYPE)</t>
        </is>
      </c>
      <c r="B8" s="11" t="n">
        <v>0</v>
      </c>
    </row>
    <row r="9"/>
    <row r="10" ht="15.5" customHeight="1" s="32">
      <c r="A10" s="36" t="inlineStr">
        <is>
          <t>Outputs</t>
        </is>
      </c>
      <c r="B10" s="40" t="n"/>
      <c r="C10" s="40" t="n"/>
      <c r="D10" s="41" t="n"/>
    </row>
    <row r="11"/>
    <row r="12">
      <c r="A12" s="12" t="inlineStr">
        <is>
          <t>Required Quarterly Deposit (PMT)</t>
        </is>
      </c>
      <c r="B12" s="5">
        <f>-PMT(B5/B7, B6*B7, 0, B4, B8)</f>
        <v/>
      </c>
    </row>
    <row r="13">
      <c r="A13" s="12" t="inlineStr">
        <is>
          <t>Total Deposited (PMT × NPER)</t>
        </is>
      </c>
      <c r="B13" s="5">
        <f>B12 * B6 * B7</f>
        <v/>
      </c>
    </row>
    <row r="14">
      <c r="A14" s="12" t="inlineStr">
        <is>
          <t>Check: FV from PMT (should ≈ Target)</t>
        </is>
      </c>
      <c r="B14" s="5">
        <f>FV(B5/B7, B6*B7, -B12, 0, B8)</f>
        <v/>
      </c>
    </row>
    <row r="15"/>
    <row r="16">
      <c r="A16" s="42" t="inlineStr">
        <is>
          <t>Compounding: Quarterly. PMT(rate/CPY, years*CPY, 0, FV, TYPE); displayed as positive with leading minus sign.</t>
        </is>
      </c>
    </row>
    <row r="17"/>
    <row r="18" ht="15.5" customHeight="1" s="32">
      <c r="A18" s="38"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0 in these problems</t>
        </is>
      </c>
      <c r="D20" s="14" t="inlineStr">
        <is>
          <t>Enter pv = 0</t>
        </is>
      </c>
    </row>
    <row r="21">
      <c r="A21" s="14" t="inlineStr">
        <is>
          <t>PMT</t>
        </is>
      </c>
      <c r="B21" s="14" t="inlineStr">
        <is>
          <t>Periodic deposit to compute</t>
        </is>
      </c>
      <c r="C21" s="15" t="inlineStr">
        <is>
          <t>Outflow</t>
        </is>
      </c>
      <c r="D21" s="14" t="inlineStr">
        <is>
          <t>Use =-PMT(...) to display positive deposit</t>
        </is>
      </c>
    </row>
    <row r="22">
      <c r="A22" s="14" t="inlineStr">
        <is>
          <t>FV</t>
        </is>
      </c>
      <c r="B22" s="14" t="inlineStr">
        <is>
          <t>Target amount at end</t>
        </is>
      </c>
      <c r="C22" s="15" t="inlineStr">
        <is>
          <t>Inflow</t>
        </is>
      </c>
      <c r="D22" s="14" t="inlineStr">
        <is>
          <t>Enter fv as positive</t>
        </is>
      </c>
    </row>
    <row r="23">
      <c r="A23" s="14" t="inlineStr">
        <is>
          <t>TYPE</t>
        </is>
      </c>
      <c r="B23" s="14" t="inlineStr">
        <is>
          <t>0 = end; 1 = beginning</t>
        </is>
      </c>
      <c r="C23" s="15" t="inlineStr">
        <is>
          <t>—</t>
        </is>
      </c>
      <c r="D23" s="14" t="inlineStr">
        <is>
          <t>Use 0 here (end-of-period)</t>
        </is>
      </c>
    </row>
    <row r="24"/>
    <row r="25">
      <c r="A25" s="33" t="inlineStr">
        <is>
          <t>Tip: Required Deposit = -PMT(rate/CPY, years*CPY, 0, FV, TYPE).</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0:D10"/>
  </mergeCells>
  <pageMargins left="0.75" right="0.75" top="1" bottom="1" header="0.5" footer="0.5"/>
</worksheet>
</file>

<file path=xl/worksheets/sheet6.xml><?xml version="1.0" encoding="utf-8"?>
<worksheet xmlns="http://schemas.openxmlformats.org/spreadsheetml/2006/main">
  <sheetPr>
    <tabColor rgb="FFFFB366"/>
    <outlinePr summaryBelow="1" summaryRight="1"/>
    <pageSetUpPr/>
  </sheetPr>
  <dimension ref="A1:D25"/>
  <sheetViews>
    <sheetView workbookViewId="0">
      <pane ySplit="3" topLeftCell="A4" activePane="bottomLeft" state="frozen"/>
      <selection pane="bottomLeft" activeCell="A1" sqref="A1:D1"/>
    </sheetView>
  </sheetViews>
  <sheetFormatPr baseColWidth="8" defaultRowHeight="14.5"/>
  <cols>
    <col width="38" customWidth="1" style="32" min="1" max="1"/>
    <col width="28" customWidth="1" style="32" min="2" max="2"/>
    <col width="22" customWidth="1" style="32" min="3" max="4"/>
  </cols>
  <sheetData>
    <row r="1" ht="19.5" customHeight="1" s="32">
      <c r="A1" s="39" t="inlineStr">
        <is>
          <t>P3 – Emergency (Annual)</t>
        </is>
      </c>
    </row>
    <row r="2"/>
    <row r="3" ht="15.5" customHeight="1" s="32">
      <c r="A3" s="34" t="inlineStr">
        <is>
          <t>Inputs</t>
        </is>
      </c>
      <c r="B3" s="40" t="n"/>
      <c r="C3" s="40" t="n"/>
      <c r="D3" s="41" t="n"/>
    </row>
    <row r="4">
      <c r="A4" s="6" t="inlineStr">
        <is>
          <t>Target Amount (FV)</t>
        </is>
      </c>
      <c r="B4" s="7" t="n">
        <v>2000000</v>
      </c>
    </row>
    <row r="5">
      <c r="A5" s="6" t="inlineStr">
        <is>
          <t>Annual Interest Rate</t>
        </is>
      </c>
      <c r="B5" s="8" t="n">
        <v>0.05</v>
      </c>
    </row>
    <row r="6">
      <c r="A6" s="6" t="inlineStr">
        <is>
          <t>Term (Years)</t>
        </is>
      </c>
      <c r="B6" s="9" t="n">
        <v>10</v>
      </c>
    </row>
    <row r="7">
      <c r="A7" s="6" t="inlineStr">
        <is>
          <t>Compounds per Year</t>
        </is>
      </c>
      <c r="B7" s="10" t="n">
        <v>1</v>
      </c>
    </row>
    <row r="8">
      <c r="A8" s="6" t="inlineStr">
        <is>
          <t>Deposit Timing (TYPE)</t>
        </is>
      </c>
      <c r="B8" s="11" t="n">
        <v>0</v>
      </c>
    </row>
    <row r="9"/>
    <row r="10" ht="15.5" customHeight="1" s="32">
      <c r="A10" s="36" t="inlineStr">
        <is>
          <t>Outputs</t>
        </is>
      </c>
      <c r="B10" s="40" t="n"/>
      <c r="C10" s="40" t="n"/>
      <c r="D10" s="41" t="n"/>
    </row>
    <row r="11"/>
    <row r="12">
      <c r="A12" s="12" t="inlineStr">
        <is>
          <t>Required Annual Deposit (PMT)</t>
        </is>
      </c>
      <c r="B12" s="5">
        <f>-PMT(B5/B7, B6*B7, 0, B4, B8)</f>
        <v/>
      </c>
    </row>
    <row r="13">
      <c r="A13" s="12" t="inlineStr">
        <is>
          <t>Total Deposited (PMT × NPER)</t>
        </is>
      </c>
      <c r="B13" s="5">
        <f>B12 * B6 * B7</f>
        <v/>
      </c>
    </row>
    <row r="14">
      <c r="A14" s="12" t="inlineStr">
        <is>
          <t>Check: FV from PMT (should ≈ Target)</t>
        </is>
      </c>
      <c r="B14" s="5">
        <f>FV(B5/B7, B6*B7, -B12, 0, B8)</f>
        <v/>
      </c>
    </row>
    <row r="15"/>
    <row r="16">
      <c r="A16" s="42" t="inlineStr">
        <is>
          <t>Compounding: Annual. PMT(rate/CPY, years*CPY, 0, FV, TYPE); displayed as positive with leading minus sign.</t>
        </is>
      </c>
    </row>
    <row r="17"/>
    <row r="18" ht="15.5" customHeight="1" s="32">
      <c r="A18" s="38"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0 in these problems</t>
        </is>
      </c>
      <c r="D20" s="14" t="inlineStr">
        <is>
          <t>Enter pv = 0</t>
        </is>
      </c>
    </row>
    <row r="21">
      <c r="A21" s="14" t="inlineStr">
        <is>
          <t>PMT</t>
        </is>
      </c>
      <c r="B21" s="14" t="inlineStr">
        <is>
          <t>Periodic deposit to compute</t>
        </is>
      </c>
      <c r="C21" s="15" t="inlineStr">
        <is>
          <t>Outflow</t>
        </is>
      </c>
      <c r="D21" s="14" t="inlineStr">
        <is>
          <t>Use =-PMT(...) to display positive deposit</t>
        </is>
      </c>
    </row>
    <row r="22">
      <c r="A22" s="14" t="inlineStr">
        <is>
          <t>FV</t>
        </is>
      </c>
      <c r="B22" s="14" t="inlineStr">
        <is>
          <t>Target amount at end</t>
        </is>
      </c>
      <c r="C22" s="15" t="inlineStr">
        <is>
          <t>Inflow</t>
        </is>
      </c>
      <c r="D22" s="14" t="inlineStr">
        <is>
          <t>Enter fv as positive</t>
        </is>
      </c>
    </row>
    <row r="23">
      <c r="A23" s="14" t="inlineStr">
        <is>
          <t>TYPE</t>
        </is>
      </c>
      <c r="B23" s="14" t="inlineStr">
        <is>
          <t>0 = end; 1 = beginning</t>
        </is>
      </c>
      <c r="C23" s="15" t="inlineStr">
        <is>
          <t>—</t>
        </is>
      </c>
      <c r="D23" s="14" t="inlineStr">
        <is>
          <t>Use 0 here (end-of-period)</t>
        </is>
      </c>
    </row>
    <row r="24"/>
    <row r="25">
      <c r="A25" s="33" t="inlineStr">
        <is>
          <t>Tip: Required Deposit = -PMT(rate/CPY, years*CPY, 0, FV, TYPE).</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0:D10"/>
  </mergeCells>
  <pageMargins left="0.75" right="0.75" top="1" bottom="1" header="0.5" footer="0.5"/>
</worksheet>
</file>

<file path=xl/worksheets/sheet7.xml><?xml version="1.0" encoding="utf-8"?>
<worksheet xmlns="http://schemas.openxmlformats.org/spreadsheetml/2006/main">
  <sheetPr>
    <tabColor rgb="FFFFB366"/>
    <outlinePr summaryBelow="1" summaryRight="1"/>
    <pageSetUpPr/>
  </sheetPr>
  <dimension ref="A1:D25"/>
  <sheetViews>
    <sheetView workbookViewId="0">
      <pane ySplit="3" topLeftCell="A4" activePane="bottomLeft" state="frozen"/>
      <selection pane="bottomLeft" activeCell="D8" sqref="D8"/>
    </sheetView>
  </sheetViews>
  <sheetFormatPr baseColWidth="8" defaultRowHeight="14.5"/>
  <cols>
    <col width="38" customWidth="1" style="32" min="1" max="1"/>
    <col width="28" customWidth="1" style="32" min="2" max="2"/>
    <col width="22" customWidth="1" style="32" min="3" max="4"/>
  </cols>
  <sheetData>
    <row r="1" ht="19.5" customHeight="1" s="32">
      <c r="A1" s="39" t="inlineStr">
        <is>
          <t>P4 – Vacation (Weekly)</t>
        </is>
      </c>
    </row>
    <row r="2"/>
    <row r="3" ht="15.5" customHeight="1" s="32">
      <c r="A3" s="34" t="inlineStr">
        <is>
          <t>Inputs</t>
        </is>
      </c>
      <c r="B3" s="40" t="n"/>
      <c r="C3" s="40" t="n"/>
      <c r="D3" s="41" t="n"/>
    </row>
    <row r="4">
      <c r="A4" s="6" t="inlineStr">
        <is>
          <t>Target Amount (FV)</t>
        </is>
      </c>
      <c r="B4" s="7" t="n">
        <v>500000</v>
      </c>
    </row>
    <row r="5">
      <c r="A5" s="6" t="inlineStr">
        <is>
          <t>Annual Interest Rate</t>
        </is>
      </c>
      <c r="B5" s="8" t="n">
        <v>0.045</v>
      </c>
    </row>
    <row r="6">
      <c r="A6" s="6" t="inlineStr">
        <is>
          <t>Term (Years)</t>
        </is>
      </c>
      <c r="B6" s="9" t="n">
        <v>5</v>
      </c>
    </row>
    <row r="7">
      <c r="A7" s="6" t="inlineStr">
        <is>
          <t>Compounds per Year</t>
        </is>
      </c>
      <c r="B7" s="10" t="n">
        <v>52</v>
      </c>
    </row>
    <row r="8">
      <c r="A8" s="6" t="inlineStr">
        <is>
          <t>Deposit Timing (TYPE)</t>
        </is>
      </c>
      <c r="B8" s="11" t="n">
        <v>0</v>
      </c>
    </row>
    <row r="9"/>
    <row r="10" ht="15.5" customHeight="1" s="32">
      <c r="A10" s="36" t="inlineStr">
        <is>
          <t>Outputs</t>
        </is>
      </c>
      <c r="B10" s="40" t="n"/>
      <c r="C10" s="40" t="n"/>
      <c r="D10" s="41" t="n"/>
    </row>
    <row r="11"/>
    <row r="12">
      <c r="A12" s="12" t="inlineStr">
        <is>
          <t>Required Weekly Deposit (PMT)</t>
        </is>
      </c>
      <c r="B12" s="5">
        <f>-PMT(B5/B7, B6*B7, 0, B4, B8)</f>
        <v/>
      </c>
    </row>
    <row r="13">
      <c r="A13" s="12" t="inlineStr">
        <is>
          <t>Total Deposited (PMT × NPER)</t>
        </is>
      </c>
      <c r="B13" s="5">
        <f>B12 * B6 * B7</f>
        <v/>
      </c>
    </row>
    <row r="14">
      <c r="A14" s="12" t="inlineStr">
        <is>
          <t>Check: FV from PMT (should ≈ Target)</t>
        </is>
      </c>
      <c r="B14" s="5">
        <f>FV(B5/B7, B6*B7, -B12, 0, B8)</f>
        <v/>
      </c>
    </row>
    <row r="15"/>
    <row r="16">
      <c r="A16" s="42" t="inlineStr">
        <is>
          <t>Compounding: Weekly. PMT(rate/CPY, years*CPY, 0, FV, TYPE); displayed as positive with leading minus sign.</t>
        </is>
      </c>
    </row>
    <row r="17"/>
    <row r="18" ht="15.5" customHeight="1" s="32">
      <c r="A18" s="38"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0 in these problems</t>
        </is>
      </c>
      <c r="D20" s="14" t="inlineStr">
        <is>
          <t>Enter pv = 0</t>
        </is>
      </c>
    </row>
    <row r="21">
      <c r="A21" s="14" t="inlineStr">
        <is>
          <t>PMT</t>
        </is>
      </c>
      <c r="B21" s="14" t="inlineStr">
        <is>
          <t>Periodic deposit to compute</t>
        </is>
      </c>
      <c r="C21" s="15" t="inlineStr">
        <is>
          <t>Outflow</t>
        </is>
      </c>
      <c r="D21" s="14" t="inlineStr">
        <is>
          <t>Use =-PMT(...) to display positive deposit</t>
        </is>
      </c>
    </row>
    <row r="22">
      <c r="A22" s="14" t="inlineStr">
        <is>
          <t>FV</t>
        </is>
      </c>
      <c r="B22" s="14" t="inlineStr">
        <is>
          <t>Target amount at end</t>
        </is>
      </c>
      <c r="C22" s="15" t="inlineStr">
        <is>
          <t>Inflow</t>
        </is>
      </c>
      <c r="D22" s="14" t="inlineStr">
        <is>
          <t>Enter fv as positive</t>
        </is>
      </c>
    </row>
    <row r="23">
      <c r="A23" s="14" t="inlineStr">
        <is>
          <t>TYPE</t>
        </is>
      </c>
      <c r="B23" s="14" t="inlineStr">
        <is>
          <t>0 = end; 1 = beginning</t>
        </is>
      </c>
      <c r="C23" s="15" t="inlineStr">
        <is>
          <t>—</t>
        </is>
      </c>
      <c r="D23" s="14" t="inlineStr">
        <is>
          <t>Use 0 here (end-of-period)</t>
        </is>
      </c>
    </row>
    <row r="24"/>
    <row r="25">
      <c r="A25" s="33" t="inlineStr">
        <is>
          <t>Tip: Required Deposit = -PMT(rate/CPY, years*CPY, 0, FV, TYPE).</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2025-10-30T05:27:06Z</dcterms:created>
  <dcterms:modified xmlns:dcterms="http://purl.org/dc/terms/" xmlns:xsi="http://www.w3.org/2001/XMLSchema-instance" xsi:type="dcterms:W3CDTF">2026-01-01T17:29:12Z</dcterms:modified>
  <cp:lastModifiedBy>srikanthyadav444p</cp:lastModifiedBy>
</cp:coreProperties>
</file>