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1_Triveni Green Power Ltd" sheetId="3" state="visible" r:id="rId3"/>
    <sheet xmlns:r="http://schemas.openxmlformats.org/officeDocument/2006/relationships" name="P2_Aryavarta Infrastructure " sheetId="4" state="visible" r:id="rId4"/>
    <sheet xmlns:r="http://schemas.openxmlformats.org/officeDocument/2006/relationships" name="P3_Navratna Industries " sheetId="5" state="visible" r:id="rId5"/>
    <sheet xmlns:r="http://schemas.openxmlformats.org/officeDocument/2006/relationships" name="P4_Samriddhi Banking " sheetId="6" state="visible" r:id="rId6"/>
    <sheet xmlns:r="http://schemas.openxmlformats.org/officeDocument/2006/relationships" name="P5_Dakshin Ports &amp; Logistics Lt" sheetId="7" state="visible" r:id="rId7"/>
    <sheet xmlns:r="http://schemas.openxmlformats.org/officeDocument/2006/relationships" name="P6_Vistaar Telecom Services Ltd" sheetId="8" state="visible" r:id="rId8"/>
    <sheet xmlns:r="http://schemas.openxmlformats.org/officeDocument/2006/relationships" name="P7_Bharatiya Auto Manufacturing" sheetId="9" state="visible" r:id="rId9"/>
    <sheet xmlns:r="http://schemas.openxmlformats.org/officeDocument/2006/relationships" name="P8_Nirmaan Pharma" sheetId="10" state="visible" r:id="rId10"/>
    <sheet xmlns:r="http://schemas.openxmlformats.org/officeDocument/2006/relationships" name="P9_Shakti Cement &amp; Materials " sheetId="11" state="visible" r:id="rId11"/>
  </sheets>
  <definedNames/>
  <calcPr calcId="191029" fullCalcOnLoad="1"/>
</workbook>
</file>

<file path=xl/styles.xml><?xml version="1.0" encoding="utf-8"?>
<styleSheet xmlns="http://schemas.openxmlformats.org/spreadsheetml/2006/main">
  <numFmts count="2">
    <numFmt numFmtId="164" formatCode="\₹\ ###,##0.00"/>
    <numFmt numFmtId="165" formatCode="0.0000"/>
  </numFmts>
  <fonts count="14">
    <font>
      <name val="Calibri"/>
      <family val="2"/>
      <color theme="1"/>
      <sz val="11"/>
      <scheme val="minor"/>
    </font>
    <font>
      <name val="Calibri"/>
      <family val="2"/>
      <b val="1"/>
      <sz val="14"/>
    </font>
    <font>
      <name val="Calibri"/>
      <family val="2"/>
      <b val="1"/>
      <sz val="11"/>
    </font>
    <font>
      <name val="Calibri"/>
      <family val="2"/>
      <b val="1"/>
      <sz val="10"/>
    </font>
    <font>
      <name val="Calibri"/>
      <family val="2"/>
      <sz val="10"/>
    </font>
    <font>
      <name val="Calibri"/>
      <family val="2"/>
      <i val="1"/>
      <sz val="9"/>
    </font>
    <font>
      <name val="Calibri"/>
      <family val="2"/>
      <color theme="10"/>
      <sz val="12"/>
      <scheme val="minor"/>
    </font>
    <font>
      <name val="Calibri"/>
      <family val="2"/>
      <color theme="1"/>
      <sz val="11"/>
      <scheme val="minor"/>
    </font>
    <font>
      <name val="Calibri"/>
      <family val="2"/>
      <b val="1"/>
      <color theme="1"/>
      <sz val="11"/>
      <scheme val="minor"/>
    </font>
    <font>
      <name val="Calibri"/>
      <family val="2"/>
      <b val="1"/>
      <color theme="1"/>
      <sz val="18"/>
      <scheme val="minor"/>
    </font>
    <font>
      <name val="Calibri"/>
      <family val="2"/>
      <b val="1"/>
      <color theme="3" tint="0.3999755851924192"/>
      <sz val="24"/>
      <scheme val="minor"/>
    </font>
    <font>
      <name val="Calibri"/>
      <family val="2"/>
      <b val="1"/>
      <color theme="7" tint="-0.249977111117893"/>
      <sz val="18"/>
      <scheme val="minor"/>
    </font>
    <font>
      <name val="Calibri"/>
      <family val="2"/>
      <i val="1"/>
      <color theme="9" tint="-0.499984740745262"/>
      <sz val="11"/>
      <scheme val="minor"/>
    </font>
    <font>
      <name val="Calibri"/>
      <family val="2"/>
      <b val="1"/>
      <color theme="8" tint="-0.249977111117893"/>
      <sz val="18"/>
      <scheme val="minor"/>
    </font>
  </fonts>
  <fills count="12">
    <fill>
      <patternFill/>
    </fill>
    <fill>
      <patternFill patternType="gray125"/>
    </fill>
    <fill>
      <patternFill patternType="solid">
        <fgColor rgb="FF9BC2E6"/>
      </patternFill>
    </fill>
    <fill>
      <patternFill patternType="solid">
        <fgColor rgb="FFD9EAF7"/>
      </patternFill>
    </fill>
    <fill>
      <patternFill patternType="solid">
        <fgColor rgb="FFFFF2CC"/>
      </patternFill>
    </fill>
    <fill>
      <patternFill patternType="solid">
        <fgColor rgb="FFF8CBAD"/>
      </patternFill>
    </fill>
    <fill>
      <patternFill patternType="solid">
        <fgColor rgb="FFFCE4D6"/>
      </patternFill>
    </fill>
    <fill>
      <patternFill patternType="solid">
        <fgColor theme="4" tint="0.7999816888943144"/>
        <bgColor indexed="64"/>
      </patternFill>
    </fill>
    <fill>
      <patternFill patternType="solid">
        <fgColor theme="3" tint="0.3999755851924192"/>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7" fillId="0" borderId="0"/>
    <xf numFmtId="0" fontId="6" fillId="0" borderId="0"/>
    <xf numFmtId="0" fontId="7" fillId="0" borderId="0"/>
  </cellStyleXfs>
  <cellXfs count="35">
    <xf numFmtId="0" fontId="0" fillId="0" borderId="0" pivotButton="0" quotePrefix="0" xfId="0"/>
    <xf numFmtId="0" fontId="1" fillId="0" borderId="0" pivotButton="0" quotePrefix="0" xfId="0"/>
    <xf numFmtId="0" fontId="3" fillId="2" borderId="1" applyAlignment="1" pivotButton="0" quotePrefix="0" xfId="0">
      <alignment horizontal="center"/>
    </xf>
    <xf numFmtId="0" fontId="0" fillId="0" borderId="1" applyAlignment="1" pivotButton="0" quotePrefix="0" xfId="0">
      <alignment horizontal="center"/>
    </xf>
    <xf numFmtId="0" fontId="0" fillId="0" borderId="1" pivotButton="0" quotePrefix="0" xfId="0"/>
    <xf numFmtId="0" fontId="6" fillId="0" borderId="1" applyAlignment="1" pivotButton="0" quotePrefix="0" xfId="1">
      <alignment horizontal="center"/>
    </xf>
    <xf numFmtId="0" fontId="1" fillId="0" borderId="0" applyAlignment="1" pivotButton="0" quotePrefix="0" xfId="0">
      <alignment horizontal="left"/>
    </xf>
    <xf numFmtId="0" fontId="3" fillId="3" borderId="1" applyAlignment="1" pivotButton="0" quotePrefix="0" xfId="0">
      <alignment horizontal="left"/>
    </xf>
    <xf numFmtId="2" fontId="4" fillId="0" borderId="1" pivotButton="0" quotePrefix="0" xfId="0"/>
    <xf numFmtId="10" fontId="4" fillId="0" borderId="1" pivotButton="0" quotePrefix="0" xfId="0"/>
    <xf numFmtId="164" fontId="4" fillId="0" borderId="1" pivotButton="0" quotePrefix="0" xfId="0"/>
    <xf numFmtId="1" fontId="4" fillId="0" borderId="1" pivotButton="0" quotePrefix="0" xfId="0"/>
    <xf numFmtId="0" fontId="3" fillId="0" borderId="1" applyAlignment="1" pivotButton="0" quotePrefix="0" xfId="0">
      <alignment horizontal="left"/>
    </xf>
    <xf numFmtId="0" fontId="3" fillId="6" borderId="1" applyAlignment="1" pivotButton="0" quotePrefix="0" xfId="0">
      <alignment horizontal="left"/>
    </xf>
    <xf numFmtId="165" fontId="4" fillId="0" borderId="1" pivotButton="0" quotePrefix="0" xfId="0"/>
    <xf numFmtId="0" fontId="2" fillId="2" borderId="0" applyAlignment="1" pivotButton="0" quotePrefix="0" xfId="0">
      <alignment horizontal="left"/>
    </xf>
    <xf numFmtId="0" fontId="0" fillId="0" borderId="0" pivotButton="0" quotePrefix="0" xfId="0"/>
    <xf numFmtId="0" fontId="2" fillId="4" borderId="0" pivotButton="0" quotePrefix="0" xfId="0"/>
    <xf numFmtId="0" fontId="2" fillId="5" borderId="0" pivotButton="0" quotePrefix="0" xfId="0"/>
    <xf numFmtId="0" fontId="5" fillId="0" borderId="0" pivotButton="0" quotePrefix="0" xfId="0"/>
    <xf numFmtId="0" fontId="10" fillId="0" borderId="0" applyAlignment="1" pivotButton="0" quotePrefix="0" xfId="2">
      <alignment vertical="center"/>
    </xf>
    <xf numFmtId="0" fontId="7" fillId="0" borderId="0" pivotButton="0" quotePrefix="0" xfId="2"/>
    <xf numFmtId="0" fontId="11" fillId="0" borderId="0" applyAlignment="1" pivotButton="0" quotePrefix="0" xfId="2">
      <alignment vertical="center"/>
    </xf>
    <xf numFmtId="0" fontId="12" fillId="0" borderId="0" pivotButton="0" quotePrefix="0" xfId="2"/>
    <xf numFmtId="0" fontId="13" fillId="0" borderId="0" applyAlignment="1" pivotButton="0" quotePrefix="0" xfId="2">
      <alignment vertical="center"/>
    </xf>
    <xf numFmtId="0" fontId="7" fillId="7" borderId="0" applyAlignment="1" pivotButton="0" quotePrefix="0" xfId="2">
      <alignment horizontal="justify" vertical="justify" wrapText="1"/>
    </xf>
    <xf numFmtId="0" fontId="9" fillId="8" borderId="0" applyAlignment="1" pivotButton="0" quotePrefix="0" xfId="2">
      <alignment vertical="center"/>
    </xf>
    <xf numFmtId="0" fontId="7" fillId="8" borderId="0" pivotButton="0" quotePrefix="0" xfId="2"/>
    <xf numFmtId="0" fontId="9" fillId="9" borderId="0" applyAlignment="1" pivotButton="0" quotePrefix="0" xfId="2">
      <alignment vertical="center"/>
    </xf>
    <xf numFmtId="0" fontId="7" fillId="7" borderId="0" applyAlignment="1" pivotButton="0" quotePrefix="0" xfId="2">
      <alignment horizontal="left" vertical="top" wrapText="1"/>
    </xf>
    <xf numFmtId="0" fontId="8" fillId="10" borderId="0" applyAlignment="1" pivotButton="0" quotePrefix="0" xfId="2">
      <alignment vertical="top" wrapText="1"/>
    </xf>
    <xf numFmtId="0" fontId="7" fillId="0" borderId="0" applyAlignment="1" pivotButton="0" quotePrefix="0" xfId="2">
      <alignment horizontal="left" vertical="center" indent="1"/>
    </xf>
    <xf numFmtId="0" fontId="7" fillId="11" borderId="0" applyAlignment="1" pivotButton="0" quotePrefix="0" xfId="2">
      <alignment horizontal="justify" vertical="justify" wrapText="1"/>
    </xf>
    <xf numFmtId="0" fontId="8" fillId="0" borderId="0" pivotButton="0" quotePrefix="0" xfId="2"/>
    <xf numFmtId="0" fontId="8" fillId="0" borderId="0" applyAlignment="1" pivotButton="0" quotePrefix="0" xfId="2">
      <alignment horizontal="left" vertical="center" indent="1"/>
    </xf>
  </cellXfs>
  <cellStyles count="3">
    <cellStyle name="Normal" xfId="0" builtinId="0"/>
    <cellStyle name="Hyperlink" xfId="1" builtinId="8"/>
    <cellStyle name="Normal 2" xfId="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242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16" workbookViewId="0">
      <selection activeCell="I25" sqref="I25"/>
    </sheetView>
  </sheetViews>
  <sheetFormatPr baseColWidth="8" defaultRowHeight="14.5"/>
  <cols>
    <col width="8.7265625" customWidth="1" style="21" min="1" max="6"/>
    <col width="13.90625" customWidth="1" style="21" min="7" max="7"/>
    <col width="6.81640625" customWidth="1" style="21" min="8" max="8"/>
    <col width="56.36328125" customWidth="1" style="21" min="9" max="9"/>
    <col hidden="1" width="16.6328125" customWidth="1" style="21" min="10" max="10"/>
    <col width="8.7265625" customWidth="1" style="21" min="11" max="16384"/>
  </cols>
  <sheetData>
    <row r="1" ht="31" customHeight="1" s="16">
      <c r="A1" s="20" t="inlineStr">
        <is>
          <t>FINANCIAL MODELING USING EXCEL</t>
        </is>
      </c>
    </row>
    <row r="2"/>
    <row r="3" ht="23.5" customHeight="1" s="16">
      <c r="A3" s="22" t="inlineStr">
        <is>
          <t>Cost of Capital Estimation Using Excel</t>
        </is>
      </c>
    </row>
    <row r="4"/>
    <row r="5">
      <c r="A5" s="23" t="inlineStr">
        <is>
          <t>WACC Computation and Component Cost Analysis</t>
        </is>
      </c>
    </row>
    <row r="6"/>
    <row r="7" ht="23.5" customHeight="1" s="16">
      <c r="A7" s="24" t="inlineStr">
        <is>
          <t>Workbook Purpose</t>
        </is>
      </c>
    </row>
    <row r="8"/>
    <row r="9" ht="132.5" customHeight="1" s="16">
      <c r="A9" s="25" t="inlineStr">
        <is>
          <t>This workbook is designed to develop a clear and structured understanding of cost of capital estimation, with a specific focus on computing the Weighted Average Cost of Capital (WACC) using Excel. It enables learners to quantify the overall cost at which a firm finances its operations by combining the costs of equity, debt, and other capital components in proportion to their market values.
The workbook translates core corporate finance theory into an applied Excel framework commonly used in valuation, capital budgeting, and financial decision-making. By working through the model, learners gain practical insight into how assumptions about risk, capital structure, taxation, and market conditions directly influence a firm’s cost of capital and, consequently, its valuation and investment decisions.</t>
        </is>
      </c>
    </row>
    <row r="10"/>
    <row r="11"/>
    <row r="12"/>
    <row r="13"/>
    <row r="14"/>
    <row r="15" ht="23.5" customHeight="1" s="16">
      <c r="A15" s="26" t="inlineStr">
        <is>
          <t>Key Concepts Covered</t>
        </is>
      </c>
      <c r="B15" s="27" t="n"/>
      <c r="C15" s="27" t="n"/>
      <c r="D15" s="27" t="n"/>
      <c r="E15" s="27" t="n"/>
      <c r="F15" s="27" t="n"/>
      <c r="G15" s="27" t="n"/>
      <c r="I15" s="28" t="inlineStr">
        <is>
          <t>Excel Functions Used</t>
        </is>
      </c>
    </row>
    <row r="16" ht="255.5" customHeight="1" s="16">
      <c r="A16" s="29" t="inlineStr">
        <is>
          <t>Cost of capital as the firm’s required rate of return
Cost of debt estimation using interest rate logic and repayment structure
After-tax cost of debt and the role of corporate taxation
Cost of equity estimation and risk–return interpretation
Capital structure weights and their role in forming WACC
WACC as the discount rate for valuation and capital budgeting
Sensitivity of WACC to assumptions (tax rate, weights, growth, repayment terms)</t>
        </is>
      </c>
      <c r="I16" s="30" t="inlineStr">
        <is>
          <t>RATE – Computes the implied periodic interest rate consistent with the debt cash-flow structure (payment, number of periods, present value, and future value), enabling the model to estimate the effective cost of debt in a structured and internally consistent way.
Model discipline emphasized in this workbook:
Sign conventions: cash outflows and inflows must be entered with correct signs for RATE to return meaningful results.
Frequency alignment: repayment periods and rate periodicity must match (e.g., annual vs monthly).
Auditability: the workbook relies on transparent arithmetic relationships (multiplication, division, exponentiation) around the RATE-driven debt-cost step, keeping the computation chain easy to verify.</t>
        </is>
      </c>
    </row>
    <row r="17">
      <c r="A17" s="31" t="n"/>
    </row>
    <row r="18">
      <c r="A18" s="31" t="n"/>
      <c r="E18" s="32"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33" t="n"/>
    </row>
    <row r="19">
      <c r="A19" s="31" t="n"/>
    </row>
    <row r="20">
      <c r="A20" s="31" t="n"/>
      <c r="I20" s="33" t="n"/>
    </row>
    <row r="21">
      <c r="A21" s="31" t="n"/>
    </row>
    <row r="22">
      <c r="A22" s="31" t="n"/>
      <c r="I22" s="33" t="n"/>
    </row>
    <row r="23">
      <c r="A23" s="31" t="n"/>
    </row>
    <row r="24">
      <c r="A24" s="31" t="n"/>
      <c r="I24" s="33" t="n"/>
    </row>
    <row r="25">
      <c r="A25" s="31" t="n"/>
    </row>
    <row r="26">
      <c r="A26" s="31" t="n"/>
      <c r="I26" s="33" t="n"/>
    </row>
    <row r="27">
      <c r="A27" s="31" t="n"/>
    </row>
    <row r="28">
      <c r="A28" s="31" t="n"/>
      <c r="I28" s="33" t="n"/>
    </row>
    <row r="29">
      <c r="A29" s="31" t="n"/>
    </row>
    <row r="30">
      <c r="A30" s="31" t="n"/>
      <c r="I30" s="33" t="n"/>
    </row>
    <row r="31">
      <c r="A31" s="31" t="n"/>
      <c r="I31" s="31" t="n"/>
    </row>
    <row r="32">
      <c r="A32" s="31" t="n"/>
      <c r="I32" s="34" t="n"/>
    </row>
    <row r="33">
      <c r="A33" s="31"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4472C4"/>
    <outlinePr summaryBelow="1" summaryRight="1"/>
    <pageSetUpPr/>
  </sheetPr>
  <dimension ref="A1:D11"/>
  <sheetViews>
    <sheetView workbookViewId="0">
      <selection activeCell="F13" sqref="F13"/>
    </sheetView>
  </sheetViews>
  <sheetFormatPr baseColWidth="8" defaultRowHeight="14.5"/>
  <cols>
    <col width="42" customWidth="1" style="16" min="1" max="1"/>
    <col width="44.08984375" bestFit="1" customWidth="1" style="16" min="2" max="2"/>
    <col width="34.26953125" bestFit="1" customWidth="1" style="16" min="3" max="3"/>
    <col width="18" customWidth="1" style="16" min="4" max="4"/>
  </cols>
  <sheetData>
    <row r="1" ht="18.5" customHeight="1" s="16">
      <c r="A1" s="1" t="inlineStr">
        <is>
          <t>Cost of Capital – Model 01 – Index</t>
        </is>
      </c>
    </row>
    <row r="2">
      <c r="A2" s="2" t="inlineStr">
        <is>
          <t>S.No</t>
        </is>
      </c>
      <c r="B2" s="2" t="inlineStr">
        <is>
          <t>Company / Problem Title</t>
        </is>
      </c>
      <c r="C2" s="2" t="inlineStr">
        <is>
          <t>Sheet Name</t>
        </is>
      </c>
      <c r="D2" s="2" t="inlineStr">
        <is>
          <t>Link</t>
        </is>
      </c>
    </row>
    <row r="3" ht="15.5" customHeight="1" s="16">
      <c r="A3" s="3" t="n">
        <v>1</v>
      </c>
      <c r="B3" s="4" t="inlineStr">
        <is>
          <t>Problem 1 – Tata Green Energy Ltd – Cost of Capital</t>
        </is>
      </c>
      <c r="C3" s="4" t="inlineStr">
        <is>
          <t>P1_Triveni Green Power Ltd</t>
        </is>
      </c>
      <c r="D3" s="5" t="inlineStr">
        <is>
          <t>Go to sheet</t>
        </is>
      </c>
    </row>
    <row r="4" ht="15.5" customHeight="1" s="16">
      <c r="A4" s="3" t="n">
        <v>2</v>
      </c>
      <c r="B4" s="4" t="inlineStr">
        <is>
          <t>Problem 2 – Reliance Infra Ltd – Cost of Capital</t>
        </is>
      </c>
      <c r="C4" s="4" t="inlineStr">
        <is>
          <t>P2_Aryavarta Infrastructure Finance Ltd</t>
        </is>
      </c>
      <c r="D4" s="5" t="inlineStr">
        <is>
          <t>Go to sheet</t>
        </is>
      </c>
    </row>
    <row r="5" ht="15.5" customHeight="1" s="16">
      <c r="A5" s="3" t="n">
        <v>3</v>
      </c>
      <c r="B5" s="4" t="inlineStr">
        <is>
          <t>Problem 3 – Reliance Ltd – Cost of Capital</t>
        </is>
      </c>
      <c r="C5" s="4" t="inlineStr">
        <is>
          <t>P3_Navratna Industries Ltd</t>
        </is>
      </c>
      <c r="D5" s="5" t="inlineStr">
        <is>
          <t>Go to sheet</t>
        </is>
      </c>
    </row>
    <row r="6" ht="15.5" customHeight="1" s="16">
      <c r="A6" s="3" t="n">
        <v>4</v>
      </c>
      <c r="B6" s="4" t="inlineStr">
        <is>
          <t>Problem 4 – HDFC Bank – Cost of Capital</t>
        </is>
      </c>
      <c r="C6" s="4" t="inlineStr">
        <is>
          <t xml:space="preserve">P4_Samriddhi Banking Corporation </t>
        </is>
      </c>
      <c r="D6" s="5" t="inlineStr">
        <is>
          <t>Go to sheet</t>
        </is>
      </c>
    </row>
    <row r="7" ht="15.5" customHeight="1" s="16">
      <c r="A7" s="3" t="n">
        <v>5</v>
      </c>
      <c r="B7" s="4" t="inlineStr">
        <is>
          <t>Problem 5 – Adani Ports Ltd – Cost of Capital</t>
        </is>
      </c>
      <c r="C7" s="4" t="inlineStr">
        <is>
          <t>P5_Dakshin Ports &amp; Logistics Ltd</t>
        </is>
      </c>
      <c r="D7" s="5" t="inlineStr">
        <is>
          <t>Go to sheet</t>
        </is>
      </c>
    </row>
    <row r="8" ht="15.5" customHeight="1" s="16">
      <c r="A8" s="3" t="n">
        <v>6</v>
      </c>
      <c r="B8" s="4" t="inlineStr">
        <is>
          <t>Problem 6 – Bharti Airtel Ltd – Cost of Capital</t>
        </is>
      </c>
      <c r="C8" s="4" t="inlineStr">
        <is>
          <t>P6_Vistaar Telecom Services Ltd</t>
        </is>
      </c>
      <c r="D8" s="5" t="inlineStr">
        <is>
          <t>Go to sheet</t>
        </is>
      </c>
    </row>
    <row r="9" ht="15.5" customHeight="1" s="16">
      <c r="A9" s="3" t="n">
        <v>7</v>
      </c>
      <c r="B9" s="4" t="inlineStr">
        <is>
          <t>Problem 7 – Tata Motors Ltd – Cost of Capital</t>
        </is>
      </c>
      <c r="C9" s="4" t="inlineStr">
        <is>
          <t xml:space="preserve">P7_Bharatiya Auto Manufacturing Ltd. </t>
        </is>
      </c>
      <c r="D9" s="5" t="inlineStr">
        <is>
          <t>Go to sheet</t>
        </is>
      </c>
    </row>
    <row r="10" ht="15.5" customHeight="1" s="16">
      <c r="A10" s="3" t="n">
        <v>8</v>
      </c>
      <c r="B10" s="4" t="inlineStr">
        <is>
          <t>Problem 8 – Cipla Ltd – Cost of Capital</t>
        </is>
      </c>
      <c r="C10" s="4" t="inlineStr">
        <is>
          <t>P8_Nirmaan Pharma Labs Ltd</t>
        </is>
      </c>
      <c r="D10" s="5" t="inlineStr">
        <is>
          <t>Go to sheet</t>
        </is>
      </c>
    </row>
    <row r="11" ht="15.5" customHeight="1" s="16">
      <c r="A11" s="3" t="n">
        <v>9</v>
      </c>
      <c r="B11" s="4" t="inlineStr">
        <is>
          <t>Problem 9 – Ambuja Cements Ltd – Cost of Capital</t>
        </is>
      </c>
      <c r="C11" s="4" t="inlineStr">
        <is>
          <t>P9_Shakti Cement &amp; Materials Ltd</t>
        </is>
      </c>
      <c r="D11" s="5" t="inlineStr">
        <is>
          <t>Go to sheet</t>
        </is>
      </c>
    </row>
  </sheetData>
  <sheetProtection selectLockedCells="0" selectUnlockedCells="0" sheet="1" objects="1" insertRows="0" insertHyperlinks="1" autoFilter="0" scenarios="1" formatColumns="0" deleteColumns="0" insertColumns="0" pivotTables="0" deleteRows="0" formatCells="0" formatRows="0" sort="0" password="AE3A"/>
  <hyperlinks>
    <hyperlink ref="D3" location="P1_Tata_Green!A1" display="Go to sheet"/>
    <hyperlink ref="D4" location="P2_Reliance_Infra!A1" display="Go to sheet"/>
    <hyperlink ref="D5" location="P3_Reliance_Ltd!A1" display="Go to sheet"/>
    <hyperlink ref="D6" location="P4_HDFC_Bank!A1" display="Go to sheet"/>
    <hyperlink ref="D7" location="P5_Adani_Ports!A1" display="Go to sheet"/>
    <hyperlink ref="D8" location="P6_Bharti_Airtel!A1" display="Go to sheet"/>
    <hyperlink ref="D9" location="P7_Tata_Motors!A1" display="Go to sheet"/>
    <hyperlink ref="D10" location="P8_Cipla!A1" display="Go to sheet"/>
    <hyperlink ref="D11" location="P9_Ambuja_Cements!A1" display="Go to sheet"/>
  </hyperlinks>
  <pageMargins left="0.75" right="0.75" top="1" bottom="1" header="0.5" footer="0.5"/>
</worksheet>
</file>

<file path=xl/worksheets/sheet3.xml><?xml version="1.0" encoding="utf-8"?>
<worksheet xmlns="http://schemas.openxmlformats.org/spreadsheetml/2006/main">
  <sheetPr>
    <tabColor rgb="FF92D050"/>
    <outlinePr summaryBelow="1" summaryRight="1"/>
    <pageSetUpPr/>
  </sheetPr>
  <dimension ref="A1:D45"/>
  <sheetViews>
    <sheetView topLeftCell="A28" workbookViewId="0">
      <selection activeCell="D41" sqref="D41"/>
    </sheetView>
  </sheetViews>
  <sheetFormatPr baseColWidth="8" defaultRowHeight="14.5"/>
  <cols>
    <col width="42" customWidth="1" style="16" min="1" max="1"/>
    <col width="18" customWidth="1" style="16" min="2" max="2"/>
    <col width="28" customWidth="1" style="16" min="3" max="3"/>
    <col width="18" customWidth="1" style="16" min="4" max="4"/>
  </cols>
  <sheetData>
    <row r="1" ht="18.5" customHeight="1" s="16">
      <c r="A1" s="6" t="inlineStr">
        <is>
          <t>Problem 1 – Triveni Green Power Ltd – Cost of Capital</t>
        </is>
      </c>
    </row>
    <row r="2"/>
    <row r="3">
      <c r="A3" s="15" t="inlineStr">
        <is>
          <t>Inputs</t>
        </is>
      </c>
    </row>
    <row r="4">
      <c r="A4" s="7" t="inlineStr">
        <is>
          <t>EPS 2019</t>
        </is>
      </c>
      <c r="B4" s="8" t="n">
        <v>0.75</v>
      </c>
    </row>
    <row r="5">
      <c r="A5" s="7" t="inlineStr">
        <is>
          <t>EPS 2024</t>
        </is>
      </c>
      <c r="B5" s="8" t="n">
        <v>1.25</v>
      </c>
    </row>
    <row r="6">
      <c r="A6" s="7" t="inlineStr">
        <is>
          <t>Payout Ratio</t>
        </is>
      </c>
      <c r="B6" s="9" t="n">
        <v>0.5</v>
      </c>
    </row>
    <row r="7">
      <c r="A7" s="7" t="inlineStr">
        <is>
          <t>Retention Ratio</t>
        </is>
      </c>
      <c r="B7" s="9">
        <f>1-B6</f>
        <v/>
      </c>
    </row>
    <row r="8">
      <c r="A8" s="7" t="inlineStr">
        <is>
          <t>Current Stock Price (P0)</t>
        </is>
      </c>
      <c r="B8" s="10" t="n">
        <v>37.75</v>
      </c>
    </row>
    <row r="9">
      <c r="A9" s="7" t="inlineStr">
        <is>
          <t>Flotation Cost – Equity (as % of price)</t>
        </is>
      </c>
      <c r="B9" s="9" t="n">
        <v>0.015</v>
      </c>
    </row>
    <row r="10">
      <c r="A10" s="7" t="inlineStr">
        <is>
          <t>Face Value of Bond</t>
        </is>
      </c>
      <c r="B10" s="10" t="n">
        <v>25000</v>
      </c>
    </row>
    <row r="11">
      <c r="A11" s="7" t="inlineStr">
        <is>
          <t>Coupon Rate (annual, %)</t>
        </is>
      </c>
      <c r="B11" s="9" t="n">
        <v>0.0475</v>
      </c>
    </row>
    <row r="12">
      <c r="A12" s="7" t="inlineStr">
        <is>
          <t>Term to Maturity (Years)</t>
        </is>
      </c>
      <c r="B12" s="11" t="n">
        <v>15</v>
      </c>
    </row>
    <row r="13">
      <c r="A13" s="7" t="inlineStr">
        <is>
          <t>Payments per Year (CPY)</t>
        </is>
      </c>
      <c r="B13" s="11" t="n">
        <v>4</v>
      </c>
    </row>
    <row r="14">
      <c r="A14" s="7" t="inlineStr">
        <is>
          <t>Flotation Cost – Debt (as % of face)</t>
        </is>
      </c>
      <c r="B14" s="9" t="n">
        <v>0.0125</v>
      </c>
    </row>
    <row r="15">
      <c r="A15" s="7" t="inlineStr">
        <is>
          <t>Redemption Premium (as % of face)</t>
        </is>
      </c>
      <c r="B15" s="9" t="n">
        <v>0.05</v>
      </c>
    </row>
    <row r="16">
      <c r="A16" s="7" t="inlineStr">
        <is>
          <t>Redemption Discount (as % of face)</t>
        </is>
      </c>
      <c r="B16" s="9" t="n">
        <v>0</v>
      </c>
    </row>
    <row r="17">
      <c r="A17" s="7" t="inlineStr">
        <is>
          <t>Corporate Tax Rate</t>
        </is>
      </c>
      <c r="B17" s="9" t="n">
        <v>0.3</v>
      </c>
    </row>
    <row r="18">
      <c r="A18" s="7" t="inlineStr">
        <is>
          <t>Weight of Debt (wd)</t>
        </is>
      </c>
      <c r="B18" s="9" t="n">
        <v>0.4</v>
      </c>
    </row>
    <row r="19">
      <c r="A19" s="7" t="inlineStr">
        <is>
          <t>Weight of Equity (we)</t>
        </is>
      </c>
      <c r="B19" s="9" t="n">
        <v>0.6</v>
      </c>
    </row>
    <row r="20">
      <c r="A20" s="7" t="inlineStr">
        <is>
          <t>Beta (β)</t>
        </is>
      </c>
      <c r="B20" s="8" t="n">
        <v>0.89</v>
      </c>
    </row>
    <row r="21">
      <c r="A21" s="7" t="inlineStr">
        <is>
          <t>Market Return (Rm)</t>
        </is>
      </c>
      <c r="B21" s="9" t="n">
        <v>0.135</v>
      </c>
    </row>
    <row r="22">
      <c r="A22" s="7" t="inlineStr">
        <is>
          <t>Risk-free Rate (Rf)</t>
        </is>
      </c>
      <c r="B22" s="9" t="n">
        <v>0.041</v>
      </c>
    </row>
    <row r="23"/>
    <row r="24">
      <c r="A24" s="17" t="inlineStr">
        <is>
          <t>Derived Parameters</t>
        </is>
      </c>
    </row>
    <row r="25">
      <c r="A25" s="12" t="inlineStr">
        <is>
          <t>Dividend in 2019 (D0 = EPS2019 × Payout)</t>
        </is>
      </c>
      <c r="B25" s="10">
        <f>B4*B6</f>
        <v/>
      </c>
    </row>
    <row r="26">
      <c r="A26" s="12" t="inlineStr">
        <is>
          <t>Growth Rate g (from EPS 2019 → 2024)</t>
        </is>
      </c>
      <c r="B26" s="9">
        <f>(B5/B4)^(1/5)-1</f>
        <v/>
      </c>
    </row>
    <row r="27">
      <c r="A27" s="12" t="inlineStr">
        <is>
          <t>Next-period Dividend (D1 = D0 × (1+g))</t>
        </is>
      </c>
      <c r="B27" s="10">
        <f>B25*(1+B26)</f>
        <v/>
      </c>
    </row>
    <row r="28">
      <c r="A28" s="12" t="inlineStr">
        <is>
          <t>Net Proceeds from Debt Issue</t>
        </is>
      </c>
      <c r="B28" s="10">
        <f>B10*(1-B14)</f>
        <v/>
      </c>
    </row>
    <row r="29">
      <c r="A29" s="12" t="inlineStr">
        <is>
          <t>Redemption Value (Face adjusted for premium/discount)</t>
        </is>
      </c>
      <c r="B29" s="10">
        <f>B10*(1+B15-B16)</f>
        <v/>
      </c>
    </row>
    <row r="30">
      <c r="A30" s="12" t="inlineStr">
        <is>
          <t>Coupon Payment per Period</t>
        </is>
      </c>
      <c r="B30" s="10">
        <f>B10*B11/B13</f>
        <v/>
      </c>
    </row>
    <row r="31">
      <c r="A31" s="12" t="inlineStr">
        <is>
          <t>Number of Periods (NPER = Years × CPY)</t>
        </is>
      </c>
      <c r="B31" s="11">
        <f>B12*B13</f>
        <v/>
      </c>
    </row>
    <row r="32"/>
    <row r="33">
      <c r="A33" s="18" t="inlineStr">
        <is>
          <t>Outputs</t>
        </is>
      </c>
    </row>
    <row r="34">
      <c r="A34" s="13" t="inlineStr">
        <is>
          <t>Cost of Debt per Period (kd_periodic)</t>
        </is>
      </c>
      <c r="B34" s="14">
        <f>RATE(B31,B30,-B28,B29)</f>
        <v/>
      </c>
    </row>
    <row r="35">
      <c r="A35" s="13" t="inlineStr">
        <is>
          <t>Nominal Annual Cost of Debt (kd_annual = kd_periodic × CPY)</t>
        </is>
      </c>
      <c r="B35" s="9">
        <f>B34*B13</f>
        <v/>
      </c>
    </row>
    <row r="36">
      <c r="A36" s="13" t="inlineStr">
        <is>
          <t>After-Tax Cost of Debt (kd_after_tax = kd_annual × (1-T))</t>
        </is>
      </c>
      <c r="B36" s="9">
        <f>B35*(1-B17)</f>
        <v/>
      </c>
    </row>
    <row r="37">
      <c r="A37" s="13" t="inlineStr">
        <is>
          <t>Cost of Equity – Retained Earnings (ke_RE = D1/P0 + g)</t>
        </is>
      </c>
      <c r="B37" s="9">
        <f>B27/B8+B26</f>
        <v/>
      </c>
    </row>
    <row r="38">
      <c r="A38" s="13" t="inlineStr">
        <is>
          <t>Cost of Equity – New Equity (ke_NE = D1 / [P0×(1-flotation)] + g)</t>
        </is>
      </c>
      <c r="B38" s="9">
        <f>B27/(B8*(1-B9))+B26</f>
        <v/>
      </c>
    </row>
    <row r="39">
      <c r="A39" s="13" t="inlineStr">
        <is>
          <t>Cost of Equity – CAPM (ke_CAPM = Rf + β(Rm - Rf))</t>
        </is>
      </c>
      <c r="B39" s="9">
        <f>B22+B20*(B21-B22)</f>
        <v/>
      </c>
    </row>
    <row r="40">
      <c r="A40" s="13" t="inlineStr">
        <is>
          <t>WACC based on Retained Earnings</t>
        </is>
      </c>
      <c r="B40" s="9">
        <f>B18*B36+B19*B37</f>
        <v/>
      </c>
    </row>
    <row r="41">
      <c r="A41" s="13" t="inlineStr">
        <is>
          <t>WACC based on New Equity</t>
        </is>
      </c>
      <c r="B41" s="9">
        <f>B18*B36+B19*B38</f>
        <v/>
      </c>
    </row>
    <row r="42">
      <c r="A42" s="13" t="inlineStr">
        <is>
          <t>WACC based on CAPM Cost of Equity</t>
        </is>
      </c>
      <c r="B42" s="9">
        <f>B18*B36+B19*B39</f>
        <v/>
      </c>
    </row>
    <row r="43"/>
    <row r="44"/>
    <row r="45">
      <c r="A45" s="19" t="inlineStr">
        <is>
          <t>Note: All rates are stored in decimal form and displayed as percentages. PV (net proceeds) is entered as a negative value in RATE() to follow cash-flow sign convention.</t>
        </is>
      </c>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A45:D45"/>
    <mergeCell ref="A33:B33"/>
    <mergeCell ref="A24:B24"/>
    <mergeCell ref="A3:B3"/>
  </mergeCells>
  <pageMargins left="0.75" right="0.75" top="1" bottom="1" header="0.5" footer="0.5"/>
</worksheet>
</file>

<file path=xl/worksheets/sheet4.xml><?xml version="1.0" encoding="utf-8"?>
<worksheet xmlns="http://schemas.openxmlformats.org/spreadsheetml/2006/main">
  <sheetPr>
    <tabColor rgb="FF92D050"/>
    <outlinePr summaryBelow="1" summaryRight="1"/>
    <pageSetUpPr/>
  </sheetPr>
  <dimension ref="A1:D45"/>
  <sheetViews>
    <sheetView workbookViewId="0">
      <selection activeCell="A2" sqref="A2"/>
    </sheetView>
  </sheetViews>
  <sheetFormatPr baseColWidth="8" defaultRowHeight="14.5"/>
  <cols>
    <col width="42" customWidth="1" style="16" min="1" max="1"/>
    <col width="18" customWidth="1" style="16" min="2" max="2"/>
    <col width="28" customWidth="1" style="16" min="3" max="3"/>
    <col width="18" customWidth="1" style="16" min="4" max="4"/>
  </cols>
  <sheetData>
    <row r="1" ht="18.5" customHeight="1" s="16">
      <c r="A1" s="6" t="inlineStr">
        <is>
          <t>Problem 2 – Aryavarta Infrastructure  – Cost of Capital</t>
        </is>
      </c>
    </row>
    <row r="2"/>
    <row r="3">
      <c r="A3" s="15" t="inlineStr">
        <is>
          <t>Inputs</t>
        </is>
      </c>
    </row>
    <row r="4">
      <c r="A4" s="7" t="inlineStr">
        <is>
          <t>EPS 2019</t>
        </is>
      </c>
      <c r="B4" s="8" t="n">
        <v>4.25</v>
      </c>
    </row>
    <row r="5">
      <c r="A5" s="7" t="inlineStr">
        <is>
          <t>EPS 2024</t>
        </is>
      </c>
      <c r="B5" s="8" t="n">
        <v>8.25</v>
      </c>
    </row>
    <row r="6">
      <c r="A6" s="7" t="inlineStr">
        <is>
          <t>Payout Ratio</t>
        </is>
      </c>
      <c r="B6" s="9" t="n">
        <v>0.35</v>
      </c>
    </row>
    <row r="7">
      <c r="A7" s="7" t="inlineStr">
        <is>
          <t>Retention Ratio</t>
        </is>
      </c>
      <c r="B7" s="9">
        <f>1-B6</f>
        <v/>
      </c>
    </row>
    <row r="8">
      <c r="A8" s="7" t="inlineStr">
        <is>
          <t>Current Stock Price (P0)</t>
        </is>
      </c>
      <c r="B8" s="10" t="n">
        <v>45.5</v>
      </c>
    </row>
    <row r="9">
      <c r="A9" s="7" t="inlineStr">
        <is>
          <t>Flotation Cost – Equity (as % of price)</t>
        </is>
      </c>
      <c r="B9" s="9" t="n">
        <v>0.025</v>
      </c>
    </row>
    <row r="10">
      <c r="A10" s="7" t="inlineStr">
        <is>
          <t>Face Value of Bond</t>
        </is>
      </c>
      <c r="B10" s="10" t="n">
        <v>50000</v>
      </c>
    </row>
    <row r="11">
      <c r="A11" s="7" t="inlineStr">
        <is>
          <t>Coupon Rate (annual, %)</t>
        </is>
      </c>
      <c r="B11" s="9" t="n">
        <v>0.0425</v>
      </c>
    </row>
    <row r="12">
      <c r="A12" s="7" t="inlineStr">
        <is>
          <t>Term to Maturity (Years)</t>
        </is>
      </c>
      <c r="B12" s="11" t="n">
        <v>20</v>
      </c>
    </row>
    <row r="13">
      <c r="A13" s="7" t="inlineStr">
        <is>
          <t>Payments per Year (CPY)</t>
        </is>
      </c>
      <c r="B13" s="11" t="n">
        <v>2</v>
      </c>
    </row>
    <row r="14">
      <c r="A14" s="7" t="inlineStr">
        <is>
          <t>Flotation Cost – Debt (as % of face)</t>
        </is>
      </c>
      <c r="B14" s="9" t="n">
        <v>0.0175</v>
      </c>
    </row>
    <row r="15">
      <c r="A15" s="7" t="inlineStr">
        <is>
          <t>Redemption Premium (as % of face)</t>
        </is>
      </c>
      <c r="B15" s="9" t="n">
        <v>0</v>
      </c>
    </row>
    <row r="16">
      <c r="A16" s="7" t="inlineStr">
        <is>
          <t>Redemption Discount (as % of face)</t>
        </is>
      </c>
      <c r="B16" s="9" t="n">
        <v>0.05</v>
      </c>
    </row>
    <row r="17">
      <c r="A17" s="7" t="inlineStr">
        <is>
          <t>Corporate Tax Rate</t>
        </is>
      </c>
      <c r="B17" s="9" t="n">
        <v>0.35</v>
      </c>
    </row>
    <row r="18">
      <c r="A18" s="7" t="inlineStr">
        <is>
          <t>Weight of Debt (wd)</t>
        </is>
      </c>
      <c r="B18" s="9" t="n">
        <v>0.5</v>
      </c>
    </row>
    <row r="19">
      <c r="A19" s="7" t="inlineStr">
        <is>
          <t>Weight of Equity (we)</t>
        </is>
      </c>
      <c r="B19" s="9" t="n">
        <v>0.5</v>
      </c>
    </row>
    <row r="20">
      <c r="A20" s="7" t="inlineStr">
        <is>
          <t>Beta (β)</t>
        </is>
      </c>
      <c r="B20" s="8" t="n">
        <v>0.78</v>
      </c>
    </row>
    <row r="21">
      <c r="A21" s="7" t="inlineStr">
        <is>
          <t>Market Return (Rm)</t>
        </is>
      </c>
      <c r="B21" s="9" t="n">
        <v>0.1465</v>
      </c>
    </row>
    <row r="22">
      <c r="A22" s="7" t="inlineStr">
        <is>
          <t>Risk-free Rate (Rf)</t>
        </is>
      </c>
      <c r="B22" s="9" t="n">
        <v>0.0385</v>
      </c>
    </row>
    <row r="23"/>
    <row r="24">
      <c r="A24" s="17" t="inlineStr">
        <is>
          <t>Derived Parameters</t>
        </is>
      </c>
    </row>
    <row r="25">
      <c r="A25" s="12" t="inlineStr">
        <is>
          <t>Dividend in 2019 (D0 = EPS2019 × Payout)</t>
        </is>
      </c>
      <c r="B25" s="10">
        <f>B4*B6</f>
        <v/>
      </c>
    </row>
    <row r="26">
      <c r="A26" s="12" t="inlineStr">
        <is>
          <t>Growth Rate g (from EPS 2019 → 2024)</t>
        </is>
      </c>
      <c r="B26" s="9">
        <f>(B5/B4)^(1/5)-1</f>
        <v/>
      </c>
    </row>
    <row r="27">
      <c r="A27" s="12" t="inlineStr">
        <is>
          <t>Next-period Dividend (D1 = D0 × (1+g))</t>
        </is>
      </c>
      <c r="B27" s="10">
        <f>B25*(1+B26)</f>
        <v/>
      </c>
    </row>
    <row r="28">
      <c r="A28" s="12" t="inlineStr">
        <is>
          <t>Net Proceeds from Debt Issue</t>
        </is>
      </c>
      <c r="B28" s="10">
        <f>B10*(1-B14)</f>
        <v/>
      </c>
    </row>
    <row r="29">
      <c r="A29" s="12" t="inlineStr">
        <is>
          <t>Redemption Value (Face adjusted for premium/discount)</t>
        </is>
      </c>
      <c r="B29" s="10">
        <f>B10*(1+B15-B16)</f>
        <v/>
      </c>
    </row>
    <row r="30">
      <c r="A30" s="12" t="inlineStr">
        <is>
          <t>Coupon Payment per Period</t>
        </is>
      </c>
      <c r="B30" s="10">
        <f>B10*B11/B13</f>
        <v/>
      </c>
    </row>
    <row r="31">
      <c r="A31" s="12" t="inlineStr">
        <is>
          <t>Number of Periods (NPER = Years × CPY)</t>
        </is>
      </c>
      <c r="B31" s="11">
        <f>B12*B13</f>
        <v/>
      </c>
    </row>
    <row r="32"/>
    <row r="33">
      <c r="A33" s="18" t="inlineStr">
        <is>
          <t>Outputs</t>
        </is>
      </c>
    </row>
    <row r="34">
      <c r="A34" s="13" t="inlineStr">
        <is>
          <t>Cost of Debt per Period (kd_periodic)</t>
        </is>
      </c>
      <c r="B34" s="14">
        <f>RATE(B31,B30,-B28,B29)</f>
        <v/>
      </c>
    </row>
    <row r="35">
      <c r="A35" s="13" t="inlineStr">
        <is>
          <t>Nominal Annual Cost of Debt (kd_annual = kd_periodic × CPY)</t>
        </is>
      </c>
      <c r="B35" s="9">
        <f>B34*B13</f>
        <v/>
      </c>
    </row>
    <row r="36">
      <c r="A36" s="13" t="inlineStr">
        <is>
          <t>After-Tax Cost of Debt (kd_after_tax = kd_annual × (1-T))</t>
        </is>
      </c>
      <c r="B36" s="9">
        <f>B35*(1-B17)</f>
        <v/>
      </c>
    </row>
    <row r="37">
      <c r="A37" s="13" t="inlineStr">
        <is>
          <t>Cost of Equity – Retained Earnings (ke_RE = D1/P0 + g)</t>
        </is>
      </c>
      <c r="B37" s="9">
        <f>B27/B8+B26</f>
        <v/>
      </c>
    </row>
    <row r="38">
      <c r="A38" s="13" t="inlineStr">
        <is>
          <t>Cost of Equity – New Equity (ke_NE = D1 / [P0×(1-flotation)] + g)</t>
        </is>
      </c>
      <c r="B38" s="9">
        <f>B27/(B8*(1-B9))+B26</f>
        <v/>
      </c>
    </row>
    <row r="39">
      <c r="A39" s="13" t="inlineStr">
        <is>
          <t>Cost of Equity – CAPM (ke_CAPM = Rf + β(Rm - Rf))</t>
        </is>
      </c>
      <c r="B39" s="9">
        <f>B22+B20*(B21-B22)</f>
        <v/>
      </c>
    </row>
    <row r="40">
      <c r="A40" s="13" t="inlineStr">
        <is>
          <t>WACC based on Retained Earnings</t>
        </is>
      </c>
      <c r="B40" s="9">
        <f>B18*B36+B19*B37</f>
        <v/>
      </c>
    </row>
    <row r="41">
      <c r="A41" s="13" t="inlineStr">
        <is>
          <t>WACC based on New Equity</t>
        </is>
      </c>
      <c r="B41" s="9">
        <f>B18*B36+B19*B38</f>
        <v/>
      </c>
    </row>
    <row r="42">
      <c r="A42" s="13" t="inlineStr">
        <is>
          <t>WACC based on CAPM Cost of Equity</t>
        </is>
      </c>
      <c r="B42" s="9">
        <f>B18*B36+B19*B39</f>
        <v/>
      </c>
    </row>
    <row r="43"/>
    <row r="44"/>
    <row r="45">
      <c r="A45" s="19" t="inlineStr">
        <is>
          <t>Note: All rates are stored in decimal form and displayed as percentages. PV (net proceeds) is entered as a negative value in RATE() to follow cash-flow sign convention.</t>
        </is>
      </c>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A45:D45"/>
    <mergeCell ref="A33:B33"/>
    <mergeCell ref="A24:B24"/>
    <mergeCell ref="A3:B3"/>
  </mergeCells>
  <pageMargins left="0.75" right="0.75" top="1" bottom="1" header="0.5" footer="0.5"/>
</worksheet>
</file>

<file path=xl/worksheets/sheet5.xml><?xml version="1.0" encoding="utf-8"?>
<worksheet xmlns="http://schemas.openxmlformats.org/spreadsheetml/2006/main">
  <sheetPr>
    <tabColor rgb="FF92D050"/>
    <outlinePr summaryBelow="1" summaryRight="1"/>
    <pageSetUpPr/>
  </sheetPr>
  <dimension ref="A1:D45"/>
  <sheetViews>
    <sheetView workbookViewId="0">
      <selection activeCell="A2" sqref="A2"/>
    </sheetView>
  </sheetViews>
  <sheetFormatPr baseColWidth="8" defaultRowHeight="14.5"/>
  <cols>
    <col width="42" customWidth="1" style="16" min="1" max="1"/>
    <col width="18" customWidth="1" style="16" min="2" max="2"/>
    <col width="28" customWidth="1" style="16" min="3" max="3"/>
    <col width="18" customWidth="1" style="16" min="4" max="4"/>
  </cols>
  <sheetData>
    <row r="1" ht="18.5" customHeight="1" s="16">
      <c r="A1" s="6" t="inlineStr">
        <is>
          <t>Problem 3 – Navratna Industries – Cost of Capital</t>
        </is>
      </c>
    </row>
    <row r="2"/>
    <row r="3">
      <c r="A3" s="15" t="inlineStr">
        <is>
          <t>Inputs</t>
        </is>
      </c>
    </row>
    <row r="4">
      <c r="A4" s="7" t="inlineStr">
        <is>
          <t>EPS 2019</t>
        </is>
      </c>
      <c r="B4" s="8" t="n">
        <v>10</v>
      </c>
    </row>
    <row r="5">
      <c r="A5" s="7" t="inlineStr">
        <is>
          <t>EPS 2024</t>
        </is>
      </c>
      <c r="B5" s="8" t="n">
        <v>11.25</v>
      </c>
    </row>
    <row r="6">
      <c r="A6" s="7" t="inlineStr">
        <is>
          <t>Payout Ratio</t>
        </is>
      </c>
      <c r="B6" s="9" t="n">
        <v>0.5</v>
      </c>
    </row>
    <row r="7">
      <c r="A7" s="7" t="inlineStr">
        <is>
          <t>Retention Ratio</t>
        </is>
      </c>
      <c r="B7" s="9">
        <f>1-B6</f>
        <v/>
      </c>
    </row>
    <row r="8">
      <c r="A8" s="7" t="inlineStr">
        <is>
          <t>Current Stock Price (P0)</t>
        </is>
      </c>
      <c r="B8" s="10" t="n">
        <v>37.75</v>
      </c>
    </row>
    <row r="9">
      <c r="A9" s="7" t="inlineStr">
        <is>
          <t>Flotation Cost – Equity (as % of price)</t>
        </is>
      </c>
      <c r="B9" s="9" t="n">
        <v>0.025</v>
      </c>
    </row>
    <row r="10">
      <c r="A10" s="7" t="inlineStr">
        <is>
          <t>Face Value of Bond</t>
        </is>
      </c>
      <c r="B10" s="10" t="n">
        <v>10000</v>
      </c>
    </row>
    <row r="11">
      <c r="A11" s="7" t="inlineStr">
        <is>
          <t>Coupon Rate (annual, %)</t>
        </is>
      </c>
      <c r="B11" s="9" t="n">
        <v>0.0525</v>
      </c>
    </row>
    <row r="12">
      <c r="A12" s="7" t="inlineStr">
        <is>
          <t>Term to Maturity (Years)</t>
        </is>
      </c>
      <c r="B12" s="11" t="n">
        <v>10</v>
      </c>
    </row>
    <row r="13">
      <c r="A13" s="7" t="inlineStr">
        <is>
          <t>Payments per Year (CPY)</t>
        </is>
      </c>
      <c r="B13" s="11" t="n">
        <v>2</v>
      </c>
    </row>
    <row r="14">
      <c r="A14" s="7" t="inlineStr">
        <is>
          <t>Flotation Cost – Debt (as % of face)</t>
        </is>
      </c>
      <c r="B14" s="9" t="n">
        <v>0.0275</v>
      </c>
    </row>
    <row r="15">
      <c r="A15" s="7" t="inlineStr">
        <is>
          <t>Redemption Premium (as % of face)</t>
        </is>
      </c>
      <c r="B15" s="9" t="n">
        <v>0</v>
      </c>
    </row>
    <row r="16">
      <c r="A16" s="7" t="inlineStr">
        <is>
          <t>Redemption Discount (as % of face)</t>
        </is>
      </c>
      <c r="B16" s="9" t="n">
        <v>0.025</v>
      </c>
    </row>
    <row r="17">
      <c r="A17" s="7" t="inlineStr">
        <is>
          <t>Corporate Tax Rate</t>
        </is>
      </c>
      <c r="B17" s="9" t="n">
        <v>0.4</v>
      </c>
    </row>
    <row r="18">
      <c r="A18" s="7" t="inlineStr">
        <is>
          <t>Weight of Debt (wd)</t>
        </is>
      </c>
      <c r="B18" s="9" t="n">
        <v>0.5</v>
      </c>
    </row>
    <row r="19">
      <c r="A19" s="7" t="inlineStr">
        <is>
          <t>Weight of Equity (we)</t>
        </is>
      </c>
      <c r="B19" s="9" t="n">
        <v>0.5</v>
      </c>
    </row>
    <row r="20">
      <c r="A20" s="7" t="inlineStr">
        <is>
          <t>Beta (β)</t>
        </is>
      </c>
      <c r="B20" s="8" t="n">
        <v>0.92</v>
      </c>
    </row>
    <row r="21">
      <c r="A21" s="7" t="inlineStr">
        <is>
          <t>Market Return (Rm)</t>
        </is>
      </c>
      <c r="B21" s="9" t="n">
        <v>0.1565</v>
      </c>
    </row>
    <row r="22">
      <c r="A22" s="7" t="inlineStr">
        <is>
          <t>Risk-free Rate (Rf)</t>
        </is>
      </c>
      <c r="B22" s="9" t="n">
        <v>0.051</v>
      </c>
    </row>
    <row r="23"/>
    <row r="24">
      <c r="A24" s="17" t="inlineStr">
        <is>
          <t>Derived Parameters</t>
        </is>
      </c>
    </row>
    <row r="25">
      <c r="A25" s="12" t="inlineStr">
        <is>
          <t>Dividend in 2019 (D0 = EPS2019 × Payout)</t>
        </is>
      </c>
      <c r="B25" s="10">
        <f>B4*B6</f>
        <v/>
      </c>
    </row>
    <row r="26">
      <c r="A26" s="12" t="inlineStr">
        <is>
          <t>Growth Rate g (from EPS 2019 → 2024)</t>
        </is>
      </c>
      <c r="B26" s="9">
        <f>(B5/B4)^(1/5)-1</f>
        <v/>
      </c>
    </row>
    <row r="27">
      <c r="A27" s="12" t="inlineStr">
        <is>
          <t>Next-period Dividend (D1 = D0 × (1+g))</t>
        </is>
      </c>
      <c r="B27" s="10">
        <f>B25*(1+B26)</f>
        <v/>
      </c>
    </row>
    <row r="28">
      <c r="A28" s="12" t="inlineStr">
        <is>
          <t>Net Proceeds from Debt Issue</t>
        </is>
      </c>
      <c r="B28" s="10">
        <f>B10*(1-B14)</f>
        <v/>
      </c>
    </row>
    <row r="29">
      <c r="A29" s="12" t="inlineStr">
        <is>
          <t>Redemption Value (Face adjusted for premium/discount)</t>
        </is>
      </c>
      <c r="B29" s="10">
        <f>B10*(1+B15-B16)</f>
        <v/>
      </c>
    </row>
    <row r="30">
      <c r="A30" s="12" t="inlineStr">
        <is>
          <t>Coupon Payment per Period</t>
        </is>
      </c>
      <c r="B30" s="10">
        <f>B10*B11/B13</f>
        <v/>
      </c>
    </row>
    <row r="31">
      <c r="A31" s="12" t="inlineStr">
        <is>
          <t>Number of Periods (NPER = Years × CPY)</t>
        </is>
      </c>
      <c r="B31" s="11">
        <f>B12*B13</f>
        <v/>
      </c>
    </row>
    <row r="32"/>
    <row r="33">
      <c r="A33" s="18" t="inlineStr">
        <is>
          <t>Outputs</t>
        </is>
      </c>
    </row>
    <row r="34">
      <c r="A34" s="13" t="inlineStr">
        <is>
          <t>Cost of Debt per Period (kd_periodic)</t>
        </is>
      </c>
      <c r="B34" s="14">
        <f>RATE(B31,B30,-B28,B29)</f>
        <v/>
      </c>
    </row>
    <row r="35">
      <c r="A35" s="13" t="inlineStr">
        <is>
          <t>Nominal Annual Cost of Debt (kd_annual = kd_periodic × CPY)</t>
        </is>
      </c>
      <c r="B35" s="9">
        <f>B34*B13</f>
        <v/>
      </c>
    </row>
    <row r="36">
      <c r="A36" s="13" t="inlineStr">
        <is>
          <t>After-Tax Cost of Debt (kd_after_tax = kd_annual × (1-T))</t>
        </is>
      </c>
      <c r="B36" s="9">
        <f>B35*(1-B17)</f>
        <v/>
      </c>
    </row>
    <row r="37">
      <c r="A37" s="13" t="inlineStr">
        <is>
          <t>Cost of Equity – Retained Earnings (ke_RE = D1/P0 + g)</t>
        </is>
      </c>
      <c r="B37" s="9">
        <f>B27/B8+B26</f>
        <v/>
      </c>
    </row>
    <row r="38">
      <c r="A38" s="13" t="inlineStr">
        <is>
          <t>Cost of Equity – New Equity (ke_NE = D1 / [P0×(1-flotation)] + g)</t>
        </is>
      </c>
      <c r="B38" s="9">
        <f>B27/(B8*(1-B9))+B26</f>
        <v/>
      </c>
    </row>
    <row r="39">
      <c r="A39" s="13" t="inlineStr">
        <is>
          <t>Cost of Equity – CAPM (ke_CAPM = Rf + β(Rm - Rf))</t>
        </is>
      </c>
      <c r="B39" s="9">
        <f>B22+B20*(B21-B22)</f>
        <v/>
      </c>
    </row>
    <row r="40">
      <c r="A40" s="13" t="inlineStr">
        <is>
          <t>WACC based on Retained Earnings</t>
        </is>
      </c>
      <c r="B40" s="9">
        <f>B18*B36+B19*B37</f>
        <v/>
      </c>
    </row>
    <row r="41">
      <c r="A41" s="13" t="inlineStr">
        <is>
          <t>WACC based on New Equity</t>
        </is>
      </c>
      <c r="B41" s="9">
        <f>B18*B36+B19*B38</f>
        <v/>
      </c>
    </row>
    <row r="42">
      <c r="A42" s="13" t="inlineStr">
        <is>
          <t>WACC based on CAPM Cost of Equity</t>
        </is>
      </c>
      <c r="B42" s="9">
        <f>B18*B36+B19*B39</f>
        <v/>
      </c>
    </row>
    <row r="43"/>
    <row r="44"/>
    <row r="45">
      <c r="A45" s="19" t="inlineStr">
        <is>
          <t>Note: All rates are stored in decimal form and displayed as percentages. PV (net proceeds) is entered as a negative value in RATE() to follow cash-flow sign convention.</t>
        </is>
      </c>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A45:D45"/>
    <mergeCell ref="A33:B33"/>
    <mergeCell ref="A24:B24"/>
    <mergeCell ref="A3:B3"/>
  </mergeCells>
  <pageMargins left="0.75" right="0.75" top="1" bottom="1" header="0.5" footer="0.5"/>
</worksheet>
</file>

<file path=xl/worksheets/sheet6.xml><?xml version="1.0" encoding="utf-8"?>
<worksheet xmlns="http://schemas.openxmlformats.org/spreadsheetml/2006/main">
  <sheetPr>
    <tabColor rgb="FF92D050"/>
    <outlinePr summaryBelow="1" summaryRight="1"/>
    <pageSetUpPr/>
  </sheetPr>
  <dimension ref="A1:D45"/>
  <sheetViews>
    <sheetView workbookViewId="0">
      <selection activeCell="D11" sqref="D11"/>
    </sheetView>
  </sheetViews>
  <sheetFormatPr baseColWidth="8" defaultRowHeight="14.5"/>
  <cols>
    <col width="42" customWidth="1" style="16" min="1" max="1"/>
    <col width="18" customWidth="1" style="16" min="2" max="2"/>
    <col width="28" customWidth="1" style="16" min="3" max="3"/>
    <col width="18" customWidth="1" style="16" min="4" max="4"/>
  </cols>
  <sheetData>
    <row r="1" ht="18.5" customHeight="1" s="16">
      <c r="A1" s="6" t="inlineStr">
        <is>
          <t xml:space="preserve">Problem 4 – Samriddhi Banking </t>
        </is>
      </c>
    </row>
    <row r="2"/>
    <row r="3">
      <c r="A3" s="15" t="inlineStr">
        <is>
          <t>Inputs</t>
        </is>
      </c>
    </row>
    <row r="4">
      <c r="A4" s="7" t="inlineStr">
        <is>
          <t>EPS 2019</t>
        </is>
      </c>
      <c r="B4" s="8" t="n">
        <v>25</v>
      </c>
    </row>
    <row r="5">
      <c r="A5" s="7" t="inlineStr">
        <is>
          <t>EPS 2024</t>
        </is>
      </c>
      <c r="B5" s="8" t="n">
        <v>38.5</v>
      </c>
    </row>
    <row r="6">
      <c r="A6" s="7" t="inlineStr">
        <is>
          <t>Payout Ratio</t>
        </is>
      </c>
      <c r="B6" s="9" t="n">
        <v>0.5</v>
      </c>
    </row>
    <row r="7">
      <c r="A7" s="7" t="inlineStr">
        <is>
          <t>Retention Ratio</t>
        </is>
      </c>
      <c r="B7" s="9">
        <f>1-B6</f>
        <v/>
      </c>
    </row>
    <row r="8">
      <c r="A8" s="7" t="inlineStr">
        <is>
          <t>Current Stock Price (P0)</t>
        </is>
      </c>
      <c r="B8" s="10" t="n">
        <v>267</v>
      </c>
    </row>
    <row r="9">
      <c r="A9" s="7" t="inlineStr">
        <is>
          <t>Flotation Cost – Equity (as % of price)</t>
        </is>
      </c>
      <c r="B9" s="9" t="n">
        <v>0.02</v>
      </c>
    </row>
    <row r="10">
      <c r="A10" s="7" t="inlineStr">
        <is>
          <t>Face Value of Bond</t>
        </is>
      </c>
      <c r="B10" s="10" t="n">
        <v>100000</v>
      </c>
    </row>
    <row r="11">
      <c r="A11" s="7" t="inlineStr">
        <is>
          <t>Coupon Rate (annual, %)</t>
        </is>
      </c>
      <c r="B11" s="9" t="n">
        <v>0.0525</v>
      </c>
    </row>
    <row r="12">
      <c r="A12" s="7" t="inlineStr">
        <is>
          <t>Term to Maturity (Years)</t>
        </is>
      </c>
      <c r="B12" s="11" t="n">
        <v>10</v>
      </c>
    </row>
    <row r="13">
      <c r="A13" s="7" t="inlineStr">
        <is>
          <t>Payments per Year (CPY)</t>
        </is>
      </c>
      <c r="B13" s="11" t="n">
        <v>2</v>
      </c>
    </row>
    <row r="14">
      <c r="A14" s="7" t="inlineStr">
        <is>
          <t>Flotation Cost – Debt (as % of face)</t>
        </is>
      </c>
      <c r="B14" s="9" t="n">
        <v>0.0175</v>
      </c>
    </row>
    <row r="15">
      <c r="A15" s="7" t="inlineStr">
        <is>
          <t>Redemption Premium (as % of face)</t>
        </is>
      </c>
      <c r="B15" s="9" t="n">
        <v>0</v>
      </c>
    </row>
    <row r="16">
      <c r="A16" s="7" t="inlineStr">
        <is>
          <t>Redemption Discount (as % of face)</t>
        </is>
      </c>
      <c r="B16" s="9" t="n">
        <v>0.0325</v>
      </c>
    </row>
    <row r="17">
      <c r="A17" s="7" t="inlineStr">
        <is>
          <t>Corporate Tax Rate</t>
        </is>
      </c>
      <c r="B17" s="9" t="n">
        <v>0.25</v>
      </c>
    </row>
    <row r="18">
      <c r="A18" s="7" t="inlineStr">
        <is>
          <t>Weight of Debt (wd)</t>
        </is>
      </c>
      <c r="B18" s="9" t="n">
        <v>0.3</v>
      </c>
    </row>
    <row r="19">
      <c r="A19" s="7" t="inlineStr">
        <is>
          <t>Weight of Equity (we)</t>
        </is>
      </c>
      <c r="B19" s="9" t="n">
        <v>0.7</v>
      </c>
    </row>
    <row r="20">
      <c r="A20" s="7" t="inlineStr">
        <is>
          <t>Beta (β)</t>
        </is>
      </c>
      <c r="B20" s="8" t="n">
        <v>0.65</v>
      </c>
    </row>
    <row r="21">
      <c r="A21" s="7" t="inlineStr">
        <is>
          <t>Market Return (Rm)</t>
        </is>
      </c>
      <c r="B21" s="9" t="n">
        <v>0.1245</v>
      </c>
    </row>
    <row r="22">
      <c r="A22" s="7" t="inlineStr">
        <is>
          <t>Risk-free Rate (Rf)</t>
        </is>
      </c>
      <c r="B22" s="9" t="n">
        <v>0.0365</v>
      </c>
    </row>
    <row r="23"/>
    <row r="24">
      <c r="A24" s="17" t="inlineStr">
        <is>
          <t>Derived Parameters</t>
        </is>
      </c>
    </row>
    <row r="25">
      <c r="A25" s="12" t="inlineStr">
        <is>
          <t>Dividend in 2019 (D0 = EPS2019 × Payout)</t>
        </is>
      </c>
      <c r="B25" s="10">
        <f>B4*B6</f>
        <v/>
      </c>
    </row>
    <row r="26">
      <c r="A26" s="12" t="inlineStr">
        <is>
          <t>Growth Rate g (from EPS 2019 → 2024)</t>
        </is>
      </c>
      <c r="B26" s="9">
        <f>(B5/B4)^(1/5)-1</f>
        <v/>
      </c>
    </row>
    <row r="27">
      <c r="A27" s="12" t="inlineStr">
        <is>
          <t>Next-period Dividend (D1 = D0 × (1+g))</t>
        </is>
      </c>
      <c r="B27" s="10">
        <f>B25*(1+B26)</f>
        <v/>
      </c>
    </row>
    <row r="28">
      <c r="A28" s="12" t="inlineStr">
        <is>
          <t>Net Proceeds from Debt Issue</t>
        </is>
      </c>
      <c r="B28" s="10">
        <f>B10*(1-B14)</f>
        <v/>
      </c>
    </row>
    <row r="29">
      <c r="A29" s="12" t="inlineStr">
        <is>
          <t>Redemption Value (Face adjusted for premium/discount)</t>
        </is>
      </c>
      <c r="B29" s="10">
        <f>B10*(1+B15-B16)</f>
        <v/>
      </c>
    </row>
    <row r="30">
      <c r="A30" s="12" t="inlineStr">
        <is>
          <t>Coupon Payment per Period</t>
        </is>
      </c>
      <c r="B30" s="10">
        <f>B10*B11/B13</f>
        <v/>
      </c>
    </row>
    <row r="31">
      <c r="A31" s="12" t="inlineStr">
        <is>
          <t>Number of Periods (NPER = Years × CPY)</t>
        </is>
      </c>
      <c r="B31" s="11">
        <f>B12*B13</f>
        <v/>
      </c>
    </row>
    <row r="32"/>
    <row r="33">
      <c r="A33" s="18" t="inlineStr">
        <is>
          <t>Outputs</t>
        </is>
      </c>
    </row>
    <row r="34">
      <c r="A34" s="13" t="inlineStr">
        <is>
          <t>Cost of Debt per Period (kd_periodic)</t>
        </is>
      </c>
      <c r="B34" s="14">
        <f>RATE(B31,B30,-B28,B29)</f>
        <v/>
      </c>
    </row>
    <row r="35">
      <c r="A35" s="13" t="inlineStr">
        <is>
          <t>Nominal Annual Cost of Debt (kd_annual = kd_periodic × CPY)</t>
        </is>
      </c>
      <c r="B35" s="9">
        <f>B34*B13</f>
        <v/>
      </c>
    </row>
    <row r="36">
      <c r="A36" s="13" t="inlineStr">
        <is>
          <t>After-Tax Cost of Debt (kd_after_tax = kd_annual × (1-T))</t>
        </is>
      </c>
      <c r="B36" s="9">
        <f>B35*(1-B17)</f>
        <v/>
      </c>
    </row>
    <row r="37">
      <c r="A37" s="13" t="inlineStr">
        <is>
          <t>Cost of Equity – Retained Earnings (ke_RE = D1/P0 + g)</t>
        </is>
      </c>
      <c r="B37" s="9">
        <f>B27/B8+B26</f>
        <v/>
      </c>
    </row>
    <row r="38">
      <c r="A38" s="13" t="inlineStr">
        <is>
          <t>Cost of Equity – New Equity (ke_NE = D1 / [P0×(1-flotation)] + g)</t>
        </is>
      </c>
      <c r="B38" s="9">
        <f>B27/(B8*(1-B9))+B26</f>
        <v/>
      </c>
    </row>
    <row r="39">
      <c r="A39" s="13" t="inlineStr">
        <is>
          <t>Cost of Equity – CAPM (ke_CAPM = Rf + β(Rm - Rf))</t>
        </is>
      </c>
      <c r="B39" s="9">
        <f>B22+B20*(B21-B22)</f>
        <v/>
      </c>
    </row>
    <row r="40">
      <c r="A40" s="13" t="inlineStr">
        <is>
          <t>WACC based on Retained Earnings</t>
        </is>
      </c>
      <c r="B40" s="9">
        <f>B18*B36+B19*B37</f>
        <v/>
      </c>
    </row>
    <row r="41">
      <c r="A41" s="13" t="inlineStr">
        <is>
          <t>WACC based on New Equity</t>
        </is>
      </c>
      <c r="B41" s="9">
        <f>B18*B36+B19*B38</f>
        <v/>
      </c>
    </row>
    <row r="42">
      <c r="A42" s="13" t="inlineStr">
        <is>
          <t>WACC based on CAPM Cost of Equity</t>
        </is>
      </c>
      <c r="B42" s="9">
        <f>B18*B36+B19*B39</f>
        <v/>
      </c>
    </row>
    <row r="43"/>
    <row r="44"/>
    <row r="45">
      <c r="A45" s="19" t="inlineStr">
        <is>
          <t>Note: All rates are stored in decimal form and displayed as percentages. PV (net proceeds) is entered as a negative value in RATE() to follow cash-flow sign convention.</t>
        </is>
      </c>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A45:D45"/>
    <mergeCell ref="A33:B33"/>
    <mergeCell ref="A24:B24"/>
    <mergeCell ref="A3:B3"/>
  </mergeCells>
  <pageMargins left="0.75" right="0.75" top="1" bottom="1" header="0.5" footer="0.5"/>
</worksheet>
</file>

<file path=xl/worksheets/sheet7.xml><?xml version="1.0" encoding="utf-8"?>
<worksheet xmlns="http://schemas.openxmlformats.org/spreadsheetml/2006/main">
  <sheetPr>
    <tabColor rgb="FF92D050"/>
    <outlinePr summaryBelow="1" summaryRight="1"/>
    <pageSetUpPr/>
  </sheetPr>
  <dimension ref="A1:D45"/>
  <sheetViews>
    <sheetView workbookViewId="0">
      <selection activeCell="A2" sqref="A2"/>
    </sheetView>
  </sheetViews>
  <sheetFormatPr baseColWidth="8" defaultRowHeight="14.5"/>
  <cols>
    <col width="42" customWidth="1" style="16" min="1" max="1"/>
    <col width="18" customWidth="1" style="16" min="2" max="2"/>
    <col width="28" customWidth="1" style="16" min="3" max="3"/>
    <col width="18" customWidth="1" style="16" min="4" max="4"/>
  </cols>
  <sheetData>
    <row r="1" ht="18.5" customHeight="1" s="16">
      <c r="A1" s="6" t="inlineStr">
        <is>
          <t>Problem 5 – Dakshin Ports &amp; Logistics Ltd</t>
        </is>
      </c>
    </row>
    <row r="2"/>
    <row r="3">
      <c r="A3" s="15" t="inlineStr">
        <is>
          <t>Inputs</t>
        </is>
      </c>
    </row>
    <row r="4">
      <c r="A4" s="7" t="inlineStr">
        <is>
          <t>EPS 2019</t>
        </is>
      </c>
      <c r="B4" s="8" t="n">
        <v>15.25</v>
      </c>
    </row>
    <row r="5">
      <c r="A5" s="7" t="inlineStr">
        <is>
          <t>EPS 2024</t>
        </is>
      </c>
      <c r="B5" s="8" t="n">
        <v>26.75</v>
      </c>
    </row>
    <row r="6">
      <c r="A6" s="7" t="inlineStr">
        <is>
          <t>Payout Ratio</t>
        </is>
      </c>
      <c r="B6" s="9" t="n">
        <v>0.25</v>
      </c>
    </row>
    <row r="7">
      <c r="A7" s="7" t="inlineStr">
        <is>
          <t>Retention Ratio</t>
        </is>
      </c>
      <c r="B7" s="9">
        <f>1-B6</f>
        <v/>
      </c>
    </row>
    <row r="8">
      <c r="A8" s="7" t="inlineStr">
        <is>
          <t>Current Stock Price (P0)</t>
        </is>
      </c>
      <c r="B8" s="10" t="n">
        <v>315</v>
      </c>
    </row>
    <row r="9">
      <c r="A9" s="7" t="inlineStr">
        <is>
          <t>Flotation Cost – Equity (as % of price)</t>
        </is>
      </c>
      <c r="B9" s="9" t="n">
        <v>0.0265</v>
      </c>
    </row>
    <row r="10">
      <c r="A10" s="7" t="inlineStr">
        <is>
          <t>Face Value of Bond</t>
        </is>
      </c>
      <c r="B10" s="10" t="n">
        <v>10000</v>
      </c>
    </row>
    <row r="11">
      <c r="A11" s="7" t="inlineStr">
        <is>
          <t>Coupon Rate (annual, %)</t>
        </is>
      </c>
      <c r="B11" s="9" t="n">
        <v>0.0415</v>
      </c>
    </row>
    <row r="12">
      <c r="A12" s="7" t="inlineStr">
        <is>
          <t>Term to Maturity (Years)</t>
        </is>
      </c>
      <c r="B12" s="11" t="n">
        <v>20</v>
      </c>
    </row>
    <row r="13">
      <c r="A13" s="7" t="inlineStr">
        <is>
          <t>Payments per Year (CPY)</t>
        </is>
      </c>
      <c r="B13" s="11" t="n">
        <v>2</v>
      </c>
    </row>
    <row r="14">
      <c r="A14" s="7" t="inlineStr">
        <is>
          <t>Flotation Cost – Debt (as % of face)</t>
        </is>
      </c>
      <c r="B14" s="9" t="n">
        <v>0.0225</v>
      </c>
    </row>
    <row r="15">
      <c r="A15" s="7" t="inlineStr">
        <is>
          <t>Redemption Premium (as % of face)</t>
        </is>
      </c>
      <c r="B15" s="9" t="n">
        <v>0.1325</v>
      </c>
    </row>
    <row r="16">
      <c r="A16" s="7" t="inlineStr">
        <is>
          <t>Redemption Discount (as % of face)</t>
        </is>
      </c>
      <c r="B16" s="9" t="n">
        <v>0</v>
      </c>
    </row>
    <row r="17">
      <c r="A17" s="7" t="inlineStr">
        <is>
          <t>Corporate Tax Rate</t>
        </is>
      </c>
      <c r="B17" s="9" t="n">
        <v>0.35</v>
      </c>
    </row>
    <row r="18">
      <c r="A18" s="7" t="inlineStr">
        <is>
          <t>Weight of Debt (wd)</t>
        </is>
      </c>
      <c r="B18" s="9" t="n">
        <v>0.5</v>
      </c>
    </row>
    <row r="19">
      <c r="A19" s="7" t="inlineStr">
        <is>
          <t>Weight of Equity (we)</t>
        </is>
      </c>
      <c r="B19" s="9" t="n">
        <v>0.5</v>
      </c>
    </row>
    <row r="20">
      <c r="A20" s="7" t="inlineStr">
        <is>
          <t>Beta (β)</t>
        </is>
      </c>
      <c r="B20" s="8" t="n">
        <v>0.95</v>
      </c>
    </row>
    <row r="21">
      <c r="A21" s="7" t="inlineStr">
        <is>
          <t>Market Return (Rm)</t>
        </is>
      </c>
      <c r="B21" s="9" t="n">
        <v>0.1625</v>
      </c>
    </row>
    <row r="22">
      <c r="A22" s="7" t="inlineStr">
        <is>
          <t>Risk-free Rate (Rf)</t>
        </is>
      </c>
      <c r="B22" s="9" t="n">
        <v>0.0375</v>
      </c>
    </row>
    <row r="23"/>
    <row r="24">
      <c r="A24" s="17" t="inlineStr">
        <is>
          <t>Derived Parameters</t>
        </is>
      </c>
    </row>
    <row r="25">
      <c r="A25" s="12" t="inlineStr">
        <is>
          <t>Dividend in 2019 (D0 = EPS2019 × Payout)</t>
        </is>
      </c>
      <c r="B25" s="10">
        <f>B4*B6</f>
        <v/>
      </c>
    </row>
    <row r="26">
      <c r="A26" s="12" t="inlineStr">
        <is>
          <t>Growth Rate g (from EPS 2019 → 2024)</t>
        </is>
      </c>
      <c r="B26" s="9">
        <f>(B5/B4)^(1/5)-1</f>
        <v/>
      </c>
    </row>
    <row r="27">
      <c r="A27" s="12" t="inlineStr">
        <is>
          <t>Next-period Dividend (D1 = D0 × (1+g))</t>
        </is>
      </c>
      <c r="B27" s="10">
        <f>B25*(1+B26)</f>
        <v/>
      </c>
    </row>
    <row r="28">
      <c r="A28" s="12" t="inlineStr">
        <is>
          <t>Net Proceeds from Debt Issue</t>
        </is>
      </c>
      <c r="B28" s="10">
        <f>B10*(1-B14)</f>
        <v/>
      </c>
    </row>
    <row r="29">
      <c r="A29" s="12" t="inlineStr">
        <is>
          <t>Redemption Value (Face adjusted for premium/discount)</t>
        </is>
      </c>
      <c r="B29" s="10">
        <f>B10*(1+B15-B16)</f>
        <v/>
      </c>
    </row>
    <row r="30">
      <c r="A30" s="12" t="inlineStr">
        <is>
          <t>Coupon Payment per Period</t>
        </is>
      </c>
      <c r="B30" s="10">
        <f>B10*B11/B13</f>
        <v/>
      </c>
    </row>
    <row r="31">
      <c r="A31" s="12" t="inlineStr">
        <is>
          <t>Number of Periods (NPER = Years × CPY)</t>
        </is>
      </c>
      <c r="B31" s="11">
        <f>B12*B13</f>
        <v/>
      </c>
    </row>
    <row r="32"/>
    <row r="33">
      <c r="A33" s="18" t="inlineStr">
        <is>
          <t>Outputs</t>
        </is>
      </c>
    </row>
    <row r="34">
      <c r="A34" s="13" t="inlineStr">
        <is>
          <t>Cost of Debt per Period (kd_periodic)</t>
        </is>
      </c>
      <c r="B34" s="14">
        <f>RATE(B31,B30,-B28,B29)</f>
        <v/>
      </c>
    </row>
    <row r="35">
      <c r="A35" s="13" t="inlineStr">
        <is>
          <t>Nominal Annual Cost of Debt (kd_annual = kd_periodic × CPY)</t>
        </is>
      </c>
      <c r="B35" s="9">
        <f>B34*B13</f>
        <v/>
      </c>
    </row>
    <row r="36">
      <c r="A36" s="13" t="inlineStr">
        <is>
          <t>After-Tax Cost of Debt (kd_after_tax = kd_annual × (1-T))</t>
        </is>
      </c>
      <c r="B36" s="9">
        <f>B35*(1-B17)</f>
        <v/>
      </c>
    </row>
    <row r="37">
      <c r="A37" s="13" t="inlineStr">
        <is>
          <t>Cost of Equity – Retained Earnings (ke_RE = D1/P0 + g)</t>
        </is>
      </c>
      <c r="B37" s="9">
        <f>B27/B8+B26</f>
        <v/>
      </c>
    </row>
    <row r="38">
      <c r="A38" s="13" t="inlineStr">
        <is>
          <t>Cost of Equity – New Equity (ke_NE = D1 / [P0×(1-flotation)] + g)</t>
        </is>
      </c>
      <c r="B38" s="9">
        <f>B27/(B8*(1-B9))+B26</f>
        <v/>
      </c>
    </row>
    <row r="39">
      <c r="A39" s="13" t="inlineStr">
        <is>
          <t>Cost of Equity – CAPM (ke_CAPM = Rf + β(Rm - Rf))</t>
        </is>
      </c>
      <c r="B39" s="9">
        <f>B22+B20*(B21-B22)</f>
        <v/>
      </c>
    </row>
    <row r="40">
      <c r="A40" s="13" t="inlineStr">
        <is>
          <t>WACC based on Retained Earnings</t>
        </is>
      </c>
      <c r="B40" s="9">
        <f>B18*B36+B19*B37</f>
        <v/>
      </c>
    </row>
    <row r="41">
      <c r="A41" s="13" t="inlineStr">
        <is>
          <t>WACC based on New Equity</t>
        </is>
      </c>
      <c r="B41" s="9">
        <f>B18*B36+B19*B38</f>
        <v/>
      </c>
    </row>
    <row r="42">
      <c r="A42" s="13" t="inlineStr">
        <is>
          <t>WACC based on CAPM Cost of Equity</t>
        </is>
      </c>
      <c r="B42" s="9">
        <f>B18*B36+B19*B39</f>
        <v/>
      </c>
    </row>
    <row r="43"/>
    <row r="44"/>
    <row r="45">
      <c r="A45" s="19" t="inlineStr">
        <is>
          <t>Note: All rates are stored in decimal form and displayed as percentages. PV (net proceeds) is entered as a negative value in RATE() to follow cash-flow sign convention.</t>
        </is>
      </c>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A45:D45"/>
    <mergeCell ref="A33:B33"/>
    <mergeCell ref="A24:B24"/>
    <mergeCell ref="A3:B3"/>
  </mergeCells>
  <pageMargins left="0.75" right="0.75" top="1" bottom="1" header="0.5" footer="0.5"/>
</worksheet>
</file>

<file path=xl/worksheets/sheet8.xml><?xml version="1.0" encoding="utf-8"?>
<worksheet xmlns="http://schemas.openxmlformats.org/spreadsheetml/2006/main">
  <sheetPr>
    <tabColor rgb="FF92D050"/>
    <outlinePr summaryBelow="1" summaryRight="1"/>
    <pageSetUpPr/>
  </sheetPr>
  <dimension ref="A1:D45"/>
  <sheetViews>
    <sheetView workbookViewId="0">
      <selection activeCell="A2" sqref="A2"/>
    </sheetView>
  </sheetViews>
  <sheetFormatPr baseColWidth="8" defaultRowHeight="14.5"/>
  <cols>
    <col width="42" customWidth="1" style="16" min="1" max="1"/>
    <col width="18" customWidth="1" style="16" min="2" max="2"/>
    <col width="28" customWidth="1" style="16" min="3" max="3"/>
    <col width="18" customWidth="1" style="16" min="4" max="4"/>
  </cols>
  <sheetData>
    <row r="1" ht="18.5" customHeight="1" s="16">
      <c r="A1" s="6" t="inlineStr">
        <is>
          <t>Problem 6 – Vistaar Telecom Services Ltd– Cost of Capital</t>
        </is>
      </c>
    </row>
    <row r="2"/>
    <row r="3">
      <c r="A3" s="15" t="inlineStr">
        <is>
          <t>Inputs</t>
        </is>
      </c>
    </row>
    <row r="4">
      <c r="A4" s="7" t="inlineStr">
        <is>
          <t>EPS 2019</t>
        </is>
      </c>
      <c r="B4" s="8" t="n">
        <v>5.5</v>
      </c>
    </row>
    <row r="5">
      <c r="A5" s="7" t="inlineStr">
        <is>
          <t>EPS 2024</t>
        </is>
      </c>
      <c r="B5" s="8" t="n">
        <v>12.25</v>
      </c>
    </row>
    <row r="6">
      <c r="A6" s="7" t="inlineStr">
        <is>
          <t>Payout Ratio</t>
        </is>
      </c>
      <c r="B6" s="9" t="n">
        <v>0.4</v>
      </c>
    </row>
    <row r="7">
      <c r="A7" s="7" t="inlineStr">
        <is>
          <t>Retention Ratio</t>
        </is>
      </c>
      <c r="B7" s="9">
        <f>1-B6</f>
        <v/>
      </c>
    </row>
    <row r="8">
      <c r="A8" s="7" t="inlineStr">
        <is>
          <t>Current Stock Price (P0)</t>
        </is>
      </c>
      <c r="B8" s="10" t="n">
        <v>65.75</v>
      </c>
    </row>
    <row r="9">
      <c r="A9" s="7" t="inlineStr">
        <is>
          <t>Flotation Cost – Equity (as % of price)</t>
        </is>
      </c>
      <c r="B9" s="9" t="n">
        <v>0.0325</v>
      </c>
    </row>
    <row r="10">
      <c r="A10" s="7" t="inlineStr">
        <is>
          <t>Face Value of Bond</t>
        </is>
      </c>
      <c r="B10" s="10" t="n">
        <v>50000</v>
      </c>
    </row>
    <row r="11">
      <c r="A11" s="7" t="inlineStr">
        <is>
          <t>Coupon Rate (annual, %)</t>
        </is>
      </c>
      <c r="B11" s="9" t="n">
        <v>0.0525</v>
      </c>
    </row>
    <row r="12">
      <c r="A12" s="7" t="inlineStr">
        <is>
          <t>Term to Maturity (Years)</t>
        </is>
      </c>
      <c r="B12" s="11" t="n">
        <v>10</v>
      </c>
    </row>
    <row r="13">
      <c r="A13" s="7" t="inlineStr">
        <is>
          <t>Payments per Year (CPY)</t>
        </is>
      </c>
      <c r="B13" s="11" t="n">
        <v>4</v>
      </c>
    </row>
    <row r="14">
      <c r="A14" s="7" t="inlineStr">
        <is>
          <t>Flotation Cost – Debt (as % of face)</t>
        </is>
      </c>
      <c r="B14" s="9" t="n">
        <v>0.0225</v>
      </c>
    </row>
    <row r="15">
      <c r="A15" s="7" t="inlineStr">
        <is>
          <t>Redemption Premium (as % of face)</t>
        </is>
      </c>
      <c r="B15" s="9" t="n">
        <v>0.1</v>
      </c>
    </row>
    <row r="16">
      <c r="A16" s="7" t="inlineStr">
        <is>
          <t>Redemption Discount (as % of face)</t>
        </is>
      </c>
      <c r="B16" s="9" t="n">
        <v>0.075</v>
      </c>
    </row>
    <row r="17">
      <c r="A17" s="7" t="inlineStr">
        <is>
          <t>Corporate Tax Rate</t>
        </is>
      </c>
      <c r="B17" s="9" t="n">
        <v>0.25</v>
      </c>
    </row>
    <row r="18">
      <c r="A18" s="7" t="inlineStr">
        <is>
          <t>Weight of Debt (wd)</t>
        </is>
      </c>
      <c r="B18" s="9" t="n">
        <v>0.35</v>
      </c>
    </row>
    <row r="19">
      <c r="A19" s="7" t="inlineStr">
        <is>
          <t>Weight of Equity (we)</t>
        </is>
      </c>
      <c r="B19" s="9" t="n">
        <v>0.65</v>
      </c>
    </row>
    <row r="20">
      <c r="A20" s="7" t="inlineStr">
        <is>
          <t>Beta (β)</t>
        </is>
      </c>
      <c r="B20" s="8" t="n">
        <v>0.75</v>
      </c>
    </row>
    <row r="21">
      <c r="A21" s="7" t="inlineStr">
        <is>
          <t>Market Return (Rm)</t>
        </is>
      </c>
      <c r="B21" s="9" t="n">
        <v>0.1425</v>
      </c>
    </row>
    <row r="22">
      <c r="A22" s="7" t="inlineStr">
        <is>
          <t>Risk-free Rate (Rf)</t>
        </is>
      </c>
      <c r="B22" s="9" t="n">
        <v>0.0475</v>
      </c>
    </row>
    <row r="23"/>
    <row r="24">
      <c r="A24" s="17" t="inlineStr">
        <is>
          <t>Derived Parameters</t>
        </is>
      </c>
    </row>
    <row r="25">
      <c r="A25" s="12" t="inlineStr">
        <is>
          <t>Dividend in 2019 (D0 = EPS2019 × Payout)</t>
        </is>
      </c>
      <c r="B25" s="10">
        <f>B4*B6</f>
        <v/>
      </c>
    </row>
    <row r="26">
      <c r="A26" s="12" t="inlineStr">
        <is>
          <t>Growth Rate g (from EPS 2019 → 2024)</t>
        </is>
      </c>
      <c r="B26" s="9">
        <f>(B5/B4)^(1/5)-1</f>
        <v/>
      </c>
    </row>
    <row r="27">
      <c r="A27" s="12" t="inlineStr">
        <is>
          <t>Next-period Dividend (D1 = D0 × (1+g))</t>
        </is>
      </c>
      <c r="B27" s="10">
        <f>B25*(1+B26)</f>
        <v/>
      </c>
    </row>
    <row r="28">
      <c r="A28" s="12" t="inlineStr">
        <is>
          <t>Net Proceeds from Debt Issue</t>
        </is>
      </c>
      <c r="B28" s="10">
        <f>B10*(1-B14)</f>
        <v/>
      </c>
    </row>
    <row r="29">
      <c r="A29" s="12" t="inlineStr">
        <is>
          <t>Redemption Value (Face adjusted for premium/discount)</t>
        </is>
      </c>
      <c r="B29" s="10">
        <f>B10*(1+B15-B16)</f>
        <v/>
      </c>
    </row>
    <row r="30">
      <c r="A30" s="12" t="inlineStr">
        <is>
          <t>Coupon Payment per Period</t>
        </is>
      </c>
      <c r="B30" s="10">
        <f>B10*B11/B13</f>
        <v/>
      </c>
    </row>
    <row r="31">
      <c r="A31" s="12" t="inlineStr">
        <is>
          <t>Number of Periods (NPER = Years × CPY)</t>
        </is>
      </c>
      <c r="B31" s="11">
        <f>B12*B13</f>
        <v/>
      </c>
    </row>
    <row r="32"/>
    <row r="33">
      <c r="A33" s="18" t="inlineStr">
        <is>
          <t>Outputs</t>
        </is>
      </c>
    </row>
    <row r="34">
      <c r="A34" s="13" t="inlineStr">
        <is>
          <t>Cost of Debt per Period (kd_periodic)</t>
        </is>
      </c>
      <c r="B34" s="14">
        <f>RATE(B31,B30,-B28,B29)</f>
        <v/>
      </c>
    </row>
    <row r="35">
      <c r="A35" s="13" t="inlineStr">
        <is>
          <t>Nominal Annual Cost of Debt (kd_annual = kd_periodic × CPY)</t>
        </is>
      </c>
      <c r="B35" s="9">
        <f>B34*B13</f>
        <v/>
      </c>
    </row>
    <row r="36">
      <c r="A36" s="13" t="inlineStr">
        <is>
          <t>After-Tax Cost of Debt (kd_after_tax = kd_annual × (1-T))</t>
        </is>
      </c>
      <c r="B36" s="9">
        <f>B35*(1-B17)</f>
        <v/>
      </c>
    </row>
    <row r="37">
      <c r="A37" s="13" t="inlineStr">
        <is>
          <t>Cost of Equity – Retained Earnings (ke_RE = D1/P0 + g)</t>
        </is>
      </c>
      <c r="B37" s="9">
        <f>B27/B8+B26</f>
        <v/>
      </c>
    </row>
    <row r="38">
      <c r="A38" s="13" t="inlineStr">
        <is>
          <t>Cost of Equity – New Equity (ke_NE = D1 / [P0×(1-flotation)] + g)</t>
        </is>
      </c>
      <c r="B38" s="9">
        <f>B27/(B8*(1-B9))+B26</f>
        <v/>
      </c>
    </row>
    <row r="39">
      <c r="A39" s="13" t="inlineStr">
        <is>
          <t>Cost of Equity – CAPM (ke_CAPM = Rf + β(Rm - Rf))</t>
        </is>
      </c>
      <c r="B39" s="9">
        <f>B22+B20*(B21-B22)</f>
        <v/>
      </c>
    </row>
    <row r="40">
      <c r="A40" s="13" t="inlineStr">
        <is>
          <t>WACC based on Retained Earnings</t>
        </is>
      </c>
      <c r="B40" s="9">
        <f>B18*B36+B19*B37</f>
        <v/>
      </c>
    </row>
    <row r="41">
      <c r="A41" s="13" t="inlineStr">
        <is>
          <t>WACC based on New Equity</t>
        </is>
      </c>
      <c r="B41" s="9">
        <f>B18*B36+B19*B38</f>
        <v/>
      </c>
    </row>
    <row r="42">
      <c r="A42" s="13" t="inlineStr">
        <is>
          <t>WACC based on CAPM Cost of Equity</t>
        </is>
      </c>
      <c r="B42" s="9">
        <f>B18*B36+B19*B39</f>
        <v/>
      </c>
    </row>
    <row r="43"/>
    <row r="44"/>
    <row r="45">
      <c r="A45" s="19" t="inlineStr">
        <is>
          <t>Note: All rates are stored in decimal form and displayed as percentages. PV (net proceeds) is entered as a negative value in RATE() to follow cash-flow sign convention.</t>
        </is>
      </c>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A45:D45"/>
    <mergeCell ref="A33:B33"/>
    <mergeCell ref="A24:B24"/>
    <mergeCell ref="A3:B3"/>
  </mergeCells>
  <pageMargins left="0.75" right="0.75" top="1" bottom="1" header="0.5" footer="0.5"/>
</worksheet>
</file>

<file path=xl/worksheets/sheet9.xml><?xml version="1.0" encoding="utf-8"?>
<worksheet xmlns="http://schemas.openxmlformats.org/spreadsheetml/2006/main">
  <sheetPr>
    <tabColor rgb="FF92D050"/>
    <outlinePr summaryBelow="1" summaryRight="1"/>
    <pageSetUpPr/>
  </sheetPr>
  <dimension ref="A1:D45"/>
  <sheetViews>
    <sheetView workbookViewId="0">
      <selection activeCell="A1" sqref="A1"/>
    </sheetView>
  </sheetViews>
  <sheetFormatPr baseColWidth="8" defaultRowHeight="14.5"/>
  <cols>
    <col width="42" customWidth="1" style="16" min="1" max="1"/>
    <col width="18" customWidth="1" style="16" min="2" max="2"/>
    <col width="28" customWidth="1" style="16" min="3" max="3"/>
    <col width="18" customWidth="1" style="16" min="4" max="4"/>
  </cols>
  <sheetData>
    <row r="1" ht="18.5" customHeight="1" s="16">
      <c r="A1" s="6" t="inlineStr">
        <is>
          <t>Problem 7 – Bharatiya Auto Manufacturing Ltd– Cost of Capital</t>
        </is>
      </c>
    </row>
    <row r="2"/>
    <row r="3">
      <c r="A3" s="15" t="inlineStr">
        <is>
          <t>Inputs</t>
        </is>
      </c>
    </row>
    <row r="4">
      <c r="A4" s="7" t="inlineStr">
        <is>
          <t>EPS 2019</t>
        </is>
      </c>
      <c r="B4" s="8" t="n">
        <v>100</v>
      </c>
    </row>
    <row r="5">
      <c r="A5" s="7" t="inlineStr">
        <is>
          <t>EPS 2024</t>
        </is>
      </c>
      <c r="B5" s="8" t="n">
        <v>165</v>
      </c>
    </row>
    <row r="6">
      <c r="A6" s="7" t="inlineStr">
        <is>
          <t>Payout Ratio</t>
        </is>
      </c>
      <c r="B6" s="9" t="n">
        <v>0.4</v>
      </c>
    </row>
    <row r="7">
      <c r="A7" s="7" t="inlineStr">
        <is>
          <t>Retention Ratio</t>
        </is>
      </c>
      <c r="B7" s="9">
        <f>1-B6</f>
        <v/>
      </c>
    </row>
    <row r="8">
      <c r="A8" s="7" t="inlineStr">
        <is>
          <t>Current Stock Price (P0)</t>
        </is>
      </c>
      <c r="B8" s="10" t="n">
        <v>4250</v>
      </c>
    </row>
    <row r="9">
      <c r="A9" s="7" t="inlineStr">
        <is>
          <t>Flotation Cost – Equity (as % of price)</t>
        </is>
      </c>
      <c r="B9" s="9" t="n">
        <v>0.025</v>
      </c>
    </row>
    <row r="10">
      <c r="A10" s="7" t="inlineStr">
        <is>
          <t>Face Value of Bond</t>
        </is>
      </c>
      <c r="B10" s="10" t="n">
        <v>50000</v>
      </c>
    </row>
    <row r="11">
      <c r="A11" s="7" t="inlineStr">
        <is>
          <t>Coupon Rate (annual, %)</t>
        </is>
      </c>
      <c r="B11" s="9" t="n">
        <v>0.08500000000000001</v>
      </c>
    </row>
    <row r="12">
      <c r="A12" s="7" t="inlineStr">
        <is>
          <t>Term to Maturity (Years)</t>
        </is>
      </c>
      <c r="B12" s="11" t="n">
        <v>20</v>
      </c>
    </row>
    <row r="13">
      <c r="A13" s="7" t="inlineStr">
        <is>
          <t>Payments per Year (CPY)</t>
        </is>
      </c>
      <c r="B13" s="11" t="n">
        <v>4</v>
      </c>
    </row>
    <row r="14">
      <c r="A14" s="7" t="inlineStr">
        <is>
          <t>Flotation Cost – Debt (as % of face)</t>
        </is>
      </c>
      <c r="B14" s="9" t="n">
        <v>0.0325</v>
      </c>
    </row>
    <row r="15">
      <c r="A15" s="7" t="inlineStr">
        <is>
          <t>Redemption Premium (as % of face)</t>
        </is>
      </c>
      <c r="B15" s="9" t="n">
        <v>0</v>
      </c>
    </row>
    <row r="16">
      <c r="A16" s="7" t="inlineStr">
        <is>
          <t>Redemption Discount (as % of face)</t>
        </is>
      </c>
      <c r="B16" s="9" t="n">
        <v>0</v>
      </c>
    </row>
    <row r="17">
      <c r="A17" s="7" t="inlineStr">
        <is>
          <t>Corporate Tax Rate</t>
        </is>
      </c>
      <c r="B17" s="9" t="n">
        <v>0.4</v>
      </c>
    </row>
    <row r="18">
      <c r="A18" s="7" t="inlineStr">
        <is>
          <t>Weight of Debt (wd)</t>
        </is>
      </c>
      <c r="B18" s="9" t="n">
        <v>0.5</v>
      </c>
    </row>
    <row r="19">
      <c r="A19" s="7" t="inlineStr">
        <is>
          <t>Weight of Equity (we)</t>
        </is>
      </c>
      <c r="B19" s="9" t="n">
        <v>0.5</v>
      </c>
    </row>
    <row r="20">
      <c r="A20" s="7" t="inlineStr">
        <is>
          <t>Beta (β)</t>
        </is>
      </c>
      <c r="B20" s="8" t="n">
        <v>0.82</v>
      </c>
    </row>
    <row r="21">
      <c r="A21" s="7" t="inlineStr">
        <is>
          <t>Market Return (Rm)</t>
        </is>
      </c>
      <c r="B21" s="9" t="n">
        <v>0.1825</v>
      </c>
    </row>
    <row r="22">
      <c r="A22" s="7" t="inlineStr">
        <is>
          <t>Risk-free Rate (Rf)</t>
        </is>
      </c>
      <c r="B22" s="9" t="n">
        <v>0.0525</v>
      </c>
    </row>
    <row r="23"/>
    <row r="24">
      <c r="A24" s="17" t="inlineStr">
        <is>
          <t>Derived Parameters</t>
        </is>
      </c>
    </row>
    <row r="25">
      <c r="A25" s="12" t="inlineStr">
        <is>
          <t>Dividend in 2019 (D0 = EPS2019 × Payout)</t>
        </is>
      </c>
      <c r="B25" s="10">
        <f>B4*B6</f>
        <v/>
      </c>
    </row>
    <row r="26">
      <c r="A26" s="12" t="inlineStr">
        <is>
          <t>Growth Rate g (from EPS 2019 → 2024)</t>
        </is>
      </c>
      <c r="B26" s="9">
        <f>(B5/B4)^(1/5)-1</f>
        <v/>
      </c>
    </row>
    <row r="27">
      <c r="A27" s="12" t="inlineStr">
        <is>
          <t>Next-period Dividend (D1 = D0 × (1+g))</t>
        </is>
      </c>
      <c r="B27" s="10">
        <f>B25*(1+B26)</f>
        <v/>
      </c>
    </row>
    <row r="28">
      <c r="A28" s="12" t="inlineStr">
        <is>
          <t>Net Proceeds from Debt Issue</t>
        </is>
      </c>
      <c r="B28" s="10">
        <f>B10*(1-B14)</f>
        <v/>
      </c>
    </row>
    <row r="29">
      <c r="A29" s="12" t="inlineStr">
        <is>
          <t>Redemption Value (Face adjusted for premium/discount)</t>
        </is>
      </c>
      <c r="B29" s="10">
        <f>B10*(1+B15-B16)</f>
        <v/>
      </c>
    </row>
    <row r="30">
      <c r="A30" s="12" t="inlineStr">
        <is>
          <t>Coupon Payment per Period</t>
        </is>
      </c>
      <c r="B30" s="10">
        <f>B10*B11/B13</f>
        <v/>
      </c>
    </row>
    <row r="31">
      <c r="A31" s="12" t="inlineStr">
        <is>
          <t>Number of Periods (NPER = Years × CPY)</t>
        </is>
      </c>
      <c r="B31" s="11">
        <f>B12*B13</f>
        <v/>
      </c>
    </row>
    <row r="32"/>
    <row r="33">
      <c r="A33" s="18" t="inlineStr">
        <is>
          <t>Outputs</t>
        </is>
      </c>
    </row>
    <row r="34">
      <c r="A34" s="13" t="inlineStr">
        <is>
          <t>Cost of Debt per Period (kd_periodic)</t>
        </is>
      </c>
      <c r="B34" s="14">
        <f>RATE(B31,B30,-B28,B29)</f>
        <v/>
      </c>
    </row>
    <row r="35">
      <c r="A35" s="13" t="inlineStr">
        <is>
          <t>Nominal Annual Cost of Debt (kd_annual = kd_periodic × CPY)</t>
        </is>
      </c>
      <c r="B35" s="9">
        <f>B34*B13</f>
        <v/>
      </c>
    </row>
    <row r="36">
      <c r="A36" s="13" t="inlineStr">
        <is>
          <t>After-Tax Cost of Debt (kd_after_tax = kd_annual × (1-T))</t>
        </is>
      </c>
      <c r="B36" s="9">
        <f>B35*(1-B17)</f>
        <v/>
      </c>
    </row>
    <row r="37">
      <c r="A37" s="13" t="inlineStr">
        <is>
          <t>Cost of Equity – Retained Earnings (ke_RE = D1/P0 + g)</t>
        </is>
      </c>
      <c r="B37" s="9">
        <f>B27/B8+B26</f>
        <v/>
      </c>
    </row>
    <row r="38">
      <c r="A38" s="13" t="inlineStr">
        <is>
          <t>Cost of Equity – New Equity (ke_NE = D1 / [P0×(1-flotation)] + g)</t>
        </is>
      </c>
      <c r="B38" s="9">
        <f>B27/(B8*(1-B9))+B26</f>
        <v/>
      </c>
    </row>
    <row r="39">
      <c r="A39" s="13" t="inlineStr">
        <is>
          <t>Cost of Equity – CAPM (ke_CAPM = Rf + β(Rm - Rf))</t>
        </is>
      </c>
      <c r="B39" s="9">
        <f>B22+B20*(B21-B22)</f>
        <v/>
      </c>
    </row>
    <row r="40">
      <c r="A40" s="13" t="inlineStr">
        <is>
          <t>WACC based on Retained Earnings</t>
        </is>
      </c>
      <c r="B40" s="9">
        <f>B18*B36+B19*B37</f>
        <v/>
      </c>
    </row>
    <row r="41">
      <c r="A41" s="13" t="inlineStr">
        <is>
          <t>WACC based on New Equity</t>
        </is>
      </c>
      <c r="B41" s="9">
        <f>B18*B36+B19*B38</f>
        <v/>
      </c>
    </row>
    <row r="42">
      <c r="A42" s="13" t="inlineStr">
        <is>
          <t>WACC based on CAPM Cost of Equity</t>
        </is>
      </c>
      <c r="B42" s="9">
        <f>B18*B36+B19*B39</f>
        <v/>
      </c>
    </row>
    <row r="43"/>
    <row r="44"/>
    <row r="45">
      <c r="A45" s="19" t="inlineStr">
        <is>
          <t>Note: All rates are stored in decimal form and displayed as percentages. PV (net proceeds) is entered as a negative value in RATE() to follow cash-flow sign convention.</t>
        </is>
      </c>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A45:D45"/>
    <mergeCell ref="A33:B33"/>
    <mergeCell ref="A24:B24"/>
    <mergeCell ref="A3:B3"/>
  </mergeCells>
  <pageMargins left="0.75" right="0.75" top="1" bottom="1" header="0.5" footer="0.5"/>
</worksheet>
</file>

<file path=xl/worksheets/sheet10.xml><?xml version="1.0" encoding="utf-8"?>
<worksheet xmlns="http://schemas.openxmlformats.org/spreadsheetml/2006/main">
  <sheetPr>
    <tabColor rgb="FF92D050"/>
    <outlinePr summaryBelow="1" summaryRight="1"/>
    <pageSetUpPr/>
  </sheetPr>
  <dimension ref="A1:D45"/>
  <sheetViews>
    <sheetView workbookViewId="0">
      <selection activeCell="A2" sqref="A2"/>
    </sheetView>
  </sheetViews>
  <sheetFormatPr baseColWidth="8" defaultRowHeight="14.5"/>
  <cols>
    <col width="42" customWidth="1" style="16" min="1" max="1"/>
    <col width="18" customWidth="1" style="16" min="2" max="2"/>
    <col width="28" customWidth="1" style="16" min="3" max="3"/>
    <col width="18" customWidth="1" style="16" min="4" max="4"/>
  </cols>
  <sheetData>
    <row r="1" ht="18.5" customHeight="1" s="16">
      <c r="A1" s="6" t="inlineStr">
        <is>
          <t>Problem 8 – Nirmaan Pharma Labs Ltd– Cost of Capital</t>
        </is>
      </c>
    </row>
    <row r="2"/>
    <row r="3">
      <c r="A3" s="15" t="inlineStr">
        <is>
          <t>Inputs</t>
        </is>
      </c>
    </row>
    <row r="4">
      <c r="A4" s="7" t="inlineStr">
        <is>
          <t>EPS 2019</t>
        </is>
      </c>
      <c r="B4" s="8" t="n">
        <v>55.25</v>
      </c>
    </row>
    <row r="5">
      <c r="A5" s="7" t="inlineStr">
        <is>
          <t>EPS 2024</t>
        </is>
      </c>
      <c r="B5" s="8" t="n">
        <v>75.45</v>
      </c>
    </row>
    <row r="6">
      <c r="A6" s="7" t="inlineStr">
        <is>
          <t>Payout Ratio</t>
        </is>
      </c>
      <c r="B6" s="9" t="n">
        <v>0.25</v>
      </c>
    </row>
    <row r="7">
      <c r="A7" s="7" t="inlineStr">
        <is>
          <t>Retention Ratio</t>
        </is>
      </c>
      <c r="B7" s="9">
        <f>1-B6</f>
        <v/>
      </c>
    </row>
    <row r="8">
      <c r="A8" s="7" t="inlineStr">
        <is>
          <t>Current Stock Price (P0)</t>
        </is>
      </c>
      <c r="B8" s="10" t="n">
        <v>555</v>
      </c>
    </row>
    <row r="9">
      <c r="A9" s="7" t="inlineStr">
        <is>
          <t>Flotation Cost – Equity (as % of price)</t>
        </is>
      </c>
      <c r="B9" s="9" t="n">
        <v>0.025</v>
      </c>
    </row>
    <row r="10">
      <c r="A10" s="7" t="inlineStr">
        <is>
          <t>Face Value of Bond</t>
        </is>
      </c>
      <c r="B10" s="10" t="n">
        <v>10000</v>
      </c>
    </row>
    <row r="11">
      <c r="A11" s="7" t="inlineStr">
        <is>
          <t>Coupon Rate (annual, %)</t>
        </is>
      </c>
      <c r="B11" s="9" t="n">
        <v>0.0625</v>
      </c>
    </row>
    <row r="12">
      <c r="A12" s="7" t="inlineStr">
        <is>
          <t>Term to Maturity (Years)</t>
        </is>
      </c>
      <c r="B12" s="11" t="n">
        <v>10</v>
      </c>
    </row>
    <row r="13">
      <c r="A13" s="7" t="inlineStr">
        <is>
          <t>Payments per Year (CPY)</t>
        </is>
      </c>
      <c r="B13" s="11" t="n">
        <v>4</v>
      </c>
    </row>
    <row r="14">
      <c r="A14" s="7" t="inlineStr">
        <is>
          <t>Flotation Cost – Debt (as % of face)</t>
        </is>
      </c>
      <c r="B14" s="9" t="n">
        <v>0.0175</v>
      </c>
    </row>
    <row r="15">
      <c r="A15" s="7" t="inlineStr">
        <is>
          <t>Redemption Premium (as % of face)</t>
        </is>
      </c>
      <c r="B15" s="9" t="n">
        <v>0.0275</v>
      </c>
    </row>
    <row r="16">
      <c r="A16" s="7" t="inlineStr">
        <is>
          <t>Redemption Discount (as % of face)</t>
        </is>
      </c>
      <c r="B16" s="9" t="n">
        <v>0</v>
      </c>
    </row>
    <row r="17">
      <c r="A17" s="7" t="inlineStr">
        <is>
          <t>Corporate Tax Rate</t>
        </is>
      </c>
      <c r="B17" s="9" t="n">
        <v>0.25</v>
      </c>
    </row>
    <row r="18">
      <c r="A18" s="7" t="inlineStr">
        <is>
          <t>Weight of Debt (wd)</t>
        </is>
      </c>
      <c r="B18" s="9" t="n">
        <v>0.5</v>
      </c>
    </row>
    <row r="19">
      <c r="A19" s="7" t="inlineStr">
        <is>
          <t>Weight of Equity (we)</t>
        </is>
      </c>
      <c r="B19" s="9" t="n">
        <v>0.5</v>
      </c>
    </row>
    <row r="20">
      <c r="A20" s="7" t="inlineStr">
        <is>
          <t>Beta (β)</t>
        </is>
      </c>
      <c r="B20" s="8" t="n">
        <v>0.92</v>
      </c>
    </row>
    <row r="21">
      <c r="A21" s="7" t="inlineStr">
        <is>
          <t>Market Return (Rm)</t>
        </is>
      </c>
      <c r="B21" s="9" t="n">
        <v>0.1625</v>
      </c>
    </row>
    <row r="22">
      <c r="A22" s="7" t="inlineStr">
        <is>
          <t>Risk-free Rate (Rf)</t>
        </is>
      </c>
      <c r="B22" s="9" t="n">
        <v>0.0575</v>
      </c>
    </row>
    <row r="23"/>
    <row r="24">
      <c r="A24" s="17" t="inlineStr">
        <is>
          <t>Derived Parameters</t>
        </is>
      </c>
    </row>
    <row r="25">
      <c r="A25" s="12" t="inlineStr">
        <is>
          <t>Dividend in 2019 (D0 = EPS2019 × Payout)</t>
        </is>
      </c>
      <c r="B25" s="10">
        <f>B4*B6</f>
        <v/>
      </c>
    </row>
    <row r="26">
      <c r="A26" s="12" t="inlineStr">
        <is>
          <t>Growth Rate g (from EPS 2019 → 2024)</t>
        </is>
      </c>
      <c r="B26" s="9">
        <f>(B5/B4)^(1/5)-1</f>
        <v/>
      </c>
    </row>
    <row r="27">
      <c r="A27" s="12" t="inlineStr">
        <is>
          <t>Next-period Dividend (D1 = D0 × (1+g))</t>
        </is>
      </c>
      <c r="B27" s="10">
        <f>B25*(1+B26)</f>
        <v/>
      </c>
    </row>
    <row r="28">
      <c r="A28" s="12" t="inlineStr">
        <is>
          <t>Net Proceeds from Debt Issue</t>
        </is>
      </c>
      <c r="B28" s="10">
        <f>B10*(1-B14)</f>
        <v/>
      </c>
    </row>
    <row r="29">
      <c r="A29" s="12" t="inlineStr">
        <is>
          <t>Redemption Value (Face adjusted for premium/discount)</t>
        </is>
      </c>
      <c r="B29" s="10">
        <f>B10*(1+B15-B16)</f>
        <v/>
      </c>
    </row>
    <row r="30">
      <c r="A30" s="12" t="inlineStr">
        <is>
          <t>Coupon Payment per Period</t>
        </is>
      </c>
      <c r="B30" s="10">
        <f>B10*B11/B13</f>
        <v/>
      </c>
    </row>
    <row r="31">
      <c r="A31" s="12" t="inlineStr">
        <is>
          <t>Number of Periods (NPER = Years × CPY)</t>
        </is>
      </c>
      <c r="B31" s="11">
        <f>B12*B13</f>
        <v/>
      </c>
    </row>
    <row r="32"/>
    <row r="33">
      <c r="A33" s="18" t="inlineStr">
        <is>
          <t>Outputs</t>
        </is>
      </c>
    </row>
    <row r="34">
      <c r="A34" s="13" t="inlineStr">
        <is>
          <t>Cost of Debt per Period (kd_periodic)</t>
        </is>
      </c>
      <c r="B34" s="14">
        <f>RATE(B31,B30,-B28,B29)</f>
        <v/>
      </c>
    </row>
    <row r="35">
      <c r="A35" s="13" t="inlineStr">
        <is>
          <t>Nominal Annual Cost of Debt (kd_annual = kd_periodic × CPY)</t>
        </is>
      </c>
      <c r="B35" s="9">
        <f>B34*B13</f>
        <v/>
      </c>
    </row>
    <row r="36">
      <c r="A36" s="13" t="inlineStr">
        <is>
          <t>After-Tax Cost of Debt (kd_after_tax = kd_annual × (1-T))</t>
        </is>
      </c>
      <c r="B36" s="9">
        <f>B35*(1-B17)</f>
        <v/>
      </c>
    </row>
    <row r="37">
      <c r="A37" s="13" t="inlineStr">
        <is>
          <t>Cost of Equity – Retained Earnings (ke_RE = D1/P0 + g)</t>
        </is>
      </c>
      <c r="B37" s="9">
        <f>B27/B8+B26</f>
        <v/>
      </c>
    </row>
    <row r="38">
      <c r="A38" s="13" t="inlineStr">
        <is>
          <t>Cost of Equity – New Equity (ke_NE = D1 / [P0×(1-flotation)] + g)</t>
        </is>
      </c>
      <c r="B38" s="9">
        <f>B27/(B8*(1-B9))+B26</f>
        <v/>
      </c>
    </row>
    <row r="39">
      <c r="A39" s="13" t="inlineStr">
        <is>
          <t>Cost of Equity – CAPM (ke_CAPM = Rf + β(Rm - Rf))</t>
        </is>
      </c>
      <c r="B39" s="9">
        <f>B22+B20*(B21-B22)</f>
        <v/>
      </c>
    </row>
    <row r="40">
      <c r="A40" s="13" t="inlineStr">
        <is>
          <t>WACC based on Retained Earnings</t>
        </is>
      </c>
      <c r="B40" s="9">
        <f>B18*B36+B19*B37</f>
        <v/>
      </c>
    </row>
    <row r="41">
      <c r="A41" s="13" t="inlineStr">
        <is>
          <t>WACC based on New Equity</t>
        </is>
      </c>
      <c r="B41" s="9">
        <f>B18*B36+B19*B38</f>
        <v/>
      </c>
    </row>
    <row r="42">
      <c r="A42" s="13" t="inlineStr">
        <is>
          <t>WACC based on CAPM Cost of Equity</t>
        </is>
      </c>
      <c r="B42" s="9">
        <f>B18*B36+B19*B39</f>
        <v/>
      </c>
    </row>
    <row r="43"/>
    <row r="44"/>
    <row r="45">
      <c r="A45" s="19" t="inlineStr">
        <is>
          <t>Note: All rates are stored in decimal form and displayed as percentages. PV (net proceeds) is entered as a negative value in RATE() to follow cash-flow sign convention.</t>
        </is>
      </c>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A45:D45"/>
    <mergeCell ref="A33:B33"/>
    <mergeCell ref="A24:B24"/>
    <mergeCell ref="A3:B3"/>
  </mergeCells>
  <pageMargins left="0.75" right="0.75" top="1" bottom="1" header="0.5" footer="0.5"/>
</worksheet>
</file>

<file path=xl/worksheets/sheet11.xml><?xml version="1.0" encoding="utf-8"?>
<worksheet xmlns="http://schemas.openxmlformats.org/spreadsheetml/2006/main">
  <sheetPr>
    <tabColor rgb="FF92D050"/>
    <outlinePr summaryBelow="1" summaryRight="1"/>
    <pageSetUpPr/>
  </sheetPr>
  <dimension ref="A1:D45"/>
  <sheetViews>
    <sheetView workbookViewId="0">
      <selection activeCell="C19" sqref="C19"/>
    </sheetView>
  </sheetViews>
  <sheetFormatPr baseColWidth="8" defaultRowHeight="14.5"/>
  <cols>
    <col width="42" customWidth="1" style="16" min="1" max="1"/>
    <col width="18" customWidth="1" style="16" min="2" max="2"/>
    <col width="28" customWidth="1" style="16" min="3" max="3"/>
    <col width="18" customWidth="1" style="16" min="4" max="4"/>
  </cols>
  <sheetData>
    <row r="1" ht="18.5" customHeight="1" s="16">
      <c r="A1" s="6" t="inlineStr">
        <is>
          <t>Problem 9 – Shakti Cement &amp; Materials Ltd – Cost of Capital</t>
        </is>
      </c>
    </row>
    <row r="2"/>
    <row r="3">
      <c r="A3" s="15" t="inlineStr">
        <is>
          <t>Inputs</t>
        </is>
      </c>
    </row>
    <row r="4">
      <c r="A4" s="7" t="inlineStr">
        <is>
          <t>EPS 2019</t>
        </is>
      </c>
      <c r="B4" s="8" t="n">
        <v>11</v>
      </c>
    </row>
    <row r="5">
      <c r="A5" s="7" t="inlineStr">
        <is>
          <t>EPS 2024</t>
        </is>
      </c>
      <c r="B5" s="8" t="n">
        <v>17.5</v>
      </c>
    </row>
    <row r="6">
      <c r="A6" s="7" t="inlineStr">
        <is>
          <t>Payout Ratio</t>
        </is>
      </c>
      <c r="B6" s="9" t="n">
        <v>0.75</v>
      </c>
    </row>
    <row r="7">
      <c r="A7" s="7" t="inlineStr">
        <is>
          <t>Retention Ratio</t>
        </is>
      </c>
      <c r="B7" s="9">
        <f>1-B6</f>
        <v/>
      </c>
    </row>
    <row r="8">
      <c r="A8" s="7" t="inlineStr">
        <is>
          <t>Current Stock Price (P0)</t>
        </is>
      </c>
      <c r="B8" s="10" t="n">
        <v>75.25</v>
      </c>
    </row>
    <row r="9">
      <c r="A9" s="7" t="inlineStr">
        <is>
          <t>Flotation Cost – Equity (as % of price)</t>
        </is>
      </c>
      <c r="B9" s="9" t="n">
        <v>0.0245</v>
      </c>
    </row>
    <row r="10">
      <c r="A10" s="7" t="inlineStr">
        <is>
          <t>Face Value of Bond</t>
        </is>
      </c>
      <c r="B10" s="10" t="n">
        <v>50000</v>
      </c>
    </row>
    <row r="11">
      <c r="A11" s="7" t="inlineStr">
        <is>
          <t>Coupon Rate (annual, %)</t>
        </is>
      </c>
      <c r="B11" s="9" t="n">
        <v>0.0525</v>
      </c>
    </row>
    <row r="12">
      <c r="A12" s="7" t="inlineStr">
        <is>
          <t>Term to Maturity (Years)</t>
        </is>
      </c>
      <c r="B12" s="11" t="n">
        <v>20</v>
      </c>
    </row>
    <row r="13">
      <c r="A13" s="7" t="inlineStr">
        <is>
          <t>Payments per Year (CPY)</t>
        </is>
      </c>
      <c r="B13" s="11" t="n">
        <v>2</v>
      </c>
    </row>
    <row r="14">
      <c r="A14" s="7" t="inlineStr">
        <is>
          <t>Flotation Cost – Debt (as % of face)</t>
        </is>
      </c>
      <c r="B14" s="9" t="n">
        <v>0.0125</v>
      </c>
    </row>
    <row r="15">
      <c r="A15" s="7" t="inlineStr">
        <is>
          <t>Redemption Premium (as % of face)</t>
        </is>
      </c>
      <c r="B15" s="9" t="n">
        <v>0</v>
      </c>
    </row>
    <row r="16">
      <c r="A16" s="7" t="inlineStr">
        <is>
          <t>Redemption Discount (as % of face)</t>
        </is>
      </c>
      <c r="B16" s="9" t="n">
        <v>0.1</v>
      </c>
    </row>
    <row r="17">
      <c r="A17" s="7" t="inlineStr">
        <is>
          <t>Corporate Tax Rate</t>
        </is>
      </c>
      <c r="B17" s="9" t="n">
        <v>0.35</v>
      </c>
    </row>
    <row r="18">
      <c r="A18" s="7" t="inlineStr">
        <is>
          <t>Weight of Debt (wd)</t>
        </is>
      </c>
      <c r="B18" s="9" t="n">
        <v>0.5</v>
      </c>
    </row>
    <row r="19">
      <c r="A19" s="7" t="inlineStr">
        <is>
          <t>Weight of Equity (we)</t>
        </is>
      </c>
      <c r="B19" s="9" t="n">
        <v>0.5</v>
      </c>
    </row>
    <row r="20">
      <c r="A20" s="7" t="inlineStr">
        <is>
          <t>Beta (β)</t>
        </is>
      </c>
      <c r="B20" s="8" t="n">
        <v>0.75</v>
      </c>
    </row>
    <row r="21">
      <c r="A21" s="7" t="inlineStr">
        <is>
          <t>Market Return (Rm)</t>
        </is>
      </c>
      <c r="B21" s="9" t="n">
        <v>0.1425</v>
      </c>
    </row>
    <row r="22">
      <c r="A22" s="7" t="inlineStr">
        <is>
          <t>Risk-free Rate (Rf)</t>
        </is>
      </c>
      <c r="B22" s="9" t="n">
        <v>0.051</v>
      </c>
    </row>
    <row r="23"/>
    <row r="24">
      <c r="A24" s="17" t="inlineStr">
        <is>
          <t>Derived Parameters</t>
        </is>
      </c>
    </row>
    <row r="25">
      <c r="A25" s="12" t="inlineStr">
        <is>
          <t>Dividend in 2019 (D0 = EPS2019 × Payout)</t>
        </is>
      </c>
      <c r="B25" s="10">
        <f>B4*B6</f>
        <v/>
      </c>
    </row>
    <row r="26">
      <c r="A26" s="12" t="inlineStr">
        <is>
          <t>Growth Rate g (from EPS 2019 → 2024)</t>
        </is>
      </c>
      <c r="B26" s="9">
        <f>(B5/B4)^(1/5)-1</f>
        <v/>
      </c>
    </row>
    <row r="27">
      <c r="A27" s="12" t="inlineStr">
        <is>
          <t>Next-period Dividend (D1 = D0 × (1+g))</t>
        </is>
      </c>
      <c r="B27" s="10">
        <f>B25*(1+B26)</f>
        <v/>
      </c>
    </row>
    <row r="28">
      <c r="A28" s="12" t="inlineStr">
        <is>
          <t>Net Proceeds from Debt Issue</t>
        </is>
      </c>
      <c r="B28" s="10">
        <f>B10*(1-B14)</f>
        <v/>
      </c>
    </row>
    <row r="29">
      <c r="A29" s="12" t="inlineStr">
        <is>
          <t>Redemption Value (Face adjusted for premium/discount)</t>
        </is>
      </c>
      <c r="B29" s="10">
        <f>B10*(1+B15-B16)</f>
        <v/>
      </c>
    </row>
    <row r="30">
      <c r="A30" s="12" t="inlineStr">
        <is>
          <t>Coupon Payment per Period</t>
        </is>
      </c>
      <c r="B30" s="10">
        <f>B10*B11/B13</f>
        <v/>
      </c>
    </row>
    <row r="31">
      <c r="A31" s="12" t="inlineStr">
        <is>
          <t>Number of Periods (NPER = Years × CPY)</t>
        </is>
      </c>
      <c r="B31" s="11">
        <f>B12*B13</f>
        <v/>
      </c>
    </row>
    <row r="32"/>
    <row r="33">
      <c r="A33" s="18" t="inlineStr">
        <is>
          <t>Outputs</t>
        </is>
      </c>
    </row>
    <row r="34">
      <c r="A34" s="13" t="inlineStr">
        <is>
          <t>Cost of Debt per Period (kd_periodic)</t>
        </is>
      </c>
      <c r="B34" s="14">
        <f>RATE(B31,B30,-B28,B29)</f>
        <v/>
      </c>
    </row>
    <row r="35">
      <c r="A35" s="13" t="inlineStr">
        <is>
          <t>Nominal Annual Cost of Debt (kd_annual = kd_periodic × CPY)</t>
        </is>
      </c>
      <c r="B35" s="9">
        <f>B34*B13</f>
        <v/>
      </c>
    </row>
    <row r="36">
      <c r="A36" s="13" t="inlineStr">
        <is>
          <t>After-Tax Cost of Debt (kd_after_tax = kd_annual × (1-T))</t>
        </is>
      </c>
      <c r="B36" s="9">
        <f>B35*(1-B17)</f>
        <v/>
      </c>
    </row>
    <row r="37">
      <c r="A37" s="13" t="inlineStr">
        <is>
          <t>Cost of Equity – Retained Earnings (ke_RE = D1/P0 + g)</t>
        </is>
      </c>
      <c r="B37" s="9">
        <f>B27/B8+B26</f>
        <v/>
      </c>
    </row>
    <row r="38">
      <c r="A38" s="13" t="inlineStr">
        <is>
          <t>Cost of Equity – New Equity (ke_NE = D1 / [P0×(1-flotation)] + g)</t>
        </is>
      </c>
      <c r="B38" s="9">
        <f>B27/(B8*(1-B9))+B26</f>
        <v/>
      </c>
    </row>
    <row r="39">
      <c r="A39" s="13" t="inlineStr">
        <is>
          <t>Cost of Equity – CAPM (ke_CAPM = Rf + β(Rm - Rf))</t>
        </is>
      </c>
      <c r="B39" s="9">
        <f>B22+B20*(B21-B22)</f>
        <v/>
      </c>
    </row>
    <row r="40">
      <c r="A40" s="13" t="inlineStr">
        <is>
          <t>WACC based on Retained Earnings</t>
        </is>
      </c>
      <c r="B40" s="9">
        <f>B18*B36+B19*B37</f>
        <v/>
      </c>
    </row>
    <row r="41">
      <c r="A41" s="13" t="inlineStr">
        <is>
          <t>WACC based on New Equity</t>
        </is>
      </c>
      <c r="B41" s="9">
        <f>B18*B36+B19*B38</f>
        <v/>
      </c>
    </row>
    <row r="42">
      <c r="A42" s="13" t="inlineStr">
        <is>
          <t>WACC based on CAPM Cost of Equity</t>
        </is>
      </c>
      <c r="B42" s="9">
        <f>B18*B36+B19*B39</f>
        <v/>
      </c>
    </row>
    <row r="43"/>
    <row r="44"/>
    <row r="45">
      <c r="A45" s="19" t="inlineStr">
        <is>
          <t>Note: All rates are stored in decimal form and displayed as percentages. PV (net proceeds) is entered as a negative value in RATE() to follow cash-flow sign convention.</t>
        </is>
      </c>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A45:D45"/>
    <mergeCell ref="A33:B33"/>
    <mergeCell ref="A24:B24"/>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2025-12-03T18:07:50Z</dcterms:created>
  <dcterms:modified xmlns:dcterms="http://purl.org/dc/terms/" xmlns:xsi="http://www.w3.org/2001/XMLSchema-instance" xsi:type="dcterms:W3CDTF">2026-01-01T18:21:54Z</dcterms:modified>
  <cp:lastModifiedBy>srikanthyadav444p</cp:lastModifiedBy>
</cp:coreProperties>
</file>