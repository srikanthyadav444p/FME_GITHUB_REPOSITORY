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_EcoGrid" sheetId="3" state="visible" r:id="rId3"/>
    <sheet xmlns:r="http://schemas.openxmlformats.org/officeDocument/2006/relationships" name="P2_AksharaTextiles" sheetId="4" state="visible" r:id="rId4"/>
    <sheet xmlns:r="http://schemas.openxmlformats.org/officeDocument/2006/relationships" name="P3_ZenithPharma" sheetId="5" state="visible" r:id="rId5"/>
    <sheet xmlns:r="http://schemas.openxmlformats.org/officeDocument/2006/relationships" name="P4_HorizonAuto" sheetId="6" state="visible" r:id="rId6"/>
    <sheet xmlns:r="http://schemas.openxmlformats.org/officeDocument/2006/relationships" name="P5_BlueWaveLog" sheetId="7" state="visible" r:id="rId7"/>
    <sheet xmlns:r="http://schemas.openxmlformats.org/officeDocument/2006/relationships" name="P6_VistaAgro" sheetId="8" state="visible" r:id="rId8"/>
    <sheet xmlns:r="http://schemas.openxmlformats.org/officeDocument/2006/relationships" name="P7_NimbusHosp" sheetId="9" state="visible" r:id="rId9"/>
  </sheets>
  <definedNames/>
  <calcPr calcId="191029" fullCalcOnLoad="1"/>
</workbook>
</file>

<file path=xl/styles.xml><?xml version="1.0" encoding="utf-8"?>
<styleSheet xmlns="http://schemas.openxmlformats.org/spreadsheetml/2006/main">
  <numFmts count="3">
    <numFmt numFmtId="164" formatCode="\₹\ ###,##0.00"/>
    <numFmt numFmtId="165" formatCode="dd\-mmm\-yyyy"/>
    <numFmt numFmtId="166" formatCode="0.0000"/>
  </numFmts>
  <fonts count="14">
    <font>
      <name val="Calibri"/>
      <family val="2"/>
      <color theme="1"/>
      <sz val="11"/>
      <scheme val="minor"/>
    </font>
    <font>
      <name val="Calibri"/>
      <family val="2"/>
      <b val="1"/>
      <sz val="14"/>
    </font>
    <font>
      <name val="Calibri"/>
      <family val="2"/>
      <b val="1"/>
      <sz val="11"/>
    </font>
    <font>
      <name val="Calibri"/>
      <family val="2"/>
      <b val="1"/>
      <sz val="10"/>
    </font>
    <font>
      <name val="Calibri"/>
      <family val="2"/>
      <sz val="10"/>
    </font>
    <font>
      <name val="Calibri"/>
      <family val="2"/>
      <i val="1"/>
      <sz val="9"/>
    </font>
    <font>
      <name val="Calibri"/>
      <family val="2"/>
      <color theme="10"/>
      <sz val="12"/>
      <scheme val="minor"/>
    </font>
    <font>
      <name val="Calibri"/>
      <family val="2"/>
      <b val="1"/>
      <color theme="1"/>
      <sz val="11"/>
      <scheme val="minor"/>
    </font>
    <font>
      <name val="Calibri"/>
      <family val="2"/>
      <b val="1"/>
      <color theme="1"/>
      <sz val="18"/>
      <scheme val="minor"/>
    </font>
    <font>
      <name val="Calibri"/>
      <family val="2"/>
      <color theme="1"/>
      <sz val="11"/>
      <scheme val="minor"/>
    </font>
    <font>
      <name val="Calibri"/>
      <family val="2"/>
      <b val="1"/>
      <color theme="3" tint="0.3999755851924192"/>
      <sz val="24"/>
      <scheme val="minor"/>
    </font>
    <font>
      <name val="Calibri"/>
      <family val="2"/>
      <b val="1"/>
      <color theme="7" tint="-0.249977111117893"/>
      <sz val="18"/>
      <scheme val="minor"/>
    </font>
    <font>
      <name val="Calibri"/>
      <family val="2"/>
      <i val="1"/>
      <color theme="9" tint="-0.499984740745262"/>
      <sz val="11"/>
      <scheme val="minor"/>
    </font>
    <font>
      <name val="Calibri"/>
      <family val="2"/>
      <b val="1"/>
      <color theme="8" tint="-0.249977111117893"/>
      <sz val="18"/>
      <scheme val="minor"/>
    </font>
  </fonts>
  <fills count="14">
    <fill>
      <patternFill/>
    </fill>
    <fill>
      <patternFill patternType="gray125"/>
    </fill>
    <fill>
      <patternFill patternType="solid">
        <fgColor rgb="FFC6E0B4"/>
      </patternFill>
    </fill>
    <fill>
      <patternFill patternType="solid">
        <fgColor rgb="FFE2F0D9"/>
      </patternFill>
    </fill>
    <fill>
      <patternFill patternType="solid">
        <fgColor rgb="FF9BC2E6"/>
      </patternFill>
    </fill>
    <fill>
      <patternFill patternType="solid">
        <fgColor rgb="FFD9EAF7"/>
      </patternFill>
    </fill>
    <fill>
      <patternFill patternType="solid">
        <fgColor rgb="FFFFF2CC"/>
      </patternFill>
    </fill>
    <fill>
      <patternFill patternType="solid">
        <fgColor rgb="FFF8CBAD"/>
      </patternFill>
    </fill>
    <fill>
      <patternFill patternType="solid">
        <fgColor rgb="FFFCE4D6"/>
      </patternFill>
    </fill>
    <fill>
      <patternFill patternType="solid">
        <fgColor theme="4" tint="0.7999816888943144"/>
        <bgColor indexed="64"/>
      </patternFill>
    </fill>
    <fill>
      <patternFill patternType="solid">
        <fgColor theme="3" tint="0.3999755851924192"/>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9" fillId="0" borderId="0"/>
    <xf numFmtId="0" fontId="6" fillId="0" borderId="0"/>
    <xf numFmtId="0" fontId="9" fillId="0" borderId="0"/>
  </cellStyleXfs>
  <cellXfs count="41">
    <xf numFmtId="0" fontId="0" fillId="0" borderId="0" pivotButton="0" quotePrefix="0" xfId="0"/>
    <xf numFmtId="0" fontId="1" fillId="0" borderId="0" pivotButton="0" quotePrefix="0" xfId="0"/>
    <xf numFmtId="0" fontId="3" fillId="4" borderId="1" applyAlignment="1" pivotButton="0" quotePrefix="0" xfId="0">
      <alignment horizontal="center"/>
    </xf>
    <xf numFmtId="0" fontId="0" fillId="0" borderId="1" applyAlignment="1" pivotButton="0" quotePrefix="0" xfId="0">
      <alignment horizontal="center"/>
    </xf>
    <xf numFmtId="0" fontId="0" fillId="0" borderId="1" pivotButton="0" quotePrefix="0" xfId="0"/>
    <xf numFmtId="0" fontId="6" fillId="0" borderId="1" applyAlignment="1" pivotButton="0" quotePrefix="0" xfId="1">
      <alignment horizontal="center"/>
    </xf>
    <xf numFmtId="0" fontId="1" fillId="0" borderId="0" applyAlignment="1" pivotButton="0" quotePrefix="0" xfId="0">
      <alignment horizontal="left"/>
    </xf>
    <xf numFmtId="0" fontId="3" fillId="3" borderId="1" applyAlignment="1" pivotButton="0" quotePrefix="0" xfId="0">
      <alignment horizontal="center"/>
    </xf>
    <xf numFmtId="0" fontId="4" fillId="3" borderId="1" applyAlignment="1" pivotButton="0" quotePrefix="0" xfId="0">
      <alignment horizontal="left"/>
    </xf>
    <xf numFmtId="0" fontId="4" fillId="3" borderId="1" applyAlignment="1" pivotButton="0" quotePrefix="0" xfId="0">
      <alignment horizontal="center"/>
    </xf>
    <xf numFmtId="10" fontId="0" fillId="3" borderId="1" pivotButton="0" quotePrefix="0" xfId="0"/>
    <xf numFmtId="0" fontId="3" fillId="5" borderId="1" applyAlignment="1" pivotButton="0" quotePrefix="0" xfId="0">
      <alignment horizontal="left"/>
    </xf>
    <xf numFmtId="1" fontId="4" fillId="0" borderId="1" pivotButton="0" quotePrefix="0" xfId="0"/>
    <xf numFmtId="164" fontId="4" fillId="0" borderId="1" pivotButton="0" quotePrefix="0" xfId="0"/>
    <xf numFmtId="10" fontId="4" fillId="0" borderId="1" pivotButton="0" quotePrefix="0" xfId="0"/>
    <xf numFmtId="165" fontId="4" fillId="0" borderId="1" pivotButton="0" quotePrefix="0" xfId="0"/>
    <xf numFmtId="2" fontId="4" fillId="0" borderId="1" pivotButton="0" quotePrefix="0" xfId="0"/>
    <xf numFmtId="0" fontId="3" fillId="0" borderId="1" applyAlignment="1" pivotButton="0" quotePrefix="0" xfId="0">
      <alignment horizontal="left"/>
    </xf>
    <xf numFmtId="0" fontId="3" fillId="8" borderId="1" applyAlignment="1" pivotButton="0" quotePrefix="0" xfId="0">
      <alignment horizontal="left"/>
    </xf>
    <xf numFmtId="166" fontId="4" fillId="0" borderId="1" pivotButton="0" quotePrefix="0" xfId="0"/>
    <xf numFmtId="0" fontId="10" fillId="0" borderId="0" applyAlignment="1" pivotButton="0" quotePrefix="0" xfId="2">
      <alignment vertical="center"/>
    </xf>
    <xf numFmtId="0" fontId="9" fillId="0" borderId="0" pivotButton="0" quotePrefix="0" xfId="2"/>
    <xf numFmtId="0" fontId="11" fillId="0" borderId="0" applyAlignment="1" pivotButton="0" quotePrefix="0" xfId="2">
      <alignment vertical="center"/>
    </xf>
    <xf numFmtId="0" fontId="12" fillId="0" borderId="0" pivotButton="0" quotePrefix="0" xfId="2"/>
    <xf numFmtId="0" fontId="13" fillId="0" borderId="0" applyAlignment="1" pivotButton="0" quotePrefix="0" xfId="2">
      <alignment vertical="center"/>
    </xf>
    <xf numFmtId="0" fontId="8" fillId="10" borderId="0" applyAlignment="1" pivotButton="0" quotePrefix="0" xfId="2">
      <alignment vertical="center"/>
    </xf>
    <xf numFmtId="0" fontId="9" fillId="10" borderId="0" pivotButton="0" quotePrefix="0" xfId="2"/>
    <xf numFmtId="0" fontId="8" fillId="11" borderId="0" applyAlignment="1" pivotButton="0" quotePrefix="0" xfId="2">
      <alignment vertical="center"/>
    </xf>
    <xf numFmtId="0" fontId="7" fillId="12" borderId="0" applyAlignment="1" pivotButton="0" quotePrefix="0" xfId="2">
      <alignment vertical="top" wrapText="1"/>
    </xf>
    <xf numFmtId="0" fontId="9" fillId="0" borderId="0" applyAlignment="1" pivotButton="0" quotePrefix="0" xfId="2">
      <alignment horizontal="left" vertical="center" indent="1"/>
    </xf>
    <xf numFmtId="0" fontId="7" fillId="0" borderId="0" pivotButton="0" quotePrefix="0" xfId="2"/>
    <xf numFmtId="0" fontId="7" fillId="0" borderId="0" applyAlignment="1" pivotButton="0" quotePrefix="0" xfId="2">
      <alignment horizontal="left" vertical="center" indent="1"/>
    </xf>
    <xf numFmtId="0" fontId="9" fillId="9" borderId="0" applyAlignment="1" pivotButton="0" quotePrefix="0" xfId="2">
      <alignment horizontal="justify" vertical="justify" wrapText="1"/>
    </xf>
    <xf numFmtId="0" fontId="9" fillId="9" borderId="0" applyAlignment="1" pivotButton="0" quotePrefix="0" xfId="2">
      <alignment horizontal="left" vertical="top" wrapText="1"/>
    </xf>
    <xf numFmtId="0" fontId="9" fillId="13" borderId="0" applyAlignment="1" pivotButton="0" quotePrefix="0" xfId="2">
      <alignment horizontal="justify" vertical="justify" wrapText="1"/>
    </xf>
    <xf numFmtId="0" fontId="2" fillId="2" borderId="0" pivotButton="0" quotePrefix="0" xfId="0"/>
    <xf numFmtId="0" fontId="0" fillId="0" borderId="0" pivotButton="0" quotePrefix="0" xfId="0"/>
    <xf numFmtId="0" fontId="2" fillId="4" borderId="0" applyAlignment="1" pivotButton="0" quotePrefix="0" xfId="0">
      <alignment horizontal="left"/>
    </xf>
    <xf numFmtId="0" fontId="2" fillId="6" borderId="0" pivotButton="0" quotePrefix="0" xfId="0"/>
    <xf numFmtId="0" fontId="2" fillId="7" borderId="0" pivotButton="0" quotePrefix="0" xfId="0"/>
    <xf numFmtId="0" fontId="5" fillId="0" borderId="0" pivotButton="0" quotePrefix="0" xfId="0"/>
  </cellXfs>
  <cellStyles count="3">
    <cellStyle name="Normal" xfId="0" builtinId="0"/>
    <cellStyle name="Hyperlink" xfId="1" builtinId="8"/>
    <cellStyle name="Normal 2" xfId="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2423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5" workbookViewId="0">
      <selection activeCell="K16" sqref="K16"/>
    </sheetView>
  </sheetViews>
  <sheetFormatPr baseColWidth="8" defaultRowHeight="14.5"/>
  <cols>
    <col width="8.7265625" customWidth="1" style="21" min="1" max="6"/>
    <col width="13.90625" customWidth="1" style="21" min="7" max="7"/>
    <col width="6.81640625" customWidth="1" style="21" min="8" max="8"/>
    <col width="58.453125" customWidth="1" style="21" min="9" max="9"/>
    <col hidden="1" width="16.6328125" customWidth="1" style="21" min="10" max="10"/>
    <col width="8.7265625" customWidth="1" style="21" min="11" max="16384"/>
  </cols>
  <sheetData>
    <row r="1" ht="31" customHeight="1" s="36">
      <c r="A1" s="20" t="inlineStr">
        <is>
          <t>FINANCIAL MODELING USING EXCEL</t>
        </is>
      </c>
    </row>
    <row r="2"/>
    <row r="3" ht="23.5" customHeight="1" s="36">
      <c r="A3" s="22" t="inlineStr">
        <is>
          <t>Cost of Capital Estimation Using Excel (RATE-Based Model)</t>
        </is>
      </c>
    </row>
    <row r="4"/>
    <row r="5">
      <c r="A5" s="23" t="inlineStr">
        <is>
          <t>Debt Cost Derivation and WACC Construction with Exact-Date Adjustments</t>
        </is>
      </c>
    </row>
    <row r="6"/>
    <row r="7" ht="23.5" customHeight="1" s="36">
      <c r="A7" s="24" t="inlineStr">
        <is>
          <t>Workbook Purpose</t>
        </is>
      </c>
    </row>
    <row r="8"/>
    <row r="9" ht="132.5" customHeight="1" s="36">
      <c r="A9" s="32" t="inlineStr">
        <is>
          <t>This workbook is designed to develop a clear and structured understanding of cost of capital estimation, with a specific focus on computing the Weighted Average Cost of Capital (WACC) using Excel. It enables learners to quantify the overall cost at which a firm finances its operations by combining the costs of equity, debt, and other capital components in proportion to their market values.
The workbook translates core corporate finance theory into an applied Excel framework commonly used in valuation, capital budgeting, and financial decision-making. By working through the model, learners gain practical insight into how assumptions about risk, capital structure, taxation, and market conditions directly influence a firm’s cost of capital and, consequently, its valuation and investment decisions.</t>
        </is>
      </c>
    </row>
    <row r="10"/>
    <row r="11"/>
    <row r="12"/>
    <row r="13"/>
    <row r="14"/>
    <row r="15" ht="23.5" customHeight="1" s="36">
      <c r="A15" s="25" t="inlineStr">
        <is>
          <t>Key Concepts Covered</t>
        </is>
      </c>
      <c r="B15" s="26" t="n"/>
      <c r="C15" s="26" t="n"/>
      <c r="D15" s="26" t="n"/>
      <c r="E15" s="26" t="n"/>
      <c r="F15" s="26" t="n"/>
      <c r="G15" s="26" t="n"/>
      <c r="I15" s="27" t="inlineStr">
        <is>
          <t>Excel Functions Used</t>
        </is>
      </c>
    </row>
    <row r="16" ht="255.5" customHeight="1" s="36">
      <c r="A16" s="33" t="inlineStr">
        <is>
          <t>Cost of capital as the firm’s minimum required return
Cost of debt derived from contractual cash flows
Implied interest rate estimation rather than stated coupon reliance
Importance of exact timing in financial cash flows
After-tax cost of debt and tax shield interpretation
Capital structure weighting and aggregation into WACC
Interpretation of WACC as a valuation and capital budgeting input</t>
        </is>
      </c>
      <c r="I16" s="28" t="inlineStr">
        <is>
          <t>RATE – Computes the implied periodic cost of debt from observed cash flows, repayment amount, number of periods, and principal, forming the core of the debt cost estimation logic.
YEARFRAC – Calculates precise year fractions between dates to ensure accurate alignment of time periods when estimating rates from real-world cash-flow timing.
The workbook places strong emphasis on:
Correct cash-flow sign conventions for RATE calculations
Exact-date time measurement rather than assumed equal periods
Transparent linkage between debt cash flows and derived cost of capital</t>
        </is>
      </c>
    </row>
    <row r="17">
      <c r="A17" s="29" t="n"/>
    </row>
    <row r="18">
      <c r="A18" s="29" t="n"/>
      <c r="E18" s="34"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30" t="n"/>
    </row>
    <row r="19">
      <c r="A19" s="29" t="n"/>
    </row>
    <row r="20">
      <c r="A20" s="29" t="n"/>
      <c r="I20" s="30" t="n"/>
    </row>
    <row r="21">
      <c r="A21" s="29" t="n"/>
    </row>
    <row r="22">
      <c r="A22" s="29" t="n"/>
      <c r="I22" s="30" t="n"/>
    </row>
    <row r="23">
      <c r="A23" s="29" t="n"/>
    </row>
    <row r="24">
      <c r="A24" s="29" t="n"/>
      <c r="I24" s="30" t="n"/>
    </row>
    <row r="25">
      <c r="A25" s="29" t="n"/>
    </row>
    <row r="26">
      <c r="A26" s="29" t="n"/>
      <c r="I26" s="30" t="n"/>
    </row>
    <row r="27">
      <c r="A27" s="29" t="n"/>
    </row>
    <row r="28">
      <c r="A28" s="29" t="n"/>
      <c r="I28" s="30" t="n"/>
    </row>
    <row r="29">
      <c r="A29" s="29" t="n"/>
    </row>
    <row r="30">
      <c r="A30" s="29" t="n"/>
      <c r="I30" s="30" t="n"/>
    </row>
    <row r="31">
      <c r="A31" s="29" t="n"/>
      <c r="I31" s="29" t="n"/>
    </row>
    <row r="32">
      <c r="A32" s="29" t="n"/>
      <c r="I32" s="31" t="n"/>
    </row>
    <row r="33">
      <c r="A33" s="29"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tabColor rgb="FF4472C4"/>
    <outlinePr summaryBelow="1" summaryRight="1"/>
    <pageSetUpPr/>
  </sheetPr>
  <dimension ref="A1:D9"/>
  <sheetViews>
    <sheetView workbookViewId="0">
      <selection activeCell="B15" sqref="B15"/>
    </sheetView>
  </sheetViews>
  <sheetFormatPr baseColWidth="8" defaultRowHeight="14.5"/>
  <cols>
    <col width="42" customWidth="1" style="36" min="1" max="1"/>
    <col width="56.54296875" bestFit="1" customWidth="1" style="36" min="2" max="2"/>
    <col width="22" customWidth="1" style="36" min="3" max="3"/>
    <col width="18" customWidth="1" style="36" min="4" max="4"/>
  </cols>
  <sheetData>
    <row r="1" ht="18.5" customHeight="1" s="36">
      <c r="A1" s="1" t="inlineStr">
        <is>
          <t>Cost of Capital – Model 02 – Caselets Index</t>
        </is>
      </c>
    </row>
    <row r="2">
      <c r="A2" s="2" t="inlineStr">
        <is>
          <t>S.No</t>
        </is>
      </c>
      <c r="B2" s="2" t="inlineStr">
        <is>
          <t>Caselet / Company</t>
        </is>
      </c>
      <c r="C2" s="2" t="inlineStr">
        <is>
          <t>Sheet Name</t>
        </is>
      </c>
      <c r="D2" s="2" t="inlineStr">
        <is>
          <t>Link</t>
        </is>
      </c>
    </row>
    <row r="3" ht="15.5" customHeight="1" s="36">
      <c r="A3" s="3" t="n">
        <v>1</v>
      </c>
      <c r="B3" s="4" t="inlineStr">
        <is>
          <t>Caselet 1 – EcoGrid Renewables Ltd – Cost of Capital</t>
        </is>
      </c>
      <c r="C3" s="4" t="inlineStr">
        <is>
          <t>P1_EcoGrid</t>
        </is>
      </c>
      <c r="D3" s="5" t="inlineStr">
        <is>
          <t>Go to sheet</t>
        </is>
      </c>
    </row>
    <row r="4" ht="15.5" customHeight="1" s="36">
      <c r="A4" s="3" t="n">
        <v>2</v>
      </c>
      <c r="B4" s="4" t="inlineStr">
        <is>
          <t>Caselet 2 – Akshara Textiles Ltd – Capital Structure &amp; WACC</t>
        </is>
      </c>
      <c r="C4" s="4" t="inlineStr">
        <is>
          <t>P2_AksharaTextiles</t>
        </is>
      </c>
      <c r="D4" s="5" t="inlineStr">
        <is>
          <t>Go to sheet</t>
        </is>
      </c>
    </row>
    <row r="5" ht="15.5" customHeight="1" s="36">
      <c r="A5" s="3" t="n">
        <v>3</v>
      </c>
      <c r="B5" s="4" t="inlineStr">
        <is>
          <t>Caselet 3 – Zenith Pharmaceuticals Ltd – Capital Structure &amp; WACC</t>
        </is>
      </c>
      <c r="C5" s="4" t="inlineStr">
        <is>
          <t>P3_ZenithPharma</t>
        </is>
      </c>
      <c r="D5" s="5" t="inlineStr">
        <is>
          <t>Go to sheet</t>
        </is>
      </c>
    </row>
    <row r="6" ht="15.5" customHeight="1" s="36">
      <c r="A6" s="3" t="n">
        <v>4</v>
      </c>
      <c r="B6" s="4" t="inlineStr">
        <is>
          <t>Caselet 4 – Horizon Automotives Ltd – Capital Structure &amp; WACC</t>
        </is>
      </c>
      <c r="C6" s="4" t="inlineStr">
        <is>
          <t>P4_HorizonAuto</t>
        </is>
      </c>
      <c r="D6" s="5" t="inlineStr">
        <is>
          <t>Go to sheet</t>
        </is>
      </c>
    </row>
    <row r="7" ht="15.5" customHeight="1" s="36">
      <c r="A7" s="3" t="n">
        <v>5</v>
      </c>
      <c r="B7" s="4" t="inlineStr">
        <is>
          <t>Caselet 5 – BlueWave Logistics Ltd – Capital Structure &amp; WACC</t>
        </is>
      </c>
      <c r="C7" s="4" t="inlineStr">
        <is>
          <t>P5_BlueWaveLog</t>
        </is>
      </c>
      <c r="D7" s="5" t="inlineStr">
        <is>
          <t>Go to sheet</t>
        </is>
      </c>
    </row>
    <row r="8" ht="15.5" customHeight="1" s="36">
      <c r="A8" s="3" t="n">
        <v>6</v>
      </c>
      <c r="B8" s="4" t="inlineStr">
        <is>
          <t>Caselet 6 – Vista Agro Foods Ltd – Capital Structure &amp; WACC</t>
        </is>
      </c>
      <c r="C8" s="4" t="inlineStr">
        <is>
          <t>P6_VistaAgro</t>
        </is>
      </c>
      <c r="D8" s="5" t="inlineStr">
        <is>
          <t>Go to sheet</t>
        </is>
      </c>
    </row>
    <row r="9" ht="15.5" customHeight="1" s="36">
      <c r="A9" s="3" t="n">
        <v>7</v>
      </c>
      <c r="B9" s="4" t="inlineStr">
        <is>
          <t>Caselet 7 – Nimbus Hospitality Ltd – Capital Structure &amp; WACC</t>
        </is>
      </c>
      <c r="C9" s="4" t="inlineStr">
        <is>
          <t>P7_NimbusHosp</t>
        </is>
      </c>
      <c r="D9" s="5" t="inlineStr">
        <is>
          <t>Go to sheet</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D3" location="P1_EcoGrid!A1" display="Go to sheet"/>
    <hyperlink ref="D4" location="P2_AksharaTextiles!A1" display="Go to sheet"/>
    <hyperlink ref="D5" location="P3_ZenithPharma!A1" display="Go to sheet"/>
    <hyperlink ref="D6" location="P4_HorizonAuto!A1" display="Go to sheet"/>
    <hyperlink ref="D7" location="P5_BlueWaveLog!A1" display="Go to sheet"/>
    <hyperlink ref="D8" location="P6_VistaAgro!A1" display="Go to sheet"/>
    <hyperlink ref="D9" location="P7_NimbusHosp!A1" display="Go to sheet"/>
  </hyperlinks>
  <pageMargins left="0.75" right="0.75" top="1" bottom="1" header="0.5" footer="0.5"/>
</worksheet>
</file>

<file path=xl/worksheets/sheet3.xml><?xml version="1.0" encoding="utf-8"?>
<worksheet xmlns="http://schemas.openxmlformats.org/spreadsheetml/2006/main">
  <sheetPr>
    <tabColor rgb="FF92D050"/>
    <outlinePr summaryBelow="1" summaryRight="1"/>
    <pageSetUpPr/>
  </sheetPr>
  <dimension ref="A1:D70"/>
  <sheetViews>
    <sheetView topLeftCell="A39" workbookViewId="0">
      <selection activeCell="C5" sqref="C5"/>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1 – EcoGrid Renewables Ltd – Cost of Capital</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10000</v>
      </c>
    </row>
    <row r="10">
      <c r="A10" s="11" t="inlineStr">
        <is>
          <t>Face Value per Bond</t>
        </is>
      </c>
      <c r="B10" s="13" t="n">
        <v>10000</v>
      </c>
    </row>
    <row r="11">
      <c r="A11" s="11" t="inlineStr">
        <is>
          <t>Annual Coupon Rate</t>
        </is>
      </c>
      <c r="B11" s="14" t="n">
        <v>0.0565</v>
      </c>
    </row>
    <row r="12">
      <c r="A12" s="11" t="inlineStr">
        <is>
          <t>Payments per Year (CPY)</t>
        </is>
      </c>
      <c r="B12" s="12" t="n">
        <v>2</v>
      </c>
    </row>
    <row r="13">
      <c r="A13" s="11" t="inlineStr">
        <is>
          <t>Current Market Price per Bond</t>
        </is>
      </c>
      <c r="B13" s="13" t="n">
        <v>11250</v>
      </c>
    </row>
    <row r="14">
      <c r="A14" s="11" t="inlineStr">
        <is>
          <t>Flotation Cost – Debt (% of issue price)</t>
        </is>
      </c>
      <c r="B14" s="14" t="n">
        <v>0.0175</v>
      </c>
    </row>
    <row r="15">
      <c r="A15" s="11" t="inlineStr">
        <is>
          <t>Corporate Tax Rate</t>
        </is>
      </c>
      <c r="B15" s="14" t="n">
        <v>0.2</v>
      </c>
    </row>
    <row r="16">
      <c r="A16" s="11" t="inlineStr">
        <is>
          <t>Issue Date</t>
        </is>
      </c>
      <c r="B16" s="15" t="n">
        <v>42901</v>
      </c>
    </row>
    <row r="17">
      <c r="A17" s="11" t="inlineStr">
        <is>
          <t>Maturity / Redemption Date</t>
        </is>
      </c>
      <c r="B17" s="15" t="n">
        <v>44910</v>
      </c>
    </row>
    <row r="18"/>
    <row r="19">
      <c r="A19" s="11" t="inlineStr">
        <is>
          <t>Number of Preference Shares</t>
        </is>
      </c>
      <c r="B19" s="12" t="n">
        <v>100000</v>
      </c>
    </row>
    <row r="20">
      <c r="A20" s="11" t="inlineStr">
        <is>
          <t>Face Value per Preference Share</t>
        </is>
      </c>
      <c r="B20" s="13" t="n">
        <v>100</v>
      </c>
    </row>
    <row r="21">
      <c r="A21" s="11" t="inlineStr">
        <is>
          <t>Annual Preference Dividend per Share</t>
        </is>
      </c>
      <c r="B21" s="13" t="n">
        <v>5</v>
      </c>
    </row>
    <row r="22">
      <c r="A22" s="11" t="inlineStr">
        <is>
          <t>Current Market Price per Preference Share</t>
        </is>
      </c>
      <c r="B22" s="13" t="n">
        <v>125</v>
      </c>
    </row>
    <row r="23">
      <c r="A23" s="11" t="inlineStr">
        <is>
          <t>Flotation Cost – Preference Shares</t>
        </is>
      </c>
      <c r="B23" s="14" t="n">
        <v>0.0275</v>
      </c>
    </row>
    <row r="24"/>
    <row r="25">
      <c r="A25" s="11" t="inlineStr">
        <is>
          <t>Number of Equity Shares</t>
        </is>
      </c>
      <c r="B25" s="12" t="n">
        <v>1500000</v>
      </c>
    </row>
    <row r="26">
      <c r="A26" s="11" t="inlineStr">
        <is>
          <t>Face Value per Equity Share</t>
        </is>
      </c>
      <c r="B26" s="13" t="n">
        <v>10</v>
      </c>
    </row>
    <row r="27">
      <c r="A27" s="11" t="inlineStr">
        <is>
          <t>Expected Dividend Next Year (D1)</t>
        </is>
      </c>
      <c r="B27" s="13" t="n">
        <v>2.75</v>
      </c>
    </row>
    <row r="28">
      <c r="A28" s="11" t="inlineStr">
        <is>
          <t>Dividend Growth Rate (g)</t>
        </is>
      </c>
      <c r="B28" s="14" t="n">
        <v>0.06</v>
      </c>
    </row>
    <row r="29">
      <c r="A29" s="11" t="inlineStr">
        <is>
          <t>Current Market Price per Equity Share (P0)</t>
        </is>
      </c>
      <c r="B29" s="13" t="n">
        <v>28.5</v>
      </c>
    </row>
    <row r="30">
      <c r="A30" s="11" t="inlineStr">
        <is>
          <t>Flotation Cost – New Equity</t>
        </is>
      </c>
      <c r="B30" s="14" t="n">
        <v>0.03</v>
      </c>
    </row>
    <row r="31">
      <c r="A31" s="11" t="inlineStr">
        <is>
          <t>Beta (β)</t>
        </is>
      </c>
      <c r="B31" s="16" t="n">
        <v>1.45</v>
      </c>
    </row>
    <row r="32">
      <c r="A32" s="11" t="inlineStr">
        <is>
          <t>Risk-free Rate (Rf)</t>
        </is>
      </c>
      <c r="B32" s="14" t="n">
        <v>0.04</v>
      </c>
    </row>
    <row r="33">
      <c r="A33" s="11" t="inlineStr">
        <is>
          <t>Expected Market Return (Rm)</t>
        </is>
      </c>
      <c r="B33" s="14" t="n">
        <v>0.18</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B32+B31*(B33-B32)</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xl/worksheets/sheet4.xml><?xml version="1.0" encoding="utf-8"?>
<worksheet xmlns="http://schemas.openxmlformats.org/spreadsheetml/2006/main">
  <sheetPr>
    <tabColor rgb="FF92D050"/>
    <outlinePr summaryBelow="1" summaryRight="1"/>
    <pageSetUpPr/>
  </sheetPr>
  <dimension ref="A1:D70"/>
  <sheetViews>
    <sheetView workbookViewId="0">
      <selection activeCell="A1" sqref="A1"/>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2 – Akshara Textiles Ltd – Capital Structure &amp; WACC</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8600</v>
      </c>
    </row>
    <row r="10">
      <c r="A10" s="11" t="inlineStr">
        <is>
          <t>Face Value per Bond</t>
        </is>
      </c>
      <c r="B10" s="13" t="n">
        <v>1000</v>
      </c>
    </row>
    <row r="11">
      <c r="A11" s="11" t="inlineStr">
        <is>
          <t>Annual Coupon Rate</t>
        </is>
      </c>
      <c r="B11" s="14" t="n">
        <v>0.055</v>
      </c>
    </row>
    <row r="12">
      <c r="A12" s="11" t="inlineStr">
        <is>
          <t>Payments per Year (CPY)</t>
        </is>
      </c>
      <c r="B12" s="12" t="n">
        <v>2</v>
      </c>
    </row>
    <row r="13">
      <c r="A13" s="11" t="inlineStr">
        <is>
          <t>Current Market Price per Bond</t>
        </is>
      </c>
      <c r="B13" s="13" t="n">
        <v>1125</v>
      </c>
    </row>
    <row r="14">
      <c r="A14" s="11" t="inlineStr">
        <is>
          <t>Flotation Cost – Debt (% of issue price)</t>
        </is>
      </c>
      <c r="B14" s="14" t="n">
        <v>0.02</v>
      </c>
    </row>
    <row r="15">
      <c r="A15" s="11" t="inlineStr">
        <is>
          <t>Corporate Tax Rate</t>
        </is>
      </c>
      <c r="B15" s="14" t="n">
        <v>0.35</v>
      </c>
    </row>
    <row r="16">
      <c r="A16" s="11" t="inlineStr">
        <is>
          <t>Issue Date</t>
        </is>
      </c>
      <c r="B16" s="15" t="n">
        <v>42781</v>
      </c>
    </row>
    <row r="17">
      <c r="A17" s="11" t="inlineStr">
        <is>
          <t>Maturity / Redemption Date</t>
        </is>
      </c>
      <c r="B17" s="15" t="n">
        <v>46614</v>
      </c>
    </row>
    <row r="18"/>
    <row r="19">
      <c r="A19" s="11" t="inlineStr">
        <is>
          <t>Number of Preference Shares</t>
        </is>
      </c>
      <c r="B19" s="12" t="n">
        <v>100000</v>
      </c>
    </row>
    <row r="20">
      <c r="A20" s="11" t="inlineStr">
        <is>
          <t>Face Value per Preference Share</t>
        </is>
      </c>
      <c r="B20" s="13" t="n">
        <v>100</v>
      </c>
    </row>
    <row r="21">
      <c r="A21" s="11" t="inlineStr">
        <is>
          <t>Annual Preference Dividend per Share</t>
        </is>
      </c>
      <c r="B21" s="13" t="n">
        <v>5</v>
      </c>
    </row>
    <row r="22">
      <c r="A22" s="11" t="inlineStr">
        <is>
          <t>Current Market Price per Preference Share</t>
        </is>
      </c>
      <c r="B22" s="13" t="n">
        <v>125</v>
      </c>
    </row>
    <row r="23">
      <c r="A23" s="11" t="inlineStr">
        <is>
          <t>Flotation Cost – Preference Shares</t>
        </is>
      </c>
      <c r="B23" s="14" t="n">
        <v>0.0275</v>
      </c>
    </row>
    <row r="24"/>
    <row r="25">
      <c r="A25" s="11" t="inlineStr">
        <is>
          <t>Number of Equity Shares</t>
        </is>
      </c>
      <c r="B25" s="12" t="n">
        <v>1500000</v>
      </c>
    </row>
    <row r="26">
      <c r="A26" s="11" t="inlineStr">
        <is>
          <t>Face Value per Equity Share</t>
        </is>
      </c>
      <c r="B26" s="13" t="n">
        <v>10</v>
      </c>
    </row>
    <row r="27">
      <c r="A27" s="11" t="inlineStr">
        <is>
          <t>Expected Dividend Next Year (D1)</t>
        </is>
      </c>
      <c r="B27" s="13" t="n">
        <v>2.75</v>
      </c>
    </row>
    <row r="28">
      <c r="A28" s="11" t="inlineStr">
        <is>
          <t>Dividend Growth Rate (g)</t>
        </is>
      </c>
      <c r="B28" s="14" t="n">
        <v>0.06</v>
      </c>
    </row>
    <row r="29">
      <c r="A29" s="11" t="inlineStr">
        <is>
          <t>Current Market Price per Equity Share (P0)</t>
        </is>
      </c>
      <c r="B29" s="13" t="n">
        <v>28.5</v>
      </c>
    </row>
    <row r="30">
      <c r="A30" s="11" t="inlineStr">
        <is>
          <t>Flotation Cost – New Equity</t>
        </is>
      </c>
      <c r="B30" s="14" t="n">
        <v>0.03</v>
      </c>
    </row>
    <row r="31">
      <c r="A31" s="11" t="inlineStr">
        <is>
          <t>Beta (β)</t>
        </is>
      </c>
      <c r="B31" s="16" t="n">
        <v>1.45</v>
      </c>
    </row>
    <row r="32">
      <c r="A32" s="11" t="inlineStr">
        <is>
          <t>Risk-free Rate (Rf)</t>
        </is>
      </c>
      <c r="B32" s="14" t="n">
        <v>0.04</v>
      </c>
    </row>
    <row r="33">
      <c r="A33" s="11" t="inlineStr">
        <is>
          <t>Expected Market Return (Rm)</t>
        </is>
      </c>
      <c r="B33" s="14" t="n">
        <v>0.18</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B32+B31*(B33-B32)</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xl/worksheets/sheet5.xml><?xml version="1.0" encoding="utf-8"?>
<worksheet xmlns="http://schemas.openxmlformats.org/spreadsheetml/2006/main">
  <sheetPr>
    <tabColor rgb="FF92D050"/>
    <outlinePr summaryBelow="1" summaryRight="1"/>
    <pageSetUpPr/>
  </sheetPr>
  <dimension ref="A1:D70"/>
  <sheetViews>
    <sheetView workbookViewId="0">
      <selection activeCell="A1" sqref="A1"/>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3 – Zenith Pharmaceuticals Ltd – Capital Structure &amp; WACC</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5000</v>
      </c>
    </row>
    <row r="10">
      <c r="A10" s="11" t="inlineStr">
        <is>
          <t>Face Value per Bond</t>
        </is>
      </c>
      <c r="B10" s="13" t="n">
        <v>50000</v>
      </c>
    </row>
    <row r="11">
      <c r="A11" s="11" t="inlineStr">
        <is>
          <t>Annual Coupon Rate</t>
        </is>
      </c>
      <c r="B11" s="14" t="n">
        <v>0.0475</v>
      </c>
    </row>
    <row r="12">
      <c r="A12" s="11" t="inlineStr">
        <is>
          <t>Payments per Year (CPY)</t>
        </is>
      </c>
      <c r="B12" s="12" t="n">
        <v>4</v>
      </c>
    </row>
    <row r="13">
      <c r="A13" s="11" t="inlineStr">
        <is>
          <t>Current Market Price per Bond</t>
        </is>
      </c>
      <c r="B13" s="13" t="n">
        <v>51250</v>
      </c>
    </row>
    <row r="14">
      <c r="A14" s="11" t="inlineStr">
        <is>
          <t>Flotation Cost – Debt (% of issue price)</t>
        </is>
      </c>
      <c r="B14" s="14" t="n">
        <v>0.0165</v>
      </c>
    </row>
    <row r="15">
      <c r="A15" s="11" t="inlineStr">
        <is>
          <t>Corporate Tax Rate</t>
        </is>
      </c>
      <c r="B15" s="14" t="n">
        <v>0.3</v>
      </c>
    </row>
    <row r="16">
      <c r="A16" s="11" t="inlineStr">
        <is>
          <t>Issue Date</t>
        </is>
      </c>
      <c r="B16" s="15" t="n">
        <v>43831</v>
      </c>
    </row>
    <row r="17">
      <c r="A17" s="11" t="inlineStr">
        <is>
          <t>Maturity / Redemption Date</t>
        </is>
      </c>
      <c r="B17" s="15" t="n">
        <v>49674</v>
      </c>
    </row>
    <row r="18"/>
    <row r="19">
      <c r="A19" s="11" t="inlineStr">
        <is>
          <t>Number of Preference Shares</t>
        </is>
      </c>
      <c r="B19" s="12" t="n">
        <v>1000000</v>
      </c>
    </row>
    <row r="20">
      <c r="A20" s="11" t="inlineStr">
        <is>
          <t>Face Value per Preference Share</t>
        </is>
      </c>
      <c r="B20" s="13" t="n">
        <v>50</v>
      </c>
    </row>
    <row r="21">
      <c r="A21" s="11" t="inlineStr">
        <is>
          <t>Annual Preference Dividend per Share</t>
        </is>
      </c>
      <c r="B21" s="13" t="n">
        <v>3.5</v>
      </c>
    </row>
    <row r="22">
      <c r="A22" s="11" t="inlineStr">
        <is>
          <t>Current Market Price per Preference Share</t>
        </is>
      </c>
      <c r="B22" s="13" t="n">
        <v>72.40000000000001</v>
      </c>
    </row>
    <row r="23">
      <c r="A23" s="11" t="inlineStr">
        <is>
          <t>Flotation Cost – Preference Shares</t>
        </is>
      </c>
      <c r="B23" s="14" t="n">
        <v>0.0235</v>
      </c>
    </row>
    <row r="24"/>
    <row r="25">
      <c r="A25" s="11" t="inlineStr">
        <is>
          <t>Number of Equity Shares</t>
        </is>
      </c>
      <c r="B25" s="12" t="n">
        <v>1500000</v>
      </c>
    </row>
    <row r="26">
      <c r="A26" s="11" t="inlineStr">
        <is>
          <t>Face Value per Equity Share</t>
        </is>
      </c>
      <c r="B26" s="13" t="n">
        <v>5</v>
      </c>
    </row>
    <row r="27">
      <c r="A27" s="11" t="inlineStr">
        <is>
          <t>Expected Dividend Next Year (D1)</t>
        </is>
      </c>
      <c r="B27" s="13" t="n">
        <v>0.85</v>
      </c>
    </row>
    <row r="28">
      <c r="A28" s="11" t="inlineStr">
        <is>
          <t>Dividend Growth Rate (g)</t>
        </is>
      </c>
      <c r="B28" s="14" t="n">
        <v>0.075</v>
      </c>
    </row>
    <row r="29">
      <c r="A29" s="11" t="inlineStr">
        <is>
          <t>Current Market Price per Equity Share (P0)</t>
        </is>
      </c>
      <c r="B29" s="13" t="n">
        <v>26.25</v>
      </c>
    </row>
    <row r="30">
      <c r="A30" s="11" t="inlineStr">
        <is>
          <t>Flotation Cost – New Equity</t>
        </is>
      </c>
      <c r="B30" s="14" t="n">
        <v>0.0225</v>
      </c>
    </row>
    <row r="31">
      <c r="A31" s="11" t="inlineStr">
        <is>
          <t>Beta (β)</t>
        </is>
      </c>
      <c r="B31" s="16" t="n">
        <v>1.45</v>
      </c>
    </row>
    <row r="32">
      <c r="A32" s="11" t="inlineStr">
        <is>
          <t>Risk-free Rate (Rf)</t>
        </is>
      </c>
      <c r="B32" s="14" t="n">
        <v>0.045</v>
      </c>
    </row>
    <row r="33">
      <c r="A33" s="11" t="inlineStr">
        <is>
          <t>Expected Market Return (Rm)</t>
        </is>
      </c>
      <c r="B33" s="14" t="n">
        <v>0.165</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B32+B31*(B33-B32)</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xl/worksheets/sheet6.xml><?xml version="1.0" encoding="utf-8"?>
<worksheet xmlns="http://schemas.openxmlformats.org/spreadsheetml/2006/main">
  <sheetPr>
    <tabColor rgb="FF92D050"/>
    <outlinePr summaryBelow="1" summaryRight="1"/>
    <pageSetUpPr/>
  </sheetPr>
  <dimension ref="A1:D70"/>
  <sheetViews>
    <sheetView workbookViewId="0">
      <selection activeCell="A1" sqref="A1"/>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4 – Horizon Automotives Ltd – Capital Structure &amp; WACC</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7500</v>
      </c>
    </row>
    <row r="10">
      <c r="A10" s="11" t="inlineStr">
        <is>
          <t>Face Value per Bond</t>
        </is>
      </c>
      <c r="B10" s="13" t="n">
        <v>10000</v>
      </c>
    </row>
    <row r="11">
      <c r="A11" s="11" t="inlineStr">
        <is>
          <t>Annual Coupon Rate</t>
        </is>
      </c>
      <c r="B11" s="14" t="n">
        <v>0.0475</v>
      </c>
    </row>
    <row r="12">
      <c r="A12" s="11" t="inlineStr">
        <is>
          <t>Payments per Year (CPY)</t>
        </is>
      </c>
      <c r="B12" s="12" t="n">
        <v>2</v>
      </c>
    </row>
    <row r="13">
      <c r="A13" s="11" t="inlineStr">
        <is>
          <t>Current Market Price per Bond</t>
        </is>
      </c>
      <c r="B13" s="13" t="n">
        <v>12150</v>
      </c>
    </row>
    <row r="14">
      <c r="A14" s="11" t="inlineStr">
        <is>
          <t>Flotation Cost – Debt (% of issue price)</t>
        </is>
      </c>
      <c r="B14" s="14" t="n">
        <v>0.0315</v>
      </c>
    </row>
    <row r="15">
      <c r="A15" s="11" t="inlineStr">
        <is>
          <t>Corporate Tax Rate</t>
        </is>
      </c>
      <c r="B15" s="14" t="n">
        <v>0.35</v>
      </c>
    </row>
    <row r="16">
      <c r="A16" s="11" t="inlineStr">
        <is>
          <t>Issue Date</t>
        </is>
      </c>
      <c r="B16" s="15" t="n">
        <v>42781</v>
      </c>
    </row>
    <row r="17">
      <c r="A17" s="11" t="inlineStr">
        <is>
          <t>Maturity / Redemption Date</t>
        </is>
      </c>
      <c r="B17" s="15" t="n">
        <v>47710</v>
      </c>
    </row>
    <row r="18"/>
    <row r="19">
      <c r="A19" s="11" t="inlineStr">
        <is>
          <t>Number of Preference Shares</t>
        </is>
      </c>
      <c r="B19" s="12" t="n">
        <v>100000</v>
      </c>
    </row>
    <row r="20">
      <c r="A20" s="11" t="inlineStr">
        <is>
          <t>Face Value per Preference Share</t>
        </is>
      </c>
      <c r="B20" s="13" t="n">
        <v>100</v>
      </c>
    </row>
    <row r="21">
      <c r="A21" s="11" t="inlineStr">
        <is>
          <t>Annual Preference Dividend per Share</t>
        </is>
      </c>
      <c r="B21" s="13" t="n">
        <v>12.5</v>
      </c>
    </row>
    <row r="22">
      <c r="A22" s="11" t="inlineStr">
        <is>
          <t>Current Market Price per Preference Share</t>
        </is>
      </c>
      <c r="B22" s="13" t="n">
        <v>112.25</v>
      </c>
    </row>
    <row r="23">
      <c r="A23" s="11" t="inlineStr">
        <is>
          <t>Flotation Cost – Preference Shares</t>
        </is>
      </c>
      <c r="B23" s="14" t="n">
        <v>0.025</v>
      </c>
    </row>
    <row r="24"/>
    <row r="25">
      <c r="A25" s="11" t="inlineStr">
        <is>
          <t>Number of Equity Shares</t>
        </is>
      </c>
      <c r="B25" s="12" t="n">
        <v>12500000</v>
      </c>
    </row>
    <row r="26">
      <c r="A26" s="11" t="inlineStr">
        <is>
          <t>Face Value per Equity Share</t>
        </is>
      </c>
      <c r="B26" s="13" t="n">
        <v>5</v>
      </c>
    </row>
    <row r="27">
      <c r="A27" s="11" t="inlineStr">
        <is>
          <t>Expected Dividend Next Year (D1)</t>
        </is>
      </c>
      <c r="B27" s="13" t="n">
        <v>0.65</v>
      </c>
    </row>
    <row r="28">
      <c r="A28" s="11" t="inlineStr">
        <is>
          <t>Dividend Growth Rate (g)</t>
        </is>
      </c>
      <c r="B28" s="14" t="n">
        <v>0.075</v>
      </c>
    </row>
    <row r="29">
      <c r="A29" s="11" t="inlineStr">
        <is>
          <t>Current Market Price per Equity Share (P0)</t>
        </is>
      </c>
      <c r="B29" s="13" t="n">
        <v>16.25</v>
      </c>
    </row>
    <row r="30">
      <c r="A30" s="11" t="inlineStr">
        <is>
          <t>Flotation Cost – New Equity</t>
        </is>
      </c>
      <c r="B30" s="14" t="n">
        <v>0.04</v>
      </c>
    </row>
    <row r="31">
      <c r="A31" s="11" t="inlineStr">
        <is>
          <t>Beta (β)</t>
        </is>
      </c>
      <c r="B31" s="16" t="n">
        <v>0.9</v>
      </c>
    </row>
    <row r="32">
      <c r="A32" s="11" t="inlineStr">
        <is>
          <t>Risk-free Rate (Rf)</t>
        </is>
      </c>
      <c r="B32" s="14" t="n">
        <v>0.045</v>
      </c>
    </row>
    <row r="33">
      <c r="A33" s="11" t="inlineStr">
        <is>
          <t>Expected Market Return (Rm)</t>
        </is>
      </c>
      <c r="B33" s="14" t="n">
        <v>0.17</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B32+B31*(B33-B32)</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xl/worksheets/sheet7.xml><?xml version="1.0" encoding="utf-8"?>
<worksheet xmlns="http://schemas.openxmlformats.org/spreadsheetml/2006/main">
  <sheetPr>
    <tabColor rgb="FF92D050"/>
    <outlinePr summaryBelow="1" summaryRight="1"/>
    <pageSetUpPr/>
  </sheetPr>
  <dimension ref="A1:D70"/>
  <sheetViews>
    <sheetView workbookViewId="0">
      <selection activeCell="A1" sqref="A1"/>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5 – BlueWave Logistics Ltd – Capital Structure &amp; WACC</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2500</v>
      </c>
    </row>
    <row r="10">
      <c r="A10" s="11" t="inlineStr">
        <is>
          <t>Face Value per Bond</t>
        </is>
      </c>
      <c r="B10" s="13" t="n">
        <v>100000</v>
      </c>
    </row>
    <row r="11">
      <c r="A11" s="11" t="inlineStr">
        <is>
          <t>Annual Coupon Rate</t>
        </is>
      </c>
      <c r="B11" s="14" t="n">
        <v>0.0625</v>
      </c>
    </row>
    <row r="12">
      <c r="A12" s="11" t="inlineStr">
        <is>
          <t>Payments per Year (CPY)</t>
        </is>
      </c>
      <c r="B12" s="12" t="n">
        <v>4</v>
      </c>
    </row>
    <row r="13">
      <c r="A13" s="11" t="inlineStr">
        <is>
          <t>Current Market Price per Bond</t>
        </is>
      </c>
      <c r="B13" s="13" t="n">
        <v>104250</v>
      </c>
    </row>
    <row r="14">
      <c r="A14" s="11" t="inlineStr">
        <is>
          <t>Flotation Cost – Debt (% of issue price)</t>
        </is>
      </c>
      <c r="B14" s="14" t="n">
        <v>0.0175</v>
      </c>
    </row>
    <row r="15">
      <c r="A15" s="11" t="inlineStr">
        <is>
          <t>Corporate Tax Rate</t>
        </is>
      </c>
      <c r="B15" s="14" t="n">
        <v>0.3</v>
      </c>
    </row>
    <row r="16">
      <c r="A16" s="11" t="inlineStr">
        <is>
          <t>Issue Date</t>
        </is>
      </c>
      <c r="B16" s="15" t="n">
        <v>43146</v>
      </c>
    </row>
    <row r="17">
      <c r="A17" s="11" t="inlineStr">
        <is>
          <t>Maturity / Redemption Date</t>
        </is>
      </c>
      <c r="B17" s="15" t="n">
        <v>45884</v>
      </c>
    </row>
    <row r="18"/>
    <row r="19">
      <c r="A19" s="11" t="inlineStr">
        <is>
          <t>Number of Preference Shares</t>
        </is>
      </c>
      <c r="B19" s="12" t="n">
        <v>50000</v>
      </c>
    </row>
    <row r="20">
      <c r="A20" s="11" t="inlineStr">
        <is>
          <t>Face Value per Preference Share</t>
        </is>
      </c>
      <c r="B20" s="13" t="n">
        <v>25</v>
      </c>
    </row>
    <row r="21">
      <c r="A21" s="11" t="inlineStr">
        <is>
          <t>Annual Preference Dividend per Share</t>
        </is>
      </c>
      <c r="B21" s="13" t="n">
        <v>4.5</v>
      </c>
    </row>
    <row r="22">
      <c r="A22" s="11" t="inlineStr">
        <is>
          <t>Current Market Price per Preference Share</t>
        </is>
      </c>
      <c r="B22" s="13" t="n">
        <v>37.5</v>
      </c>
    </row>
    <row r="23">
      <c r="A23" s="11" t="inlineStr">
        <is>
          <t>Flotation Cost – Preference Shares</t>
        </is>
      </c>
      <c r="B23" s="14" t="n">
        <v>0</v>
      </c>
    </row>
    <row r="24"/>
    <row r="25">
      <c r="A25" s="11" t="inlineStr">
        <is>
          <t>Number of Equity Shares</t>
        </is>
      </c>
      <c r="B25" s="12" t="n">
        <v>12500000</v>
      </c>
    </row>
    <row r="26">
      <c r="A26" s="11" t="inlineStr">
        <is>
          <t>Face Value per Equity Share</t>
        </is>
      </c>
      <c r="B26" s="13" t="n">
        <v>5</v>
      </c>
    </row>
    <row r="27">
      <c r="A27" s="11" t="inlineStr">
        <is>
          <t>Expected Dividend Next Year (D1)</t>
        </is>
      </c>
      <c r="B27" s="13" t="n">
        <v>0.55</v>
      </c>
    </row>
    <row r="28">
      <c r="A28" s="11" t="inlineStr">
        <is>
          <t>Dividend Growth Rate (g)</t>
        </is>
      </c>
      <c r="B28" s="14" t="n">
        <v>0.06</v>
      </c>
    </row>
    <row r="29">
      <c r="A29" s="11" t="inlineStr">
        <is>
          <t>Current Market Price per Equity Share (P0)</t>
        </is>
      </c>
      <c r="B29" s="13" t="n">
        <v>22.35</v>
      </c>
    </row>
    <row r="30">
      <c r="A30" s="11" t="inlineStr">
        <is>
          <t>Flotation Cost – New Equity</t>
        </is>
      </c>
      <c r="B30" s="14" t="n">
        <v>0.02</v>
      </c>
    </row>
    <row r="31">
      <c r="A31" s="11" t="inlineStr">
        <is>
          <t>Beta (β)</t>
        </is>
      </c>
      <c r="B31" s="16" t="n">
        <v>0.85</v>
      </c>
    </row>
    <row r="32">
      <c r="A32" s="11" t="inlineStr">
        <is>
          <t>Risk-free Rate (Rf)</t>
        </is>
      </c>
      <c r="B32" s="14" t="n">
        <v>0.0325</v>
      </c>
    </row>
    <row r="33">
      <c r="A33" s="11" t="inlineStr">
        <is>
          <t>Market Risk Premium (Rm - Rf)</t>
        </is>
      </c>
      <c r="B33" s="14" t="n">
        <v>0.16</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xl/worksheets/sheet8.xml><?xml version="1.0" encoding="utf-8"?>
<worksheet xmlns="http://schemas.openxmlformats.org/spreadsheetml/2006/main">
  <sheetPr>
    <tabColor rgb="FF92D050"/>
    <outlinePr summaryBelow="1" summaryRight="1"/>
    <pageSetUpPr/>
  </sheetPr>
  <dimension ref="A1:D70"/>
  <sheetViews>
    <sheetView workbookViewId="0">
      <selection activeCell="A1" sqref="A1"/>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6 – Vista Agro Foods Ltd – Capital Structure &amp; WACC</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1000</v>
      </c>
    </row>
    <row r="10">
      <c r="A10" s="11" t="inlineStr">
        <is>
          <t>Face Value per Bond</t>
        </is>
      </c>
      <c r="B10" s="13" t="n">
        <v>25000</v>
      </c>
    </row>
    <row r="11">
      <c r="A11" s="11" t="inlineStr">
        <is>
          <t>Annual Coupon Rate</t>
        </is>
      </c>
      <c r="B11" s="14" t="n">
        <v>0.0625</v>
      </c>
    </row>
    <row r="12">
      <c r="A12" s="11" t="inlineStr">
        <is>
          <t>Payments per Year (CPY)</t>
        </is>
      </c>
      <c r="B12" s="12" t="n">
        <v>4</v>
      </c>
    </row>
    <row r="13">
      <c r="A13" s="11" t="inlineStr">
        <is>
          <t>Current Market Price per Bond</t>
        </is>
      </c>
      <c r="B13" s="13" t="n">
        <v>26250</v>
      </c>
    </row>
    <row r="14">
      <c r="A14" s="11" t="inlineStr">
        <is>
          <t>Flotation Cost – Debt (% of issue price)</t>
        </is>
      </c>
      <c r="B14" s="14" t="n">
        <v>0.0325</v>
      </c>
    </row>
    <row r="15">
      <c r="A15" s="11" t="inlineStr">
        <is>
          <t>Corporate Tax Rate</t>
        </is>
      </c>
      <c r="B15" s="14" t="n">
        <v>0.3</v>
      </c>
    </row>
    <row r="16">
      <c r="A16" s="11" t="inlineStr">
        <is>
          <t>Issue Date</t>
        </is>
      </c>
      <c r="B16" s="15" t="n">
        <v>42050</v>
      </c>
    </row>
    <row r="17">
      <c r="A17" s="11" t="inlineStr">
        <is>
          <t>Maturity / Redemption Date</t>
        </is>
      </c>
      <c r="B17" s="15" t="n">
        <v>45884</v>
      </c>
    </row>
    <row r="18"/>
    <row r="19">
      <c r="A19" s="11" t="inlineStr">
        <is>
          <t>Number of Preference Shares</t>
        </is>
      </c>
      <c r="B19" s="12" t="n">
        <v>5000</v>
      </c>
    </row>
    <row r="20">
      <c r="A20" s="11" t="inlineStr">
        <is>
          <t>Face Value per Preference Share</t>
        </is>
      </c>
      <c r="B20" s="13" t="n">
        <v>100</v>
      </c>
    </row>
    <row r="21">
      <c r="A21" s="11" t="inlineStr">
        <is>
          <t>Annual Preference Dividend per Share</t>
        </is>
      </c>
      <c r="B21" s="13" t="n">
        <v>4.25</v>
      </c>
    </row>
    <row r="22">
      <c r="A22" s="11" t="inlineStr">
        <is>
          <t>Current Market Price per Preference Share</t>
        </is>
      </c>
      <c r="B22" s="13" t="n">
        <v>112.5</v>
      </c>
    </row>
    <row r="23">
      <c r="A23" s="11" t="inlineStr">
        <is>
          <t>Flotation Cost – Preference Shares</t>
        </is>
      </c>
      <c r="B23" s="14" t="n">
        <v>0.0275</v>
      </c>
    </row>
    <row r="24"/>
    <row r="25">
      <c r="A25" s="11" t="inlineStr">
        <is>
          <t>Number of Equity Shares</t>
        </is>
      </c>
      <c r="B25" s="12" t="n">
        <v>5000000</v>
      </c>
    </row>
    <row r="26">
      <c r="A26" s="11" t="inlineStr">
        <is>
          <t>Face Value per Equity Share</t>
        </is>
      </c>
      <c r="B26" s="13" t="n">
        <v>5</v>
      </c>
    </row>
    <row r="27">
      <c r="A27" s="11" t="inlineStr">
        <is>
          <t>Expected Dividend Next Year (D1)</t>
        </is>
      </c>
      <c r="B27" s="13" t="n">
        <v>0.65</v>
      </c>
    </row>
    <row r="28">
      <c r="A28" s="11" t="inlineStr">
        <is>
          <t>Dividend Growth Rate (g)</t>
        </is>
      </c>
      <c r="B28" s="14" t="n">
        <v>0.06</v>
      </c>
    </row>
    <row r="29">
      <c r="A29" s="11" t="inlineStr">
        <is>
          <t>Current Market Price per Equity Share (P0)</t>
        </is>
      </c>
      <c r="B29" s="13" t="n">
        <v>17.5</v>
      </c>
    </row>
    <row r="30">
      <c r="A30" s="11" t="inlineStr">
        <is>
          <t>Flotation Cost – New Equity</t>
        </is>
      </c>
      <c r="B30" s="14" t="n">
        <v>0.02</v>
      </c>
    </row>
    <row r="31">
      <c r="A31" s="11" t="inlineStr">
        <is>
          <t>Beta (β)</t>
        </is>
      </c>
      <c r="B31" s="16" t="n">
        <v>1.1</v>
      </c>
    </row>
    <row r="32">
      <c r="A32" s="11" t="inlineStr">
        <is>
          <t>Risk-free Rate (Rf)</t>
        </is>
      </c>
      <c r="B32" s="14" t="n">
        <v>0.0425</v>
      </c>
    </row>
    <row r="33">
      <c r="A33" s="11" t="inlineStr">
        <is>
          <t>Market Risk Premium (Rm - Rf)</t>
        </is>
      </c>
      <c r="B33" s="14" t="n">
        <v>0.175</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xl/worksheets/sheet9.xml><?xml version="1.0" encoding="utf-8"?>
<worksheet xmlns="http://schemas.openxmlformats.org/spreadsheetml/2006/main">
  <sheetPr>
    <tabColor rgb="FF92D050"/>
    <outlinePr summaryBelow="1" summaryRight="1"/>
    <pageSetUpPr/>
  </sheetPr>
  <dimension ref="A1:D70"/>
  <sheetViews>
    <sheetView topLeftCell="A54" workbookViewId="0">
      <selection activeCell="D69" sqref="D69"/>
    </sheetView>
  </sheetViews>
  <sheetFormatPr baseColWidth="8" defaultRowHeight="14.5"/>
  <cols>
    <col width="42" customWidth="1" style="36" min="1" max="1"/>
    <col width="18" customWidth="1" style="36" min="2" max="2"/>
    <col width="22" customWidth="1" style="36" min="3" max="3"/>
    <col width="18" customWidth="1" style="36" min="4" max="4"/>
  </cols>
  <sheetData>
    <row r="1" ht="18.5" customHeight="1" s="36">
      <c r="A1" s="6" t="inlineStr">
        <is>
          <t>Caselet 7 – Nimbus Hospitality Ltd – Capital Structure &amp; WACC</t>
        </is>
      </c>
    </row>
    <row r="2"/>
    <row r="3">
      <c r="A3" s="35" t="inlineStr">
        <is>
          <t>WACC Summary (Book vs Market Weights)</t>
        </is>
      </c>
    </row>
    <row r="4">
      <c r="A4" s="7" t="inlineStr">
        <is>
          <t>Scenario</t>
        </is>
      </c>
      <c r="B4" s="7" t="inlineStr">
        <is>
          <t>Weights</t>
        </is>
      </c>
      <c r="C4" s="7" t="inlineStr">
        <is>
          <t>Using Retained Earnings</t>
        </is>
      </c>
      <c r="D4" s="7" t="inlineStr">
        <is>
          <t>Using New Equity</t>
        </is>
      </c>
    </row>
    <row r="5">
      <c r="A5" s="8" t="inlineStr">
        <is>
          <t>Book Value Weights</t>
        </is>
      </c>
      <c r="B5" s="9" t="inlineStr">
        <is>
          <t>Book value weights</t>
        </is>
      </c>
      <c r="C5" s="10">
        <f>B64</f>
        <v/>
      </c>
      <c r="D5" s="10">
        <f>B65</f>
        <v/>
      </c>
    </row>
    <row r="6">
      <c r="A6" s="8" t="inlineStr">
        <is>
          <t>Market Value Weights</t>
        </is>
      </c>
      <c r="B6" s="9" t="inlineStr">
        <is>
          <t>Market value weights</t>
        </is>
      </c>
      <c r="C6" s="10">
        <f>B66</f>
        <v/>
      </c>
      <c r="D6" s="10">
        <f>B67</f>
        <v/>
      </c>
    </row>
    <row r="7"/>
    <row r="8">
      <c r="A8" s="37" t="inlineStr">
        <is>
          <t>Inputs – Capital Structure &amp; Instruments</t>
        </is>
      </c>
    </row>
    <row r="9">
      <c r="A9" s="11" t="inlineStr">
        <is>
          <t>Number of Bonds</t>
        </is>
      </c>
      <c r="B9" s="12" t="n">
        <v>10000</v>
      </c>
    </row>
    <row r="10">
      <c r="A10" s="11" t="inlineStr">
        <is>
          <t>Face Value per Bond</t>
        </is>
      </c>
      <c r="B10" s="13" t="n">
        <v>5000</v>
      </c>
    </row>
    <row r="11">
      <c r="A11" s="11" t="inlineStr">
        <is>
          <t>Annual Coupon Rate</t>
        </is>
      </c>
      <c r="B11" s="14" t="n">
        <v>0.0475</v>
      </c>
    </row>
    <row r="12">
      <c r="A12" s="11" t="inlineStr">
        <is>
          <t>Payments per Year (CPY)</t>
        </is>
      </c>
      <c r="B12" s="12" t="n">
        <v>4</v>
      </c>
    </row>
    <row r="13">
      <c r="A13" s="11" t="inlineStr">
        <is>
          <t>Current Market Price per Bond</t>
        </is>
      </c>
      <c r="B13" s="13" t="n">
        <v>5125</v>
      </c>
    </row>
    <row r="14">
      <c r="A14" s="11" t="inlineStr">
        <is>
          <t>Flotation Cost – Debt (% of issue price)</t>
        </is>
      </c>
      <c r="B14" s="14" t="n">
        <v>0.0175</v>
      </c>
    </row>
    <row r="15">
      <c r="A15" s="11" t="inlineStr">
        <is>
          <t>Corporate Tax Rate</t>
        </is>
      </c>
      <c r="B15" s="14" t="n">
        <v>0.3</v>
      </c>
    </row>
    <row r="16">
      <c r="A16" s="11" t="inlineStr">
        <is>
          <t>Issue Date</t>
        </is>
      </c>
      <c r="B16" s="15" t="n">
        <v>43511</v>
      </c>
    </row>
    <row r="17">
      <c r="A17" s="11" t="inlineStr">
        <is>
          <t>Maturity / Redemption Date</t>
        </is>
      </c>
      <c r="B17" s="15" t="n">
        <v>47345</v>
      </c>
    </row>
    <row r="18"/>
    <row r="19">
      <c r="A19" s="11" t="inlineStr">
        <is>
          <t>Number of Preference Shares</t>
        </is>
      </c>
      <c r="B19" s="12" t="n">
        <v>75000</v>
      </c>
    </row>
    <row r="20">
      <c r="A20" s="11" t="inlineStr">
        <is>
          <t>Face Value per Preference Share</t>
        </is>
      </c>
      <c r="B20" s="13" t="n">
        <v>1000</v>
      </c>
    </row>
    <row r="21">
      <c r="A21" s="11" t="inlineStr">
        <is>
          <t>Annual Preference Dividend per Share</t>
        </is>
      </c>
      <c r="B21" s="13" t="n">
        <v>75.25</v>
      </c>
    </row>
    <row r="22">
      <c r="A22" s="11" t="inlineStr">
        <is>
          <t>Current Market Price per Preference Share</t>
        </is>
      </c>
      <c r="B22" s="13" t="n">
        <v>1125</v>
      </c>
    </row>
    <row r="23">
      <c r="A23" s="11" t="inlineStr">
        <is>
          <t>Flotation Cost – Preference Shares</t>
        </is>
      </c>
      <c r="B23" s="14" t="n">
        <v>0.0265</v>
      </c>
    </row>
    <row r="24"/>
    <row r="25">
      <c r="A25" s="11" t="inlineStr">
        <is>
          <t>Number of Equity Shares</t>
        </is>
      </c>
      <c r="B25" s="12" t="n">
        <v>2000000</v>
      </c>
    </row>
    <row r="26">
      <c r="A26" s="11" t="inlineStr">
        <is>
          <t>Face Value per Equity Share</t>
        </is>
      </c>
      <c r="B26" s="13" t="n">
        <v>5</v>
      </c>
    </row>
    <row r="27">
      <c r="A27" s="11" t="inlineStr">
        <is>
          <t>Expected Dividend Next Year (D1)</t>
        </is>
      </c>
      <c r="B27" s="13" t="n">
        <v>0.65</v>
      </c>
    </row>
    <row r="28">
      <c r="A28" s="11" t="inlineStr">
        <is>
          <t>Dividend Growth Rate (g)</t>
        </is>
      </c>
      <c r="B28" s="14" t="n">
        <v>0.07000000000000001</v>
      </c>
    </row>
    <row r="29">
      <c r="A29" s="11" t="inlineStr">
        <is>
          <t>Current Market Price per Equity Share (P0)</t>
        </is>
      </c>
      <c r="B29" s="13" t="n">
        <v>28.65</v>
      </c>
    </row>
    <row r="30">
      <c r="A30" s="11" t="inlineStr">
        <is>
          <t>Flotation Cost – New Equity</t>
        </is>
      </c>
      <c r="B30" s="14" t="n">
        <v>0.03</v>
      </c>
    </row>
    <row r="31">
      <c r="A31" s="11" t="inlineStr">
        <is>
          <t>Beta (β)</t>
        </is>
      </c>
      <c r="B31" s="16" t="n">
        <v>1.35</v>
      </c>
    </row>
    <row r="32">
      <c r="A32" s="11" t="inlineStr">
        <is>
          <t>Risk-free Rate (Rf)</t>
        </is>
      </c>
      <c r="B32" s="14" t="n">
        <v>0.0425</v>
      </c>
    </row>
    <row r="33">
      <c r="A33" s="11" t="inlineStr">
        <is>
          <t>Market Risk Premium (Rm - Rf)</t>
        </is>
      </c>
      <c r="B33" s="14" t="n">
        <v>0.185</v>
      </c>
    </row>
    <row r="34"/>
    <row r="35">
      <c r="A35" s="38" t="inlineStr">
        <is>
          <t>Derived Parameters – Values &amp; Weights</t>
        </is>
      </c>
    </row>
    <row r="36">
      <c r="A36" s="17" t="inlineStr">
        <is>
          <t>Years to Maturity (YEARFRAC(issue, maturity))</t>
        </is>
      </c>
      <c r="B36" s="16">
        <f>YEARFRAC(B16,B17)</f>
        <v/>
      </c>
    </row>
    <row r="37">
      <c r="A37" s="17" t="inlineStr">
        <is>
          <t>Number of Periods (NPER = Years × CPY)</t>
        </is>
      </c>
      <c r="B37" s="16">
        <f>B36*B12</f>
        <v/>
      </c>
    </row>
    <row r="38">
      <c r="A38" s="17" t="inlineStr">
        <is>
          <t>Coupon Payment per Period</t>
        </is>
      </c>
      <c r="B38" s="13">
        <f>B10*B11/B12</f>
        <v/>
      </c>
    </row>
    <row r="39">
      <c r="A39" s="17" t="inlineStr">
        <is>
          <t>Net Proceeds per Bond (after flotation)</t>
        </is>
      </c>
      <c r="B39" s="13">
        <f>B13*(1-B14)</f>
        <v/>
      </c>
    </row>
    <row r="40">
      <c r="A40" s="17" t="inlineStr">
        <is>
          <t>Redemption Value per Bond</t>
        </is>
      </c>
      <c r="B40" s="13">
        <f>B10*(1+0)</f>
        <v/>
      </c>
    </row>
    <row r="41">
      <c r="A41" s="17" t="inlineStr">
        <is>
          <t>Book Value of Debt (BVD)</t>
        </is>
      </c>
      <c r="B41" s="13">
        <f>B9*B10</f>
        <v/>
      </c>
    </row>
    <row r="42">
      <c r="A42" s="17" t="inlineStr">
        <is>
          <t>Book Value of Preference Shares (BVP)</t>
        </is>
      </c>
      <c r="B42" s="13">
        <f>B19*B20</f>
        <v/>
      </c>
    </row>
    <row r="43">
      <c r="A43" s="17" t="inlineStr">
        <is>
          <t>Book Value of Equity (BVE)</t>
        </is>
      </c>
      <c r="B43" s="13">
        <f>B25*B26</f>
        <v/>
      </c>
    </row>
    <row r="44">
      <c r="A44" s="17" t="inlineStr">
        <is>
          <t>Total Book Value of Capital (TBV)</t>
        </is>
      </c>
      <c r="B44" s="13">
        <f>B41+B42+B43</f>
        <v/>
      </c>
    </row>
    <row r="45">
      <c r="A45" s="17" t="inlineStr">
        <is>
          <t>Book Value Weight of Debt (wd_BV)</t>
        </is>
      </c>
      <c r="B45" s="14">
        <f>B41/B44</f>
        <v/>
      </c>
    </row>
    <row r="46">
      <c r="A46" s="17" t="inlineStr">
        <is>
          <t>Book Value Weight of Pref (wps_BV)</t>
        </is>
      </c>
      <c r="B46" s="14">
        <f>B42/B44</f>
        <v/>
      </c>
    </row>
    <row r="47">
      <c r="A47" s="17" t="inlineStr">
        <is>
          <t>Book Value Weight of Equity (we_BV)</t>
        </is>
      </c>
      <c r="B47" s="14">
        <f>B43/B44</f>
        <v/>
      </c>
    </row>
    <row r="48">
      <c r="A48" s="17" t="inlineStr">
        <is>
          <t>Market Value of Debt (MVD)</t>
        </is>
      </c>
      <c r="B48" s="13">
        <f>B9*B13</f>
        <v/>
      </c>
    </row>
    <row r="49">
      <c r="A49" s="17" t="inlineStr">
        <is>
          <t>Market Value of Preference Shares (MVP)</t>
        </is>
      </c>
      <c r="B49" s="13">
        <f>B19*B22</f>
        <v/>
      </c>
    </row>
    <row r="50">
      <c r="A50" s="17" t="inlineStr">
        <is>
          <t>Market Value of Equity (MVE)</t>
        </is>
      </c>
      <c r="B50" s="13">
        <f>B25*B29</f>
        <v/>
      </c>
    </row>
    <row r="51">
      <c r="A51" s="17" t="inlineStr">
        <is>
          <t>Total Market Value of Capital (TMV)</t>
        </is>
      </c>
      <c r="B51" s="13">
        <f>B48+B49+B50</f>
        <v/>
      </c>
    </row>
    <row r="52">
      <c r="A52" s="17" t="inlineStr">
        <is>
          <t>Market Value Weight of Debt (wd_MV)</t>
        </is>
      </c>
      <c r="B52" s="14">
        <f>B48/B51</f>
        <v/>
      </c>
    </row>
    <row r="53">
      <c r="A53" s="17" t="inlineStr">
        <is>
          <t>Market Value Weight of Pref (wps_MV)</t>
        </is>
      </c>
      <c r="B53" s="14">
        <f>B49/B51</f>
        <v/>
      </c>
    </row>
    <row r="54">
      <c r="A54" s="17" t="inlineStr">
        <is>
          <t>Market Value Weight of Equity (we_MV)</t>
        </is>
      </c>
      <c r="B54" s="14">
        <f>B50/B51</f>
        <v/>
      </c>
    </row>
    <row r="55"/>
    <row r="56">
      <c r="A56" s="39" t="inlineStr">
        <is>
          <t>Outputs – Component Costs &amp; WACC</t>
        </is>
      </c>
    </row>
    <row r="57">
      <c r="A57" s="18" t="inlineStr">
        <is>
          <t>Cost of Debt per Period (kd_periodic)</t>
        </is>
      </c>
      <c r="B57" s="19">
        <f>RATE(B37,B38,-B39,B40)</f>
        <v/>
      </c>
    </row>
    <row r="58">
      <c r="A58" s="18" t="inlineStr">
        <is>
          <t>Nominal Annual Cost of Debt (kd_annual = kd_periodic × CPY)</t>
        </is>
      </c>
      <c r="B58" s="14">
        <f>B57*B12</f>
        <v/>
      </c>
    </row>
    <row r="59">
      <c r="A59" s="18" t="inlineStr">
        <is>
          <t>After-Tax Cost of Debt (kd_after_tax)</t>
        </is>
      </c>
      <c r="B59" s="14">
        <f>B58*(1-B15)</f>
        <v/>
      </c>
    </row>
    <row r="60">
      <c r="A60" s="18" t="inlineStr">
        <is>
          <t>Cost of Preference Shares (kps)</t>
        </is>
      </c>
      <c r="B60" s="14">
        <f>B21/(B22*(1-B23))</f>
        <v/>
      </c>
    </row>
    <row r="61">
      <c r="A61" s="18" t="inlineStr">
        <is>
          <t>Cost of Equity – Retained Earnings (ke_RE = D1/P0 + g)</t>
        </is>
      </c>
      <c r="B61" s="14">
        <f>B27/B29+B28</f>
        <v/>
      </c>
    </row>
    <row r="62">
      <c r="A62" s="18" t="inlineStr">
        <is>
          <t>Cost of Equity – New Equity (ke_NE)</t>
        </is>
      </c>
      <c r="B62" s="14">
        <f>B27/(B29*(1-B30))+B28</f>
        <v/>
      </c>
    </row>
    <row r="63">
      <c r="A63" s="18" t="inlineStr">
        <is>
          <t>Cost of Equity – CAPM (ke_CAPM)</t>
        </is>
      </c>
      <c r="B63" s="14">
        <f>B32+B31*B33</f>
        <v/>
      </c>
    </row>
    <row r="64">
      <c r="A64" s="18" t="inlineStr">
        <is>
          <t>WACC (Book Weights, Retained Earnings)</t>
        </is>
      </c>
      <c r="B64" s="14">
        <f>B45*B59+B46*B60+B47*B61</f>
        <v/>
      </c>
    </row>
    <row r="65">
      <c r="A65" s="18" t="inlineStr">
        <is>
          <t>WACC (Book Weights, New Equity)</t>
        </is>
      </c>
      <c r="B65" s="14">
        <f>B45*B59+B46*B60+B47*B62</f>
        <v/>
      </c>
    </row>
    <row r="66">
      <c r="A66" s="18" t="inlineStr">
        <is>
          <t>WACC (Market Weights, Retained Earnings)</t>
        </is>
      </c>
      <c r="B66" s="14">
        <f>B52*B59+B53*B60+B54*B61</f>
        <v/>
      </c>
    </row>
    <row r="67">
      <c r="A67" s="18" t="inlineStr">
        <is>
          <t>WACC (Market Weights, New Equity)</t>
        </is>
      </c>
      <c r="B67" s="14">
        <f>B52*B59+B53*B60+B54*B62</f>
        <v/>
      </c>
    </row>
    <row r="68"/>
    <row r="69"/>
    <row r="70">
      <c r="A70" s="40" t="inlineStr">
        <is>
          <t>Notes: All rates are stored in decimal form and displayed as percentages. Debt cost uses RATE() with net proceeds and redemption at face value. Book and market value weights are computed explicitly and used for WACC with retained earnings and new equity.</t>
        </is>
      </c>
    </row>
  </sheetData>
  <sheetProtection selectLockedCells="0" selectUnlockedCells="0" sheet="1" objects="1" insertRows="0" insertHyperlinks="1" autoFilter="0" scenarios="1" formatColumns="0" deleteColumns="0" insertColumns="0" pivotTables="0" deleteRows="0" formatCells="0" formatRows="0" sort="0" password="AE3A"/>
  <mergeCells count="5">
    <mergeCell ref="A70:D70"/>
    <mergeCell ref="A3:D3"/>
    <mergeCell ref="A56:B56"/>
    <mergeCell ref="A8:B8"/>
    <mergeCell ref="A35:B3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2025-12-03T18:07:50Z</dcterms:created>
  <dcterms:modified xmlns:dcterms="http://purl.org/dc/terms/" xmlns:xsi="http://www.w3.org/2001/XMLSchema-instance" xsi:type="dcterms:W3CDTF">2026-01-01T18:21:55Z</dcterms:modified>
  <cp:lastModifiedBy>srikanthyadav444p</cp:lastModifiedBy>
</cp:coreProperties>
</file>