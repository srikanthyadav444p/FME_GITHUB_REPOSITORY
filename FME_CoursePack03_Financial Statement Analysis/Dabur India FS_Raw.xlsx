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01MBA-FINANCIAL MODELLING\01TOPIC-WISE RESOURCES\03_financial Statement Analysis\Dabur\"/>
    </mc:Choice>
  </mc:AlternateContent>
  <xr:revisionPtr revIDLastSave="0" documentId="13_ncr:1_{FC2A4C33-98B8-4C69-8B57-8076CE98069B}" xr6:coauthVersionLast="47" xr6:coauthVersionMax="47" xr10:uidLastSave="{00000000-0000-0000-0000-000000000000}"/>
  <bookViews>
    <workbookView xWindow="-110" yWindow="-110" windowWidth="19420" windowHeight="10300" activeTab="1" xr2:uid="{B982CF10-6FA0-4FAC-91EF-1255E5AF6D78}"/>
  </bookViews>
  <sheets>
    <sheet name="INPUT" sheetId="1" r:id="rId1"/>
    <sheet name="IS_B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C3" i="5"/>
  <c r="D3" i="5"/>
  <c r="E3" i="5"/>
  <c r="F3" i="5"/>
  <c r="I53" i="1" l="1"/>
  <c r="J53" i="1"/>
  <c r="K53" i="1"/>
  <c r="H53" i="1"/>
  <c r="G5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<sst xmlns="http://schemas.openxmlformats.org/spreadsheetml/2006/main" count="134" uniqueCount="92">
  <si>
    <t>Balance Sheet of Dabur India (in Rs. Cr.)</t>
  </si>
  <si>
    <t>EQUITIES AND LIABILITIES</t>
  </si>
  <si>
    <t>SHAREHOLDER'S FUNDS</t>
  </si>
  <si>
    <t>Equity Share Capital</t>
  </si>
  <si>
    <t>Total Share Capital</t>
  </si>
  <si>
    <t>Reserves and Surplus</t>
  </si>
  <si>
    <t>Total Reserves and Surplus</t>
  </si>
  <si>
    <t>Total Shareholders Funds</t>
  </si>
  <si>
    <t>NON-CURRENT LIABILITIES</t>
  </si>
  <si>
    <t>Long Term Borrowings</t>
  </si>
  <si>
    <t>Deferred Tax Liabilities [Net]</t>
  </si>
  <si>
    <t>Other Long Term Liabilities</t>
  </si>
  <si>
    <t>Long Term Provisions</t>
  </si>
  <si>
    <t>Total Non-Current Liabilities</t>
  </si>
  <si>
    <t>CURRENT LIABILITIES</t>
  </si>
  <si>
    <t>Short Term Borrowings</t>
  </si>
  <si>
    <t>Trade Payables</t>
  </si>
  <si>
    <t>Other Current Liabilities</t>
  </si>
  <si>
    <t>Short Term Provisions</t>
  </si>
  <si>
    <t>Total Current Liabilities</t>
  </si>
  <si>
    <t>Total Capital And Liabilities</t>
  </si>
  <si>
    <t>ASSETS</t>
  </si>
  <si>
    <t>NON-CURRENT ASSETS</t>
  </si>
  <si>
    <t>Tangible Assets</t>
  </si>
  <si>
    <t>Intangible Assets</t>
  </si>
  <si>
    <t>Capital Work-In-Progress</t>
  </si>
  <si>
    <t>Other Assets</t>
  </si>
  <si>
    <t>Fixed Assets</t>
  </si>
  <si>
    <t>Non-Current Investments</t>
  </si>
  <si>
    <t>Deferred Tax Assets [Net]</t>
  </si>
  <si>
    <t>Long Term Loans And Advances</t>
  </si>
  <si>
    <t>Other Non-Current Assets</t>
  </si>
  <si>
    <t>Total Non-Current Assets</t>
  </si>
  <si>
    <t>CURRENT ASSETS</t>
  </si>
  <si>
    <t>Current Investments</t>
  </si>
  <si>
    <t>Inventories</t>
  </si>
  <si>
    <t>Trade Receivables</t>
  </si>
  <si>
    <t>Cash And Cash Equivalents</t>
  </si>
  <si>
    <t>Short Term Loans And Advances</t>
  </si>
  <si>
    <t>OtherCurrentAssets</t>
  </si>
  <si>
    <t>Total Current Assets</t>
  </si>
  <si>
    <t>Total Assets</t>
  </si>
  <si>
    <t>INCOME</t>
  </si>
  <si>
    <t>Revenue From Operations [Gross]</t>
  </si>
  <si>
    <t>Revenue From Operations [Net]</t>
  </si>
  <si>
    <t>Other Operating Revenues</t>
  </si>
  <si>
    <t>Total Operating Revenues</t>
  </si>
  <si>
    <t>Other Income</t>
  </si>
  <si>
    <t>Total Revenue</t>
  </si>
  <si>
    <t>EXPENSES</t>
  </si>
  <si>
    <t>Cost Of Materials Consumed</t>
  </si>
  <si>
    <t>Purchase Of Stock-In Trade</t>
  </si>
  <si>
    <t>Changes In Inventories Of FG,WIP And Stock-In Trade</t>
  </si>
  <si>
    <t>Employee Benefit Expenses</t>
  </si>
  <si>
    <t>Finance Costs</t>
  </si>
  <si>
    <t>Depreciation And Amortisation Expenses</t>
  </si>
  <si>
    <t>Other Expenses</t>
  </si>
  <si>
    <t>Total Expenses</t>
  </si>
  <si>
    <t>Profit/Loss Before Exceptional, ExtraOrdinary Items And Tax</t>
  </si>
  <si>
    <t>Exceptional Items</t>
  </si>
  <si>
    <t>Profit/Loss Before Tax</t>
  </si>
  <si>
    <t>Current Tax</t>
  </si>
  <si>
    <t>Deferred Tax</t>
  </si>
  <si>
    <t>Total Tax Expenses</t>
  </si>
  <si>
    <t>EARNINGS PER SHARE</t>
  </si>
  <si>
    <t>Basic EPS (Rs.)</t>
  </si>
  <si>
    <t>Diluted EPS (Rs.)</t>
  </si>
  <si>
    <t>DIVIDEND AND DIVIDEND PERCENTAGE</t>
  </si>
  <si>
    <t>Equity Share Dividend</t>
  </si>
  <si>
    <t>Equity Dividend Rate (%)</t>
  </si>
  <si>
    <t>Mar 25</t>
  </si>
  <si>
    <t>Tax On Dividend</t>
  </si>
  <si>
    <t>Operating And Direct Expenses</t>
  </si>
  <si>
    <t>Miscellaneous Expenses Written Off</t>
  </si>
  <si>
    <t>Other Direct Taxes</t>
  </si>
  <si>
    <t xml:space="preserve">Profit/Loss After Tax </t>
  </si>
  <si>
    <t>Mar '25</t>
  </si>
  <si>
    <t>Mar '24</t>
  </si>
  <si>
    <t>Mar '23</t>
  </si>
  <si>
    <t>Mar '22</t>
  </si>
  <si>
    <t>Mar '21</t>
  </si>
  <si>
    <t>Net Profit Before Tax</t>
  </si>
  <si>
    <t>Net Cash From Operating Activities</t>
  </si>
  <si>
    <t>Net Cash (used in)/from Financing Activities</t>
  </si>
  <si>
    <t>Net (decrease)/increase In Cash and Cash Equivalents</t>
  </si>
  <si>
    <t>Opening Cash &amp; Cash Equivalents</t>
  </si>
  <si>
    <t>Closing Cash &amp; Cash Equivalents</t>
  </si>
  <si>
    <t>Net Cash (used in)/from  Investing Activities</t>
  </si>
  <si>
    <t>Particulars</t>
  </si>
  <si>
    <t xml:space="preserve">Income Statement </t>
  </si>
  <si>
    <t>Common Siz Balance Sheet</t>
  </si>
  <si>
    <t>Common Size- Financial Statements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</si>
</sst>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EBEF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6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right" vertical="center" wrapText="1"/>
    </xf>
    <xf numFmtId="17" fontId="4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vertical="center" wrapText="1"/>
    </xf>
    <xf numFmtId="4" fontId="4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 wrapText="1"/>
    </xf>
    <xf numFmtId="4" fontId="4" fillId="3" borderId="1" xfId="0" applyNumberFormat="1" applyFont="1" applyFill="1" applyBorder="1" applyAlignment="1">
      <alignment horizontal="right" vertical="center" wrapText="1"/>
    </xf>
    <xf numFmtId="4" fontId="3" fillId="2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4" fontId="2" fillId="0" borderId="1" xfId="0" applyNumberFormat="1" applyFont="1" applyBorder="1" applyAlignment="1">
      <alignment horizontal="right" vertical="top" wrapText="1"/>
    </xf>
    <xf numFmtId="4" fontId="1" fillId="0" borderId="1" xfId="0" applyNumberFormat="1" applyFont="1" applyBorder="1" applyAlignment="1">
      <alignment horizontal="right" vertical="top" wrapText="1"/>
    </xf>
    <xf numFmtId="0" fontId="6" fillId="0" borderId="0" xfId="0" applyFont="1"/>
    <xf numFmtId="17" fontId="0" fillId="0" borderId="0" xfId="0" applyNumberFormat="1"/>
    <xf numFmtId="0" fontId="6" fillId="0" borderId="1" xfId="0" applyFont="1" applyBorder="1"/>
    <xf numFmtId="10" fontId="0" fillId="0" borderId="1" xfId="1" applyNumberFormat="1" applyFont="1" applyBorder="1"/>
    <xf numFmtId="10" fontId="0" fillId="0" borderId="1" xfId="1" quotePrefix="1" applyNumberFormat="1" applyFont="1" applyBorder="1"/>
    <xf numFmtId="0" fontId="1" fillId="0" borderId="2" xfId="0" applyFont="1" applyBorder="1" applyAlignment="1">
      <alignment horizontal="left" vertical="top" wrapText="1"/>
    </xf>
    <xf numFmtId="1" fontId="0" fillId="0" borderId="1" xfId="0" applyNumberFormat="1" applyBorder="1"/>
    <xf numFmtId="0" fontId="6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9A72-045F-4077-9424-67F9F02FE462}">
  <sheetPr codeName="Sheet1">
    <tabColor theme="3" tint="0.499984740745262"/>
  </sheetPr>
  <dimension ref="A1:K97"/>
  <sheetViews>
    <sheetView topLeftCell="A71" zoomScale="115" zoomScaleNormal="115" workbookViewId="0"/>
  </sheetViews>
  <sheetFormatPr defaultRowHeight="14.5" x14ac:dyDescent="0.35"/>
  <cols>
    <col min="1" max="1" width="46.7265625" customWidth="1"/>
    <col min="2" max="2" width="11.1796875" customWidth="1"/>
    <col min="3" max="3" width="10.54296875" customWidth="1"/>
    <col min="4" max="4" width="9.08984375" bestFit="1" customWidth="1"/>
    <col min="5" max="5" width="9.54296875" customWidth="1"/>
    <col min="6" max="6" width="10.6328125" customWidth="1"/>
  </cols>
  <sheetData>
    <row r="1" spans="1:6" x14ac:dyDescent="0.35">
      <c r="A1" s="23" t="s">
        <v>0</v>
      </c>
    </row>
    <row r="2" spans="1:6" x14ac:dyDescent="0.35">
      <c r="A2" s="20" t="s">
        <v>88</v>
      </c>
      <c r="B2" s="24">
        <v>2021</v>
      </c>
      <c r="C2" s="24">
        <v>2022</v>
      </c>
      <c r="D2" s="24">
        <v>2023</v>
      </c>
      <c r="E2" s="24">
        <v>2024</v>
      </c>
      <c r="F2" s="24">
        <v>2025</v>
      </c>
    </row>
    <row r="3" spans="1:6" x14ac:dyDescent="0.35">
      <c r="A3" s="12" t="s">
        <v>1</v>
      </c>
      <c r="B3" s="13"/>
      <c r="C3" s="13"/>
      <c r="D3" s="13"/>
      <c r="E3" s="13"/>
      <c r="F3" s="13"/>
    </row>
    <row r="4" spans="1:6" x14ac:dyDescent="0.35">
      <c r="A4" s="12" t="s">
        <v>2</v>
      </c>
      <c r="B4" s="13"/>
      <c r="C4" s="13"/>
      <c r="D4" s="13"/>
      <c r="E4" s="13"/>
      <c r="F4" s="13"/>
    </row>
    <row r="5" spans="1:6" x14ac:dyDescent="0.35">
      <c r="A5" s="14" t="s">
        <v>3</v>
      </c>
      <c r="B5" s="15">
        <v>176.74</v>
      </c>
      <c r="C5" s="15">
        <v>176.79</v>
      </c>
      <c r="D5" s="15">
        <v>177.18</v>
      </c>
      <c r="E5" s="15">
        <v>177.2</v>
      </c>
      <c r="F5" s="15">
        <v>177.23</v>
      </c>
    </row>
    <row r="6" spans="1:6" x14ac:dyDescent="0.35">
      <c r="A6" s="12" t="s">
        <v>4</v>
      </c>
      <c r="B6" s="13">
        <v>176.74</v>
      </c>
      <c r="C6" s="13">
        <v>176.79</v>
      </c>
      <c r="D6" s="13">
        <v>177.18</v>
      </c>
      <c r="E6" s="13">
        <v>177.2</v>
      </c>
      <c r="F6" s="13">
        <v>177.23</v>
      </c>
    </row>
    <row r="7" spans="1:6" x14ac:dyDescent="0.35">
      <c r="A7" s="14" t="s">
        <v>5</v>
      </c>
      <c r="B7" s="16">
        <v>5214.4799999999996</v>
      </c>
      <c r="C7" s="16">
        <v>5687.08</v>
      </c>
      <c r="D7" s="16">
        <v>6109.7</v>
      </c>
      <c r="E7" s="16">
        <v>6738.17</v>
      </c>
      <c r="F7" s="16">
        <v>7246.06</v>
      </c>
    </row>
    <row r="8" spans="1:6" x14ac:dyDescent="0.35">
      <c r="A8" s="12" t="s">
        <v>6</v>
      </c>
      <c r="B8" s="17">
        <v>5214.4799999999996</v>
      </c>
      <c r="C8" s="17">
        <v>5687.08</v>
      </c>
      <c r="D8" s="17">
        <v>6109.7</v>
      </c>
      <c r="E8" s="17">
        <v>6738.17</v>
      </c>
      <c r="F8" s="17">
        <v>7246.06</v>
      </c>
    </row>
    <row r="9" spans="1:6" x14ac:dyDescent="0.35">
      <c r="A9" s="12" t="s">
        <v>7</v>
      </c>
      <c r="B9" s="17">
        <v>5391.22</v>
      </c>
      <c r="C9" s="17">
        <v>5863.87</v>
      </c>
      <c r="D9" s="17">
        <v>6286.88</v>
      </c>
      <c r="E9" s="17">
        <v>6915.37</v>
      </c>
      <c r="F9" s="17">
        <v>7423.29</v>
      </c>
    </row>
    <row r="10" spans="1:6" x14ac:dyDescent="0.35">
      <c r="A10" s="12"/>
      <c r="B10" s="17"/>
      <c r="C10" s="17"/>
      <c r="D10" s="17"/>
      <c r="E10" s="17"/>
      <c r="F10" s="17"/>
    </row>
    <row r="11" spans="1:6" x14ac:dyDescent="0.35">
      <c r="A11" s="12" t="s">
        <v>8</v>
      </c>
      <c r="B11" s="13"/>
      <c r="C11" s="13"/>
      <c r="D11" s="13"/>
      <c r="E11" s="13"/>
      <c r="F11" s="13"/>
    </row>
    <row r="12" spans="1:6" x14ac:dyDescent="0.35">
      <c r="A12" s="14" t="s">
        <v>9</v>
      </c>
      <c r="B12" s="15">
        <v>19.62</v>
      </c>
      <c r="C12" s="15">
        <v>249.1</v>
      </c>
      <c r="D12" s="15">
        <v>249.45</v>
      </c>
      <c r="E12" s="15">
        <v>498.93</v>
      </c>
      <c r="F12" s="15">
        <v>249.42</v>
      </c>
    </row>
    <row r="13" spans="1:6" x14ac:dyDescent="0.35">
      <c r="A13" s="14" t="s">
        <v>10</v>
      </c>
      <c r="B13" s="15">
        <v>0</v>
      </c>
      <c r="C13" s="15">
        <v>70.040000000000006</v>
      </c>
      <c r="D13" s="15">
        <v>76.760000000000005</v>
      </c>
      <c r="E13" s="15">
        <v>100.5</v>
      </c>
      <c r="F13" s="15">
        <v>133.25</v>
      </c>
    </row>
    <row r="14" spans="1:6" x14ac:dyDescent="0.35">
      <c r="A14" s="14" t="s">
        <v>11</v>
      </c>
      <c r="B14" s="15">
        <v>1.37</v>
      </c>
      <c r="C14" s="15">
        <v>44.59</v>
      </c>
      <c r="D14" s="15">
        <v>50.15</v>
      </c>
      <c r="E14" s="15">
        <v>66.94</v>
      </c>
      <c r="F14" s="15">
        <v>74.319999999999993</v>
      </c>
    </row>
    <row r="15" spans="1:6" x14ac:dyDescent="0.35">
      <c r="A15" s="14" t="s">
        <v>12</v>
      </c>
      <c r="B15" s="15">
        <v>55.55</v>
      </c>
      <c r="C15" s="15">
        <v>56.57</v>
      </c>
      <c r="D15" s="15">
        <v>57.68</v>
      </c>
      <c r="E15" s="15">
        <v>60.04</v>
      </c>
      <c r="F15" s="15">
        <v>62.58</v>
      </c>
    </row>
    <row r="16" spans="1:6" x14ac:dyDescent="0.35">
      <c r="A16" s="12" t="s">
        <v>13</v>
      </c>
      <c r="B16" s="13">
        <v>76.540000000000006</v>
      </c>
      <c r="C16" s="13">
        <v>420.3</v>
      </c>
      <c r="D16" s="13">
        <v>434.04</v>
      </c>
      <c r="E16" s="13">
        <v>726.41</v>
      </c>
      <c r="F16" s="13">
        <v>519.57000000000005</v>
      </c>
    </row>
    <row r="17" spans="1:6" x14ac:dyDescent="0.35">
      <c r="A17" s="12"/>
      <c r="B17" s="13"/>
      <c r="C17" s="13"/>
      <c r="D17" s="13"/>
      <c r="E17" s="13"/>
      <c r="F17" s="13"/>
    </row>
    <row r="18" spans="1:6" x14ac:dyDescent="0.35">
      <c r="A18" s="12" t="s">
        <v>14</v>
      </c>
      <c r="B18" s="13"/>
      <c r="C18" s="13"/>
      <c r="D18" s="13"/>
      <c r="E18" s="13"/>
      <c r="F18" s="13"/>
    </row>
    <row r="19" spans="1:6" x14ac:dyDescent="0.35">
      <c r="A19" s="14" t="s">
        <v>15</v>
      </c>
      <c r="B19" s="15">
        <v>151.96</v>
      </c>
      <c r="C19" s="15">
        <v>261.88</v>
      </c>
      <c r="D19" s="15">
        <v>307.76</v>
      </c>
      <c r="E19" s="15">
        <v>198.99</v>
      </c>
      <c r="F19" s="15">
        <v>35.380000000000003</v>
      </c>
    </row>
    <row r="20" spans="1:6" x14ac:dyDescent="0.35">
      <c r="A20" s="14" t="s">
        <v>16</v>
      </c>
      <c r="B20" s="16">
        <v>1480.7</v>
      </c>
      <c r="C20" s="16">
        <v>1581.47</v>
      </c>
      <c r="D20" s="16">
        <v>1818.72</v>
      </c>
      <c r="E20" s="16">
        <v>2058.9299999999998</v>
      </c>
      <c r="F20" s="16">
        <v>2341.9699999999998</v>
      </c>
    </row>
    <row r="21" spans="1:6" x14ac:dyDescent="0.35">
      <c r="A21" s="14" t="s">
        <v>17</v>
      </c>
      <c r="B21" s="15">
        <v>269.31</v>
      </c>
      <c r="C21" s="15">
        <v>342.14</v>
      </c>
      <c r="D21" s="15">
        <v>364.63</v>
      </c>
      <c r="E21" s="15">
        <v>471.48</v>
      </c>
      <c r="F21" s="15">
        <v>521.11</v>
      </c>
    </row>
    <row r="22" spans="1:6" x14ac:dyDescent="0.35">
      <c r="A22" s="14" t="s">
        <v>18</v>
      </c>
      <c r="B22" s="15">
        <v>134.43</v>
      </c>
      <c r="C22" s="15">
        <v>122.34</v>
      </c>
      <c r="D22" s="15">
        <v>140.41</v>
      </c>
      <c r="E22" s="15">
        <v>161.63</v>
      </c>
      <c r="F22" s="15">
        <v>164.15</v>
      </c>
    </row>
    <row r="23" spans="1:6" x14ac:dyDescent="0.35">
      <c r="A23" s="12" t="s">
        <v>19</v>
      </c>
      <c r="B23" s="17">
        <v>2036.4</v>
      </c>
      <c r="C23" s="17">
        <v>2307.83</v>
      </c>
      <c r="D23" s="17">
        <v>2631.52</v>
      </c>
      <c r="E23" s="17">
        <v>2891.03</v>
      </c>
      <c r="F23" s="17">
        <v>3062.61</v>
      </c>
    </row>
    <row r="24" spans="1:6" x14ac:dyDescent="0.35">
      <c r="A24" s="12" t="s">
        <v>20</v>
      </c>
      <c r="B24" s="17">
        <v>7504.16</v>
      </c>
      <c r="C24" s="17">
        <v>8592</v>
      </c>
      <c r="D24" s="17">
        <v>9352.44</v>
      </c>
      <c r="E24" s="17">
        <v>10532.81</v>
      </c>
      <c r="F24" s="17">
        <v>11005.47</v>
      </c>
    </row>
    <row r="25" spans="1:6" x14ac:dyDescent="0.35">
      <c r="A25" s="12"/>
      <c r="B25" s="17"/>
      <c r="C25" s="17"/>
      <c r="D25" s="17"/>
      <c r="E25" s="17"/>
      <c r="F25" s="17"/>
    </row>
    <row r="26" spans="1:6" x14ac:dyDescent="0.35">
      <c r="A26" s="12" t="s">
        <v>21</v>
      </c>
      <c r="B26" s="13"/>
      <c r="C26" s="13"/>
      <c r="D26" s="13"/>
      <c r="E26" s="13"/>
      <c r="F26" s="13"/>
    </row>
    <row r="27" spans="1:6" x14ac:dyDescent="0.35">
      <c r="A27" s="12" t="s">
        <v>22</v>
      </c>
      <c r="B27" s="13"/>
      <c r="C27" s="13"/>
      <c r="D27" s="13"/>
      <c r="E27" s="13"/>
      <c r="F27" s="13"/>
    </row>
    <row r="28" spans="1:6" x14ac:dyDescent="0.35">
      <c r="A28" s="14" t="s">
        <v>23</v>
      </c>
      <c r="B28" s="16">
        <v>1131</v>
      </c>
      <c r="C28" s="16">
        <v>1329.19</v>
      </c>
      <c r="D28" s="16">
        <v>1595.58</v>
      </c>
      <c r="E28" s="16">
        <v>1810.01</v>
      </c>
      <c r="F28" s="16">
        <v>1989.33</v>
      </c>
    </row>
    <row r="29" spans="1:6" x14ac:dyDescent="0.35">
      <c r="A29" s="14" t="s">
        <v>24</v>
      </c>
      <c r="B29" s="15">
        <v>26.42</v>
      </c>
      <c r="C29" s="15">
        <v>23.44</v>
      </c>
      <c r="D29" s="15">
        <v>21.01</v>
      </c>
      <c r="E29" s="15">
        <v>23.8</v>
      </c>
      <c r="F29" s="15">
        <v>48.51</v>
      </c>
    </row>
    <row r="30" spans="1:6" x14ac:dyDescent="0.35">
      <c r="A30" s="14" t="s">
        <v>25</v>
      </c>
      <c r="B30" s="15">
        <v>107.26</v>
      </c>
      <c r="C30" s="15">
        <v>128.47999999999999</v>
      </c>
      <c r="D30" s="15">
        <v>109.43</v>
      </c>
      <c r="E30" s="15">
        <v>161.54</v>
      </c>
      <c r="F30" s="15">
        <v>134.66</v>
      </c>
    </row>
    <row r="31" spans="1:6" x14ac:dyDescent="0.35">
      <c r="A31" s="14" t="s">
        <v>26</v>
      </c>
      <c r="B31" s="15">
        <v>47.39</v>
      </c>
      <c r="C31" s="15">
        <v>46.37</v>
      </c>
      <c r="D31" s="15">
        <v>45.38</v>
      </c>
      <c r="E31" s="15">
        <v>44.39</v>
      </c>
      <c r="F31" s="15">
        <v>0</v>
      </c>
    </row>
    <row r="32" spans="1:6" x14ac:dyDescent="0.35">
      <c r="A32" s="12" t="s">
        <v>27</v>
      </c>
      <c r="B32" s="17">
        <v>1312.07</v>
      </c>
      <c r="C32" s="17">
        <v>1527.48</v>
      </c>
      <c r="D32" s="17">
        <v>1771.4</v>
      </c>
      <c r="E32" s="17">
        <v>2062.4299999999998</v>
      </c>
      <c r="F32" s="17">
        <v>2172.5</v>
      </c>
    </row>
    <row r="33" spans="1:6" x14ac:dyDescent="0.35">
      <c r="A33" s="14" t="s">
        <v>28</v>
      </c>
      <c r="B33" s="16">
        <v>3122.76</v>
      </c>
      <c r="C33" s="16">
        <v>4327.7</v>
      </c>
      <c r="D33" s="16">
        <v>5202.5200000000004</v>
      </c>
      <c r="E33" s="16">
        <v>4888.3</v>
      </c>
      <c r="F33" s="16">
        <v>4730.47</v>
      </c>
    </row>
    <row r="34" spans="1:6" x14ac:dyDescent="0.35">
      <c r="A34" s="14" t="s">
        <v>29</v>
      </c>
      <c r="B34" s="15">
        <v>17.45</v>
      </c>
      <c r="C34" s="15">
        <v>0</v>
      </c>
      <c r="D34" s="15">
        <v>0</v>
      </c>
      <c r="E34" s="15">
        <v>0</v>
      </c>
      <c r="F34" s="15">
        <v>0</v>
      </c>
    </row>
    <row r="35" spans="1:6" x14ac:dyDescent="0.35">
      <c r="A35" s="14" t="s">
        <v>30</v>
      </c>
      <c r="B35" s="15">
        <v>16.37</v>
      </c>
      <c r="C35" s="15">
        <v>0</v>
      </c>
      <c r="D35" s="15">
        <v>51.41</v>
      </c>
      <c r="E35" s="15">
        <v>38.56</v>
      </c>
      <c r="F35" s="15">
        <v>25.71</v>
      </c>
    </row>
    <row r="36" spans="1:6" x14ac:dyDescent="0.35">
      <c r="A36" s="14" t="s">
        <v>31</v>
      </c>
      <c r="B36" s="15">
        <v>205.52</v>
      </c>
      <c r="C36" s="15">
        <v>102.66</v>
      </c>
      <c r="D36" s="15">
        <v>95.83</v>
      </c>
      <c r="E36" s="15">
        <v>111.15</v>
      </c>
      <c r="F36" s="15">
        <v>146.69</v>
      </c>
    </row>
    <row r="37" spans="1:6" x14ac:dyDescent="0.35">
      <c r="A37" s="12" t="s">
        <v>32</v>
      </c>
      <c r="B37" s="17">
        <v>4674.17</v>
      </c>
      <c r="C37" s="17">
        <v>5957.84</v>
      </c>
      <c r="D37" s="17">
        <v>7121.16</v>
      </c>
      <c r="E37" s="17">
        <v>7100.44</v>
      </c>
      <c r="F37" s="17">
        <v>7075.37</v>
      </c>
    </row>
    <row r="38" spans="1:6" x14ac:dyDescent="0.35">
      <c r="A38" s="12"/>
      <c r="B38" s="17"/>
      <c r="C38" s="17"/>
      <c r="D38" s="17"/>
      <c r="E38" s="17"/>
      <c r="F38" s="17"/>
    </row>
    <row r="39" spans="1:6" x14ac:dyDescent="0.35">
      <c r="A39" s="12" t="s">
        <v>33</v>
      </c>
      <c r="B39" s="13"/>
      <c r="C39" s="13"/>
      <c r="D39" s="13"/>
      <c r="E39" s="13"/>
      <c r="F39" s="13"/>
    </row>
    <row r="40" spans="1:6" x14ac:dyDescent="0.35">
      <c r="A40" s="14" t="s">
        <v>34</v>
      </c>
      <c r="B40" s="15">
        <v>451.14</v>
      </c>
      <c r="C40" s="15">
        <v>679.38</v>
      </c>
      <c r="D40" s="15">
        <v>272.52999999999997</v>
      </c>
      <c r="E40" s="16">
        <v>1260.17</v>
      </c>
      <c r="F40" s="16">
        <v>1628.36</v>
      </c>
    </row>
    <row r="41" spans="1:6" x14ac:dyDescent="0.35">
      <c r="A41" s="14" t="s">
        <v>35</v>
      </c>
      <c r="B41" s="16">
        <v>1114.1600000000001</v>
      </c>
      <c r="C41" s="16">
        <v>1237.96</v>
      </c>
      <c r="D41" s="16">
        <v>1223.77</v>
      </c>
      <c r="E41" s="16">
        <v>1149.8800000000001</v>
      </c>
      <c r="F41" s="16">
        <v>1288.07</v>
      </c>
    </row>
    <row r="42" spans="1:6" x14ac:dyDescent="0.35">
      <c r="A42" s="14" t="s">
        <v>36</v>
      </c>
      <c r="B42" s="15">
        <v>281.24</v>
      </c>
      <c r="C42" s="15">
        <v>454.55</v>
      </c>
      <c r="D42" s="15">
        <v>561.17999999999995</v>
      </c>
      <c r="E42" s="15">
        <v>719.21</v>
      </c>
      <c r="F42" s="15">
        <v>600.58000000000004</v>
      </c>
    </row>
    <row r="43" spans="1:6" x14ac:dyDescent="0.35">
      <c r="A43" s="14" t="s">
        <v>37</v>
      </c>
      <c r="B43" s="15">
        <v>834.74</v>
      </c>
      <c r="C43" s="15">
        <v>136.18</v>
      </c>
      <c r="D43" s="15">
        <v>33.4</v>
      </c>
      <c r="E43" s="15">
        <v>71.11</v>
      </c>
      <c r="F43" s="15">
        <v>133.02000000000001</v>
      </c>
    </row>
    <row r="44" spans="1:6" x14ac:dyDescent="0.35">
      <c r="A44" s="14" t="s">
        <v>38</v>
      </c>
      <c r="B44" s="15">
        <v>1.75</v>
      </c>
      <c r="C44" s="15">
        <v>0</v>
      </c>
      <c r="D44" s="15">
        <v>12.85</v>
      </c>
      <c r="E44" s="15">
        <v>12.85</v>
      </c>
      <c r="F44" s="15">
        <v>12.85</v>
      </c>
    </row>
    <row r="45" spans="1:6" x14ac:dyDescent="0.35">
      <c r="A45" s="14" t="s">
        <v>39</v>
      </c>
      <c r="B45" s="15">
        <v>146.96</v>
      </c>
      <c r="C45" s="15">
        <v>126.09</v>
      </c>
      <c r="D45" s="15">
        <v>127.55</v>
      </c>
      <c r="E45" s="15">
        <v>219.15</v>
      </c>
      <c r="F45" s="15">
        <v>267.22000000000003</v>
      </c>
    </row>
    <row r="46" spans="1:6" x14ac:dyDescent="0.35">
      <c r="A46" s="12" t="s">
        <v>40</v>
      </c>
      <c r="B46" s="17">
        <v>2829.99</v>
      </c>
      <c r="C46" s="17">
        <v>2634.16</v>
      </c>
      <c r="D46" s="17">
        <v>2231.2800000000002</v>
      </c>
      <c r="E46" s="17">
        <v>3432.37</v>
      </c>
      <c r="F46" s="17">
        <v>3930.1</v>
      </c>
    </row>
    <row r="47" spans="1:6" x14ac:dyDescent="0.35">
      <c r="A47" s="12" t="s">
        <v>41</v>
      </c>
      <c r="B47" s="17">
        <v>7504.16</v>
      </c>
      <c r="C47" s="17">
        <v>8592</v>
      </c>
      <c r="D47" s="17">
        <v>9352.44</v>
      </c>
      <c r="E47" s="17">
        <v>10532.81</v>
      </c>
      <c r="F47" s="17">
        <v>11005.47</v>
      </c>
    </row>
    <row r="49" spans="1:11" x14ac:dyDescent="0.35">
      <c r="A49" s="18" t="s">
        <v>89</v>
      </c>
    </row>
    <row r="50" spans="1:11" x14ac:dyDescent="0.35">
      <c r="A50" s="1"/>
      <c r="B50" s="3">
        <v>44256</v>
      </c>
      <c r="C50" s="3">
        <v>44621</v>
      </c>
      <c r="D50" s="3">
        <v>44986</v>
      </c>
      <c r="E50" s="3">
        <v>45352</v>
      </c>
      <c r="F50" s="2" t="s">
        <v>70</v>
      </c>
    </row>
    <row r="51" spans="1:11" x14ac:dyDescent="0.35">
      <c r="A51" s="1" t="s">
        <v>42</v>
      </c>
      <c r="B51" s="2"/>
      <c r="C51" s="2"/>
      <c r="D51" s="2"/>
      <c r="E51" s="2"/>
      <c r="F51" s="1"/>
    </row>
    <row r="52" spans="1:11" x14ac:dyDescent="0.35">
      <c r="A52" s="4" t="s">
        <v>43</v>
      </c>
      <c r="B52" s="5">
        <v>7138.85</v>
      </c>
      <c r="C52" s="5">
        <v>8110.11</v>
      </c>
      <c r="D52" s="5">
        <v>8597.66</v>
      </c>
      <c r="E52" s="5">
        <v>9010.58</v>
      </c>
      <c r="F52" s="5">
        <v>9070.7099999999991</v>
      </c>
    </row>
    <row r="53" spans="1:11" x14ac:dyDescent="0.35">
      <c r="A53" s="4" t="s">
        <v>44</v>
      </c>
      <c r="B53" s="5">
        <v>7138.85</v>
      </c>
      <c r="C53" s="5">
        <v>8110.11</v>
      </c>
      <c r="D53" s="5">
        <v>8597.66</v>
      </c>
      <c r="E53" s="5">
        <v>9010.58</v>
      </c>
      <c r="F53" s="5">
        <v>9070.7099999999991</v>
      </c>
      <c r="G53">
        <f>(B53-B59)/B53</f>
        <v>0.61393921990236511</v>
      </c>
      <c r="H53">
        <f>(C53-C59)/C53</f>
        <v>0.6019992330560251</v>
      </c>
      <c r="I53">
        <f t="shared" ref="I53:K53" si="0">(D53-D59)/D53</f>
        <v>0.59506889083773951</v>
      </c>
      <c r="J53">
        <f t="shared" si="0"/>
        <v>0.63373611909555216</v>
      </c>
      <c r="K53">
        <f t="shared" si="0"/>
        <v>0.63941742156898407</v>
      </c>
    </row>
    <row r="54" spans="1:11" x14ac:dyDescent="0.35">
      <c r="A54" s="4" t="s">
        <v>45</v>
      </c>
      <c r="B54" s="6">
        <v>45.88</v>
      </c>
      <c r="C54" s="6">
        <v>69.39</v>
      </c>
      <c r="D54" s="6">
        <v>86.69</v>
      </c>
      <c r="E54" s="6">
        <v>125.02</v>
      </c>
      <c r="F54" s="6">
        <v>0</v>
      </c>
    </row>
    <row r="55" spans="1:11" x14ac:dyDescent="0.35">
      <c r="A55" s="4" t="s">
        <v>46</v>
      </c>
      <c r="B55" s="5">
        <v>7184.73</v>
      </c>
      <c r="C55" s="5">
        <v>8179.5</v>
      </c>
      <c r="D55" s="5">
        <v>8684.35</v>
      </c>
      <c r="E55" s="5">
        <v>9135.6</v>
      </c>
      <c r="F55" s="5">
        <v>9070.7099999999991</v>
      </c>
    </row>
    <row r="56" spans="1:11" x14ac:dyDescent="0.35">
      <c r="A56" s="4" t="s">
        <v>47</v>
      </c>
      <c r="B56" s="6">
        <v>276.64999999999998</v>
      </c>
      <c r="C56" s="6">
        <v>341.55</v>
      </c>
      <c r="D56" s="6">
        <v>392.17</v>
      </c>
      <c r="E56" s="6">
        <v>417.62</v>
      </c>
      <c r="F56" s="6">
        <v>451.94</v>
      </c>
    </row>
    <row r="57" spans="1:11" x14ac:dyDescent="0.35">
      <c r="A57" s="7" t="s">
        <v>48</v>
      </c>
      <c r="B57" s="8">
        <v>7461.38</v>
      </c>
      <c r="C57" s="8">
        <v>8521.0499999999993</v>
      </c>
      <c r="D57" s="8">
        <v>9076.52</v>
      </c>
      <c r="E57" s="8">
        <v>9553.2199999999993</v>
      </c>
      <c r="F57" s="8">
        <v>9522.65</v>
      </c>
    </row>
    <row r="58" spans="1:11" x14ac:dyDescent="0.35">
      <c r="A58" s="4" t="s">
        <v>49</v>
      </c>
      <c r="B58" s="2"/>
      <c r="C58" s="2"/>
      <c r="D58" s="2"/>
      <c r="E58" s="2"/>
      <c r="F58" s="1"/>
    </row>
    <row r="59" spans="1:11" x14ac:dyDescent="0.35">
      <c r="A59" s="4" t="s">
        <v>50</v>
      </c>
      <c r="B59" s="9">
        <v>2756.03</v>
      </c>
      <c r="C59" s="9">
        <v>3227.83</v>
      </c>
      <c r="D59" s="9">
        <v>3481.46</v>
      </c>
      <c r="E59" s="9">
        <v>3300.25</v>
      </c>
      <c r="F59" s="9">
        <v>3270.74</v>
      </c>
    </row>
    <row r="60" spans="1:11" x14ac:dyDescent="0.35">
      <c r="A60" s="4" t="s">
        <v>51</v>
      </c>
      <c r="B60" s="9">
        <v>1117.5</v>
      </c>
      <c r="C60" s="9">
        <v>1177.8699999999999</v>
      </c>
      <c r="D60" s="9">
        <v>1398.53</v>
      </c>
      <c r="E60" s="9">
        <v>1579.05</v>
      </c>
      <c r="F60" s="9">
        <v>1678.41</v>
      </c>
    </row>
    <row r="61" spans="1:11" x14ac:dyDescent="0.35">
      <c r="A61" s="4" t="s">
        <v>72</v>
      </c>
      <c r="B61" s="9"/>
      <c r="C61" s="9"/>
      <c r="D61" s="9"/>
      <c r="E61" s="9"/>
      <c r="F61" s="9"/>
    </row>
    <row r="62" spans="1:11" ht="28" x14ac:dyDescent="0.35">
      <c r="A62" s="4" t="s">
        <v>52</v>
      </c>
      <c r="B62" s="6">
        <v>-176.71</v>
      </c>
      <c r="C62" s="6">
        <v>-28.49</v>
      </c>
      <c r="D62" s="6">
        <v>-24.98</v>
      </c>
      <c r="E62" s="6">
        <v>49.18</v>
      </c>
      <c r="F62" s="6">
        <v>12.9</v>
      </c>
    </row>
    <row r="63" spans="1:11" x14ac:dyDescent="0.35">
      <c r="A63" s="4" t="s">
        <v>53</v>
      </c>
      <c r="B63" s="6">
        <v>655.82</v>
      </c>
      <c r="C63" s="6">
        <v>678.71</v>
      </c>
      <c r="D63" s="6">
        <v>725.96</v>
      </c>
      <c r="E63" s="6">
        <v>782.14</v>
      </c>
      <c r="F63" s="6">
        <v>776.86</v>
      </c>
    </row>
    <row r="64" spans="1:11" x14ac:dyDescent="0.35">
      <c r="A64" s="4" t="s">
        <v>54</v>
      </c>
      <c r="B64" s="6">
        <v>9.14</v>
      </c>
      <c r="C64" s="6">
        <v>18.670000000000002</v>
      </c>
      <c r="D64" s="6">
        <v>46.37</v>
      </c>
      <c r="E64" s="6">
        <v>81.14</v>
      </c>
      <c r="F64" s="6">
        <v>99.58</v>
      </c>
    </row>
    <row r="65" spans="1:6" x14ac:dyDescent="0.35">
      <c r="A65" s="4" t="s">
        <v>55</v>
      </c>
      <c r="B65" s="6">
        <v>143.4</v>
      </c>
      <c r="C65" s="6">
        <v>160.38999999999999</v>
      </c>
      <c r="D65" s="6">
        <v>188.29</v>
      </c>
      <c r="E65" s="6">
        <v>208.86</v>
      </c>
      <c r="F65" s="6">
        <v>250.93</v>
      </c>
    </row>
    <row r="66" spans="1:6" x14ac:dyDescent="0.35">
      <c r="A66" s="4" t="s">
        <v>73</v>
      </c>
      <c r="B66" s="6"/>
      <c r="C66" s="6"/>
      <c r="D66" s="6"/>
      <c r="E66" s="6"/>
      <c r="F66" s="6"/>
    </row>
    <row r="67" spans="1:6" x14ac:dyDescent="0.35">
      <c r="A67" s="4" t="s">
        <v>56</v>
      </c>
      <c r="B67" s="9">
        <v>1272.8900000000001</v>
      </c>
      <c r="C67" s="9">
        <v>1389.76</v>
      </c>
      <c r="D67" s="9">
        <v>1402.57</v>
      </c>
      <c r="E67" s="9">
        <v>1585.9</v>
      </c>
      <c r="F67" s="9">
        <v>1624.89</v>
      </c>
    </row>
    <row r="68" spans="1:6" x14ac:dyDescent="0.35">
      <c r="A68" s="7" t="s">
        <v>57</v>
      </c>
      <c r="B68" s="8">
        <v>5778.07</v>
      </c>
      <c r="C68" s="8">
        <v>6624.74</v>
      </c>
      <c r="D68" s="8">
        <v>7218.2</v>
      </c>
      <c r="E68" s="8">
        <v>7586.52</v>
      </c>
      <c r="F68" s="8">
        <v>7714.31</v>
      </c>
    </row>
    <row r="69" spans="1:6" x14ac:dyDescent="0.35">
      <c r="A69" s="7" t="e" vm="1">
        <v>#VALUE!</v>
      </c>
      <c r="B69" s="10"/>
      <c r="C69" s="10"/>
      <c r="D69" s="10"/>
      <c r="E69" s="10"/>
      <c r="F69" s="10"/>
    </row>
    <row r="70" spans="1:6" ht="28" x14ac:dyDescent="0.35">
      <c r="A70" s="7" t="s">
        <v>58</v>
      </c>
      <c r="B70" s="8">
        <v>1683.31</v>
      </c>
      <c r="C70" s="8">
        <v>1896.31</v>
      </c>
      <c r="D70" s="8">
        <v>1858.32</v>
      </c>
      <c r="E70" s="8">
        <v>1966.7</v>
      </c>
      <c r="F70" s="8">
        <v>1808.34</v>
      </c>
    </row>
    <row r="71" spans="1:6" x14ac:dyDescent="0.35">
      <c r="A71" s="4" t="s">
        <v>59</v>
      </c>
      <c r="B71" s="6">
        <v>0</v>
      </c>
      <c r="C71" s="6">
        <v>0</v>
      </c>
      <c r="D71" s="6">
        <v>-29.65</v>
      </c>
      <c r="E71" s="6">
        <v>0</v>
      </c>
      <c r="F71" s="6">
        <v>0</v>
      </c>
    </row>
    <row r="72" spans="1:6" x14ac:dyDescent="0.35">
      <c r="A72" s="4" t="s">
        <v>60</v>
      </c>
      <c r="B72" s="5">
        <v>1683.31</v>
      </c>
      <c r="C72" s="5">
        <v>1896.31</v>
      </c>
      <c r="D72" s="5">
        <v>1828.67</v>
      </c>
      <c r="E72" s="5">
        <v>1966.7</v>
      </c>
      <c r="F72" s="5">
        <v>1808.34</v>
      </c>
    </row>
    <row r="73" spans="1:6" x14ac:dyDescent="0.35">
      <c r="A73" s="4" t="s">
        <v>61</v>
      </c>
      <c r="B73" s="6">
        <v>441.89</v>
      </c>
      <c r="C73" s="6">
        <v>378.97</v>
      </c>
      <c r="D73" s="6">
        <v>423.86</v>
      </c>
      <c r="E73" s="6">
        <v>443.8</v>
      </c>
      <c r="F73" s="6">
        <v>405.12</v>
      </c>
    </row>
    <row r="74" spans="1:6" x14ac:dyDescent="0.35">
      <c r="A74" s="4" t="s">
        <v>62</v>
      </c>
      <c r="B74" s="6">
        <v>-140.47</v>
      </c>
      <c r="C74" s="6">
        <v>84.41</v>
      </c>
      <c r="D74" s="6">
        <v>31.55</v>
      </c>
      <c r="E74" s="6">
        <v>13.69</v>
      </c>
      <c r="F74" s="6">
        <v>0</v>
      </c>
    </row>
    <row r="75" spans="1:6" x14ac:dyDescent="0.35">
      <c r="A75" s="4" t="s">
        <v>74</v>
      </c>
      <c r="B75" s="6"/>
      <c r="C75" s="6"/>
      <c r="D75" s="6"/>
      <c r="E75" s="6"/>
      <c r="F75" s="6"/>
    </row>
    <row r="76" spans="1:6" x14ac:dyDescent="0.35">
      <c r="A76" s="4" t="s">
        <v>63</v>
      </c>
      <c r="B76" s="2">
        <v>301.42</v>
      </c>
      <c r="C76" s="2">
        <v>463.38</v>
      </c>
      <c r="D76" s="2">
        <v>455.41</v>
      </c>
      <c r="E76" s="2">
        <v>457.49</v>
      </c>
      <c r="F76" s="2">
        <v>405.12</v>
      </c>
    </row>
    <row r="77" spans="1:6" x14ac:dyDescent="0.35">
      <c r="A77" s="4" t="s">
        <v>75</v>
      </c>
      <c r="B77" s="5">
        <v>1381.89</v>
      </c>
      <c r="C77" s="5">
        <v>1432.93</v>
      </c>
      <c r="D77" s="5">
        <v>1373.26</v>
      </c>
      <c r="E77" s="5">
        <v>1509.21</v>
      </c>
      <c r="F77" s="5">
        <v>1403.22</v>
      </c>
    </row>
    <row r="78" spans="1:6" x14ac:dyDescent="0.35">
      <c r="A78" s="11"/>
      <c r="B78" s="11"/>
      <c r="C78" s="11"/>
      <c r="D78" s="11"/>
      <c r="E78" s="11"/>
      <c r="F78" s="11"/>
    </row>
    <row r="79" spans="1:6" x14ac:dyDescent="0.35">
      <c r="A79" s="4"/>
      <c r="B79" s="5"/>
      <c r="C79" s="5"/>
      <c r="D79" s="5"/>
      <c r="E79" s="5"/>
      <c r="F79" s="5"/>
    </row>
    <row r="80" spans="1:6" x14ac:dyDescent="0.35">
      <c r="A80" s="1" t="s">
        <v>64</v>
      </c>
      <c r="B80" s="2"/>
      <c r="C80" s="2"/>
      <c r="D80" s="2"/>
      <c r="E80" s="2"/>
      <c r="F80" s="1"/>
    </row>
    <row r="81" spans="1:6" x14ac:dyDescent="0.35">
      <c r="A81" s="4" t="s">
        <v>65</v>
      </c>
      <c r="B81" s="6">
        <v>7.82</v>
      </c>
      <c r="C81" s="6">
        <v>8.11</v>
      </c>
      <c r="D81" s="6">
        <v>7.75</v>
      </c>
      <c r="E81" s="6">
        <v>8.52</v>
      </c>
      <c r="F81" s="6">
        <v>7.92</v>
      </c>
    </row>
    <row r="82" spans="1:6" x14ac:dyDescent="0.35">
      <c r="A82" s="4" t="s">
        <v>66</v>
      </c>
      <c r="B82" s="6">
        <v>7.8</v>
      </c>
      <c r="C82" s="6">
        <v>8.08</v>
      </c>
      <c r="D82" s="6">
        <v>7.73</v>
      </c>
      <c r="E82" s="6">
        <v>8.5</v>
      </c>
      <c r="F82" s="6">
        <v>7.9</v>
      </c>
    </row>
    <row r="83" spans="1:6" x14ac:dyDescent="0.35">
      <c r="A83" s="4"/>
      <c r="B83" s="6"/>
      <c r="C83" s="6"/>
      <c r="D83" s="6"/>
      <c r="E83" s="6"/>
      <c r="F83" s="6"/>
    </row>
    <row r="84" spans="1:6" x14ac:dyDescent="0.35">
      <c r="A84" s="4" t="s">
        <v>67</v>
      </c>
      <c r="B84" s="2"/>
      <c r="C84" s="2"/>
      <c r="D84" s="2"/>
      <c r="E84" s="2"/>
      <c r="F84" s="1"/>
    </row>
    <row r="85" spans="1:6" x14ac:dyDescent="0.35">
      <c r="A85" s="4" t="s">
        <v>68</v>
      </c>
      <c r="B85" s="6">
        <v>592.09</v>
      </c>
      <c r="C85" s="6">
        <v>972.32</v>
      </c>
      <c r="D85" s="6">
        <v>921.31</v>
      </c>
      <c r="E85" s="6">
        <v>965.76</v>
      </c>
      <c r="F85" s="6">
        <v>0</v>
      </c>
    </row>
    <row r="86" spans="1:6" x14ac:dyDescent="0.35">
      <c r="A86" s="4" t="s">
        <v>71</v>
      </c>
      <c r="B86" s="6"/>
      <c r="C86" s="6"/>
      <c r="D86" s="6"/>
      <c r="E86" s="6"/>
      <c r="F86" s="6"/>
    </row>
    <row r="87" spans="1:6" x14ac:dyDescent="0.35">
      <c r="A87" s="4" t="s">
        <v>69</v>
      </c>
      <c r="B87" s="6">
        <v>475</v>
      </c>
      <c r="C87" s="6">
        <v>520</v>
      </c>
      <c r="D87" s="6">
        <v>520</v>
      </c>
      <c r="E87" s="6">
        <v>550</v>
      </c>
      <c r="F87" s="6">
        <v>800</v>
      </c>
    </row>
    <row r="90" spans="1:6" x14ac:dyDescent="0.35">
      <c r="A90" s="1"/>
      <c r="B90" s="2" t="s">
        <v>80</v>
      </c>
      <c r="C90" s="2" t="s">
        <v>79</v>
      </c>
      <c r="D90" s="2" t="s">
        <v>78</v>
      </c>
      <c r="E90" s="2" t="s">
        <v>77</v>
      </c>
      <c r="F90" s="2" t="s">
        <v>76</v>
      </c>
    </row>
    <row r="91" spans="1:6" x14ac:dyDescent="0.35">
      <c r="A91" s="1" t="s">
        <v>81</v>
      </c>
      <c r="B91" s="1">
        <v>1683.31</v>
      </c>
      <c r="C91" s="1">
        <v>1896.31</v>
      </c>
      <c r="D91" s="1">
        <v>1828.67</v>
      </c>
      <c r="E91" s="1">
        <v>1966.7</v>
      </c>
      <c r="F91" s="1">
        <v>1808.34</v>
      </c>
    </row>
    <row r="92" spans="1:6" x14ac:dyDescent="0.35">
      <c r="A92" s="4" t="s">
        <v>82</v>
      </c>
      <c r="B92" s="6">
        <v>1704.17</v>
      </c>
      <c r="C92" s="6">
        <v>1319.95</v>
      </c>
      <c r="D92" s="6">
        <v>1561.91</v>
      </c>
      <c r="E92" s="6">
        <v>1653.33</v>
      </c>
      <c r="F92" s="6">
        <v>1622.97</v>
      </c>
    </row>
    <row r="93" spans="1:6" x14ac:dyDescent="0.35">
      <c r="A93" s="4" t="s">
        <v>87</v>
      </c>
      <c r="B93" s="4">
        <v>-1121.4000000000001</v>
      </c>
      <c r="C93" s="4">
        <v>-682.8</v>
      </c>
      <c r="D93" s="4">
        <v>-618.57000000000005</v>
      </c>
      <c r="E93" s="4">
        <v>-737.5</v>
      </c>
      <c r="F93" s="4">
        <v>-99</v>
      </c>
    </row>
    <row r="94" spans="1:6" x14ac:dyDescent="0.35">
      <c r="A94" s="4" t="s">
        <v>83</v>
      </c>
      <c r="B94" s="6">
        <v>-555.04</v>
      </c>
      <c r="C94" s="6">
        <v>-634.79</v>
      </c>
      <c r="D94" s="6">
        <v>-939.83</v>
      </c>
      <c r="E94" s="6">
        <v>-921.82</v>
      </c>
      <c r="F94" s="6">
        <v>-1510.68</v>
      </c>
    </row>
    <row r="95" spans="1:6" ht="28" x14ac:dyDescent="0.35">
      <c r="A95" s="1" t="s">
        <v>84</v>
      </c>
      <c r="B95" s="1">
        <v>28.76</v>
      </c>
      <c r="C95" s="1">
        <v>3.46</v>
      </c>
      <c r="D95" s="1">
        <v>4.88</v>
      </c>
      <c r="E95" s="1">
        <v>-4.58</v>
      </c>
      <c r="F95" s="1">
        <v>13.39</v>
      </c>
    </row>
    <row r="96" spans="1:6" x14ac:dyDescent="0.35">
      <c r="A96" s="4" t="s">
        <v>85</v>
      </c>
      <c r="B96" s="4">
        <v>-21.75</v>
      </c>
      <c r="C96" s="4">
        <v>7.01</v>
      </c>
      <c r="D96" s="4">
        <v>10.47</v>
      </c>
      <c r="E96" s="4">
        <v>15.35</v>
      </c>
      <c r="F96" s="4">
        <v>10.77</v>
      </c>
    </row>
    <row r="97" spans="1:6" x14ac:dyDescent="0.35">
      <c r="A97" s="4" t="s">
        <v>86</v>
      </c>
      <c r="B97" s="6">
        <v>7.01</v>
      </c>
      <c r="C97" s="6">
        <v>10.47</v>
      </c>
      <c r="D97" s="6">
        <v>15.35</v>
      </c>
      <c r="E97" s="6">
        <v>10.77</v>
      </c>
      <c r="F97" s="6">
        <v>24.16</v>
      </c>
    </row>
  </sheetData>
  <sortState xmlns:xlrd2="http://schemas.microsoft.com/office/spreadsheetml/2017/richdata2" columnSort="1" ref="B2:F47">
    <sortCondition ref="B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FC9B3-FE55-4687-BE2E-4F12AE8600E8}">
  <sheetPr>
    <tabColor rgb="FF92D050"/>
  </sheetPr>
  <dimension ref="A1:G48"/>
  <sheetViews>
    <sheetView tabSelected="1" topLeftCell="A43" workbookViewId="0">
      <selection activeCell="H51" sqref="H51:H52"/>
    </sheetView>
  </sheetViews>
  <sheetFormatPr defaultRowHeight="14.5" x14ac:dyDescent="0.35"/>
  <cols>
    <col min="1" max="1" width="47.26953125" customWidth="1"/>
    <col min="2" max="2" width="22.36328125" customWidth="1"/>
    <col min="3" max="3" width="10.90625" bestFit="1" customWidth="1"/>
  </cols>
  <sheetData>
    <row r="1" spans="1:7" x14ac:dyDescent="0.35">
      <c r="A1" s="25" t="s">
        <v>91</v>
      </c>
      <c r="B1" s="25"/>
      <c r="C1" s="25"/>
      <c r="D1" s="25"/>
      <c r="E1" s="25"/>
      <c r="F1" s="25"/>
    </row>
    <row r="2" spans="1:7" x14ac:dyDescent="0.35">
      <c r="A2" s="18" t="s">
        <v>90</v>
      </c>
    </row>
    <row r="3" spans="1:7" x14ac:dyDescent="0.35">
      <c r="A3" s="20" t="s">
        <v>88</v>
      </c>
      <c r="B3" s="24">
        <f>INPUT!B2</f>
        <v>2021</v>
      </c>
      <c r="C3" s="11">
        <f>INPUT!C2</f>
        <v>2022</v>
      </c>
      <c r="D3" s="11">
        <f>INPUT!D2</f>
        <v>2023</v>
      </c>
      <c r="E3" s="11">
        <f>INPUT!E2</f>
        <v>2024</v>
      </c>
      <c r="F3" s="11">
        <f>INPUT!F2</f>
        <v>2025</v>
      </c>
      <c r="G3" s="19"/>
    </row>
    <row r="4" spans="1:7" x14ac:dyDescent="0.35">
      <c r="A4" s="12" t="s">
        <v>1</v>
      </c>
      <c r="B4" s="11"/>
      <c r="C4" s="11"/>
      <c r="D4" s="11"/>
      <c r="E4" s="11"/>
      <c r="F4" s="11"/>
    </row>
    <row r="5" spans="1:7" x14ac:dyDescent="0.35">
      <c r="A5" s="12" t="s">
        <v>2</v>
      </c>
      <c r="B5" s="11"/>
      <c r="C5" s="11"/>
      <c r="D5" s="11"/>
      <c r="E5" s="11"/>
      <c r="F5" s="11"/>
    </row>
    <row r="6" spans="1:7" x14ac:dyDescent="0.35">
      <c r="A6" s="14" t="s">
        <v>3</v>
      </c>
      <c r="B6" s="22"/>
      <c r="C6" s="21"/>
      <c r="D6" s="21"/>
      <c r="E6" s="21"/>
      <c r="F6" s="21"/>
    </row>
    <row r="7" spans="1:7" x14ac:dyDescent="0.35">
      <c r="A7" s="12" t="s">
        <v>4</v>
      </c>
      <c r="B7" s="22"/>
      <c r="C7" s="21"/>
      <c r="D7" s="21"/>
      <c r="E7" s="21"/>
      <c r="F7" s="21"/>
    </row>
    <row r="8" spans="1:7" x14ac:dyDescent="0.35">
      <c r="A8" s="14" t="s">
        <v>5</v>
      </c>
      <c r="B8" s="22"/>
      <c r="C8" s="21"/>
      <c r="D8" s="21"/>
      <c r="E8" s="21"/>
      <c r="F8" s="21"/>
    </row>
    <row r="9" spans="1:7" x14ac:dyDescent="0.35">
      <c r="A9" s="12" t="s">
        <v>6</v>
      </c>
      <c r="B9" s="22"/>
      <c r="C9" s="21"/>
      <c r="D9" s="21"/>
      <c r="E9" s="21"/>
      <c r="F9" s="21"/>
    </row>
    <row r="10" spans="1:7" x14ac:dyDescent="0.35">
      <c r="A10" s="12" t="s">
        <v>7</v>
      </c>
      <c r="B10" s="22"/>
      <c r="C10" s="21"/>
      <c r="D10" s="21"/>
      <c r="E10" s="21"/>
      <c r="F10" s="21"/>
    </row>
    <row r="11" spans="1:7" x14ac:dyDescent="0.35">
      <c r="A11" s="12"/>
      <c r="B11" s="22"/>
      <c r="C11" s="21"/>
      <c r="D11" s="21"/>
      <c r="E11" s="21"/>
      <c r="F11" s="21"/>
    </row>
    <row r="12" spans="1:7" x14ac:dyDescent="0.35">
      <c r="A12" s="12" t="s">
        <v>8</v>
      </c>
      <c r="B12" s="22"/>
      <c r="C12" s="21"/>
      <c r="D12" s="21"/>
      <c r="E12" s="21"/>
      <c r="F12" s="21"/>
    </row>
    <row r="13" spans="1:7" x14ac:dyDescent="0.35">
      <c r="A13" s="14" t="s">
        <v>9</v>
      </c>
      <c r="B13" s="22"/>
      <c r="C13" s="21"/>
      <c r="D13" s="21"/>
      <c r="E13" s="21"/>
      <c r="F13" s="21"/>
    </row>
    <row r="14" spans="1:7" x14ac:dyDescent="0.35">
      <c r="A14" s="14" t="s">
        <v>10</v>
      </c>
      <c r="B14" s="22"/>
      <c r="C14" s="21"/>
      <c r="D14" s="21"/>
      <c r="E14" s="21"/>
      <c r="F14" s="21"/>
    </row>
    <row r="15" spans="1:7" x14ac:dyDescent="0.35">
      <c r="A15" s="14" t="s">
        <v>11</v>
      </c>
      <c r="B15" s="22"/>
      <c r="C15" s="21"/>
      <c r="D15" s="21"/>
      <c r="E15" s="21"/>
      <c r="F15" s="21"/>
    </row>
    <row r="16" spans="1:7" x14ac:dyDescent="0.35">
      <c r="A16" s="14" t="s">
        <v>12</v>
      </c>
      <c r="B16" s="22"/>
      <c r="C16" s="21"/>
      <c r="D16" s="21"/>
      <c r="E16" s="21"/>
      <c r="F16" s="21"/>
    </row>
    <row r="17" spans="1:6" x14ac:dyDescent="0.35">
      <c r="A17" s="12" t="s">
        <v>13</v>
      </c>
      <c r="B17" s="22"/>
      <c r="C17" s="21"/>
      <c r="D17" s="21"/>
      <c r="E17" s="21"/>
      <c r="F17" s="21"/>
    </row>
    <row r="18" spans="1:6" x14ac:dyDescent="0.35">
      <c r="A18" s="12"/>
      <c r="B18" s="22"/>
      <c r="C18" s="21"/>
      <c r="D18" s="21"/>
      <c r="E18" s="21"/>
      <c r="F18" s="21"/>
    </row>
    <row r="19" spans="1:6" x14ac:dyDescent="0.35">
      <c r="A19" s="12" t="s">
        <v>14</v>
      </c>
      <c r="B19" s="22"/>
      <c r="C19" s="21"/>
      <c r="D19" s="21"/>
      <c r="E19" s="21"/>
      <c r="F19" s="21"/>
    </row>
    <row r="20" spans="1:6" x14ac:dyDescent="0.35">
      <c r="A20" s="14" t="s">
        <v>15</v>
      </c>
      <c r="B20" s="22"/>
      <c r="C20" s="21"/>
      <c r="D20" s="21"/>
      <c r="E20" s="21"/>
      <c r="F20" s="21"/>
    </row>
    <row r="21" spans="1:6" x14ac:dyDescent="0.35">
      <c r="A21" s="14" t="s">
        <v>16</v>
      </c>
      <c r="B21" s="22"/>
      <c r="C21" s="21"/>
      <c r="D21" s="21"/>
      <c r="E21" s="21"/>
      <c r="F21" s="21"/>
    </row>
    <row r="22" spans="1:6" x14ac:dyDescent="0.35">
      <c r="A22" s="14" t="s">
        <v>17</v>
      </c>
      <c r="B22" s="22"/>
      <c r="C22" s="21"/>
      <c r="D22" s="21"/>
      <c r="E22" s="21"/>
      <c r="F22" s="21"/>
    </row>
    <row r="23" spans="1:6" x14ac:dyDescent="0.35">
      <c r="A23" s="14" t="s">
        <v>18</v>
      </c>
      <c r="B23" s="22"/>
      <c r="C23" s="21"/>
      <c r="D23" s="21"/>
      <c r="E23" s="21"/>
      <c r="F23" s="21"/>
    </row>
    <row r="24" spans="1:6" x14ac:dyDescent="0.35">
      <c r="A24" s="12" t="s">
        <v>19</v>
      </c>
      <c r="B24" s="22"/>
      <c r="C24" s="21"/>
      <c r="D24" s="21"/>
      <c r="E24" s="21"/>
      <c r="F24" s="21"/>
    </row>
    <row r="25" spans="1:6" x14ac:dyDescent="0.35">
      <c r="A25" s="12" t="s">
        <v>20</v>
      </c>
      <c r="B25" s="22"/>
      <c r="C25" s="21"/>
      <c r="D25" s="21"/>
      <c r="E25" s="21"/>
      <c r="F25" s="21"/>
    </row>
    <row r="26" spans="1:6" x14ac:dyDescent="0.35">
      <c r="A26" s="12"/>
      <c r="B26" s="22"/>
      <c r="C26" s="21"/>
      <c r="D26" s="21"/>
      <c r="E26" s="21"/>
      <c r="F26" s="21"/>
    </row>
    <row r="27" spans="1:6" x14ac:dyDescent="0.35">
      <c r="A27" s="12" t="s">
        <v>21</v>
      </c>
      <c r="B27" s="22"/>
      <c r="C27" s="21"/>
      <c r="D27" s="21"/>
      <c r="E27" s="21"/>
      <c r="F27" s="21"/>
    </row>
    <row r="28" spans="1:6" x14ac:dyDescent="0.35">
      <c r="A28" s="12" t="s">
        <v>22</v>
      </c>
      <c r="B28" s="22"/>
      <c r="C28" s="21"/>
      <c r="D28" s="21"/>
      <c r="E28" s="21"/>
      <c r="F28" s="21"/>
    </row>
    <row r="29" spans="1:6" x14ac:dyDescent="0.35">
      <c r="A29" s="14" t="s">
        <v>23</v>
      </c>
      <c r="B29" s="22"/>
      <c r="C29" s="21"/>
      <c r="D29" s="21"/>
      <c r="E29" s="21"/>
      <c r="F29" s="21"/>
    </row>
    <row r="30" spans="1:6" x14ac:dyDescent="0.35">
      <c r="A30" s="14" t="s">
        <v>24</v>
      </c>
      <c r="B30" s="22"/>
      <c r="C30" s="21"/>
      <c r="D30" s="21"/>
      <c r="E30" s="21"/>
      <c r="F30" s="21"/>
    </row>
    <row r="31" spans="1:6" x14ac:dyDescent="0.35">
      <c r="A31" s="14" t="s">
        <v>25</v>
      </c>
      <c r="B31" s="22"/>
      <c r="C31" s="21"/>
      <c r="D31" s="21"/>
      <c r="E31" s="21"/>
      <c r="F31" s="21"/>
    </row>
    <row r="32" spans="1:6" x14ac:dyDescent="0.35">
      <c r="A32" s="14" t="s">
        <v>26</v>
      </c>
      <c r="B32" s="22"/>
      <c r="C32" s="21"/>
      <c r="D32" s="21"/>
      <c r="E32" s="21"/>
      <c r="F32" s="21"/>
    </row>
    <row r="33" spans="1:6" x14ac:dyDescent="0.35">
      <c r="A33" s="12" t="s">
        <v>27</v>
      </c>
      <c r="B33" s="22"/>
      <c r="C33" s="21"/>
      <c r="D33" s="21"/>
      <c r="E33" s="21"/>
      <c r="F33" s="21"/>
    </row>
    <row r="34" spans="1:6" x14ac:dyDescent="0.35">
      <c r="A34" s="14" t="s">
        <v>28</v>
      </c>
      <c r="B34" s="22"/>
      <c r="C34" s="21"/>
      <c r="D34" s="21"/>
      <c r="E34" s="21"/>
      <c r="F34" s="21"/>
    </row>
    <row r="35" spans="1:6" x14ac:dyDescent="0.35">
      <c r="A35" s="14" t="s">
        <v>29</v>
      </c>
      <c r="B35" s="22"/>
      <c r="C35" s="21"/>
      <c r="D35" s="21"/>
      <c r="E35" s="21"/>
      <c r="F35" s="21"/>
    </row>
    <row r="36" spans="1:6" x14ac:dyDescent="0.35">
      <c r="A36" s="14" t="s">
        <v>30</v>
      </c>
      <c r="B36" s="22"/>
      <c r="C36" s="21"/>
      <c r="D36" s="21"/>
      <c r="E36" s="21"/>
      <c r="F36" s="21"/>
    </row>
    <row r="37" spans="1:6" x14ac:dyDescent="0.35">
      <c r="A37" s="14" t="s">
        <v>31</v>
      </c>
      <c r="B37" s="22"/>
      <c r="C37" s="21"/>
      <c r="D37" s="21"/>
      <c r="E37" s="21"/>
      <c r="F37" s="21"/>
    </row>
    <row r="38" spans="1:6" x14ac:dyDescent="0.35">
      <c r="A38" s="12" t="s">
        <v>32</v>
      </c>
      <c r="B38" s="22"/>
      <c r="C38" s="21"/>
      <c r="D38" s="21"/>
      <c r="E38" s="21"/>
      <c r="F38" s="21"/>
    </row>
    <row r="39" spans="1:6" x14ac:dyDescent="0.35">
      <c r="A39" s="12"/>
      <c r="B39" s="22"/>
      <c r="C39" s="21"/>
      <c r="D39" s="21"/>
      <c r="E39" s="21"/>
      <c r="F39" s="21"/>
    </row>
    <row r="40" spans="1:6" x14ac:dyDescent="0.35">
      <c r="A40" s="12" t="s">
        <v>33</v>
      </c>
      <c r="B40" s="22"/>
      <c r="C40" s="21"/>
      <c r="D40" s="21"/>
      <c r="E40" s="21"/>
      <c r="F40" s="21"/>
    </row>
    <row r="41" spans="1:6" x14ac:dyDescent="0.35">
      <c r="A41" s="14" t="s">
        <v>34</v>
      </c>
      <c r="B41" s="22"/>
      <c r="C41" s="21"/>
      <c r="D41" s="21"/>
      <c r="E41" s="21"/>
      <c r="F41" s="21"/>
    </row>
    <row r="42" spans="1:6" x14ac:dyDescent="0.35">
      <c r="A42" s="14" t="s">
        <v>35</v>
      </c>
      <c r="B42" s="22"/>
      <c r="C42" s="21"/>
      <c r="D42" s="21"/>
      <c r="E42" s="21"/>
      <c r="F42" s="21"/>
    </row>
    <row r="43" spans="1:6" x14ac:dyDescent="0.35">
      <c r="A43" s="14" t="s">
        <v>36</v>
      </c>
      <c r="B43" s="22"/>
      <c r="C43" s="21"/>
      <c r="D43" s="21"/>
      <c r="E43" s="21"/>
      <c r="F43" s="21"/>
    </row>
    <row r="44" spans="1:6" x14ac:dyDescent="0.35">
      <c r="A44" s="14" t="s">
        <v>37</v>
      </c>
      <c r="B44" s="22"/>
      <c r="C44" s="21"/>
      <c r="D44" s="21"/>
      <c r="E44" s="21"/>
      <c r="F44" s="21"/>
    </row>
    <row r="45" spans="1:6" x14ac:dyDescent="0.35">
      <c r="A45" s="14" t="s">
        <v>38</v>
      </c>
      <c r="B45" s="22"/>
      <c r="C45" s="21"/>
      <c r="D45" s="21"/>
      <c r="E45" s="21"/>
      <c r="F45" s="21"/>
    </row>
    <row r="46" spans="1:6" x14ac:dyDescent="0.35">
      <c r="A46" s="14" t="s">
        <v>39</v>
      </c>
      <c r="B46" s="22"/>
      <c r="C46" s="21"/>
      <c r="D46" s="21"/>
      <c r="E46" s="21"/>
      <c r="F46" s="21"/>
    </row>
    <row r="47" spans="1:6" x14ac:dyDescent="0.35">
      <c r="A47" s="12" t="s">
        <v>40</v>
      </c>
      <c r="B47" s="22"/>
      <c r="C47" s="21"/>
      <c r="D47" s="21"/>
      <c r="E47" s="21"/>
      <c r="F47" s="21"/>
    </row>
    <row r="48" spans="1:6" x14ac:dyDescent="0.35">
      <c r="A48" s="12" t="s">
        <v>41</v>
      </c>
      <c r="B48" s="22"/>
      <c r="C48" s="21"/>
      <c r="D48" s="21"/>
      <c r="E48" s="21"/>
      <c r="F48" s="2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IS_BS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srikanthyadav444p</cp:lastModifiedBy>
  <dcterms:created xsi:type="dcterms:W3CDTF">2025-05-30T05:51:11Z</dcterms:created>
  <dcterms:modified xsi:type="dcterms:W3CDTF">2025-12-31T11:30:53Z</dcterms:modified>
</cp:coreProperties>
</file>