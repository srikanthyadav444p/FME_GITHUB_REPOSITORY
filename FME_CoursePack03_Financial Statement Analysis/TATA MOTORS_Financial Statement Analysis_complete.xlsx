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IS" sheetId="3" state="visible" r:id="rId3"/>
    <sheet xmlns:r="http://schemas.openxmlformats.org/officeDocument/2006/relationships" name="BS" sheetId="4" state="visible" r:id="rId4"/>
    <sheet xmlns:r="http://schemas.openxmlformats.org/officeDocument/2006/relationships" name="IS_XLOOPUP" sheetId="5" state="visible" r:id="rId5"/>
    <sheet xmlns:r="http://schemas.openxmlformats.org/officeDocument/2006/relationships" name="IS_VLOOKUP" sheetId="6" state="visible" r:id="rId6"/>
    <sheet xmlns:r="http://schemas.openxmlformats.org/officeDocument/2006/relationships" name="IS_COMP" sheetId="7" state="visible" r:id="rId7"/>
    <sheet xmlns:r="http://schemas.openxmlformats.org/officeDocument/2006/relationships" name="BS_COMP" sheetId="8" state="visible" r:id="rId8"/>
    <sheet xmlns:r="http://schemas.openxmlformats.org/officeDocument/2006/relationships" name="IS_COMM" sheetId="9" state="visible" r:id="rId9"/>
    <sheet xmlns:r="http://schemas.openxmlformats.org/officeDocument/2006/relationships" name="BS_COMM" sheetId="10" state="visible" r:id="rId10"/>
  </sheets>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color theme="1"/>
      <sz val="11"/>
      <scheme val="minor"/>
    </font>
    <font>
      <name val="Aptos Narrow"/>
      <family val="2"/>
      <b val="1"/>
      <color theme="1"/>
      <sz val="11"/>
      <scheme val="minor"/>
    </font>
    <font>
      <name val="Aptos"/>
      <family val="2"/>
      <color theme="1"/>
      <sz val="12"/>
    </font>
    <font>
      <name val="Aptos Narrow"/>
      <family val="2"/>
      <color theme="10"/>
      <sz val="11"/>
      <u val="single"/>
      <scheme val="minor"/>
    </font>
    <font>
      <name val="Aptos Narrow"/>
      <family val="2"/>
      <b val="1"/>
      <color theme="3" tint="0.3999755851924192"/>
      <sz val="24"/>
      <scheme val="minor"/>
    </font>
    <font>
      <name val="Aptos Narrow"/>
      <family val="2"/>
      <b val="1"/>
      <color theme="7" tint="-0.249977111117893"/>
      <sz val="18"/>
      <scheme val="minor"/>
    </font>
    <font>
      <name val="Aptos Narrow"/>
      <family val="2"/>
      <i val="1"/>
      <color theme="9" tint="-0.499984740745262"/>
      <sz val="11"/>
      <scheme val="minor"/>
    </font>
    <font>
      <name val="Aptos Narrow"/>
      <family val="2"/>
      <b val="1"/>
      <color theme="8" tint="-0.249977111117893"/>
      <sz val="18"/>
      <scheme val="minor"/>
    </font>
    <font>
      <name val="Aptos Narrow"/>
      <family val="2"/>
      <b val="1"/>
      <color theme="1"/>
      <sz val="18"/>
      <scheme val="minor"/>
    </font>
  </fonts>
  <fills count="9">
    <fill>
      <patternFill/>
    </fill>
    <fill>
      <patternFill patternType="gray125"/>
    </fill>
    <fill>
      <patternFill patternType="solid">
        <fgColor rgb="FFFFFF00"/>
        <bgColor indexed="64"/>
      </patternFill>
    </fill>
    <fill>
      <patternFill patternType="solid">
        <fgColor rgb="FF92D050"/>
        <bgColor indexed="64"/>
      </patternFill>
    </fill>
    <fill>
      <patternFill patternType="solid">
        <fgColor theme="4" tint="0.7999816888943144"/>
        <bgColor indexed="64"/>
      </patternFill>
    </fill>
    <fill>
      <patternFill patternType="solid">
        <fgColor theme="5" tint="0.3999755851924192"/>
        <bgColor indexed="64"/>
      </patternFill>
    </fill>
    <fill>
      <patternFill patternType="solid">
        <fgColor theme="3"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1">
    <border>
      <left/>
      <right/>
      <top/>
      <bottom/>
      <diagonal/>
    </border>
  </borders>
  <cellStyleXfs count="4">
    <xf numFmtId="0" fontId="1" fillId="0" borderId="0"/>
    <xf numFmtId="9" fontId="1" fillId="0" borderId="0"/>
    <xf numFmtId="0" fontId="4" fillId="0" borderId="0"/>
    <xf numFmtId="0" fontId="1" fillId="0" borderId="0"/>
  </cellStyleXfs>
  <cellXfs count="40">
    <xf numFmtId="0" fontId="0" fillId="0" borderId="0" pivotButton="0" quotePrefix="0" xfId="0"/>
    <xf numFmtId="0" fontId="2" fillId="0" borderId="0" pivotButton="0" quotePrefix="0" xfId="0"/>
    <xf numFmtId="0" fontId="2" fillId="0" borderId="0" applyAlignment="1" pivotButton="0" quotePrefix="0" xfId="0">
      <alignment horizontal="left" vertical="center" wrapText="1"/>
    </xf>
    <xf numFmtId="0" fontId="0" fillId="0" borderId="0" applyAlignment="1" pivotButton="0" quotePrefix="0" xfId="0">
      <alignment horizontal="left" vertical="center" wrapText="1"/>
    </xf>
    <xf numFmtId="4" fontId="0" fillId="0" borderId="0" applyAlignment="1" pivotButton="0" quotePrefix="0" xfId="0">
      <alignment horizontal="right" vertical="center" wrapText="1"/>
    </xf>
    <xf numFmtId="0" fontId="0" fillId="0" borderId="0" applyAlignment="1" pivotButton="0" quotePrefix="0" xfId="0">
      <alignment horizontal="right" vertical="center" wrapText="1"/>
    </xf>
    <xf numFmtId="4" fontId="2" fillId="0" borderId="0" applyAlignment="1" pivotButton="0" quotePrefix="0" xfId="0">
      <alignment horizontal="right" vertical="center" wrapText="1"/>
    </xf>
    <xf numFmtId="0" fontId="2" fillId="0" borderId="0" applyAlignment="1" pivotButton="0" quotePrefix="0" xfId="0">
      <alignment horizontal="right" vertical="center" wrapText="1"/>
    </xf>
    <xf numFmtId="4" fontId="2" fillId="0" borderId="0" applyAlignment="1" pivotButton="0" quotePrefix="0" xfId="0">
      <alignment vertical="center" wrapText="1"/>
    </xf>
    <xf numFmtId="4" fontId="0" fillId="0" borderId="0" applyAlignment="1" pivotButton="0" quotePrefix="0" xfId="0">
      <alignment vertical="center" wrapText="1"/>
    </xf>
    <xf numFmtId="0" fontId="0" fillId="0" borderId="0" applyAlignment="1" pivotButton="0" quotePrefix="0" xfId="0">
      <alignment vertical="center" wrapText="1"/>
    </xf>
    <xf numFmtId="4" fontId="0" fillId="0" borderId="0" pivotButton="0" quotePrefix="0" xfId="0"/>
    <xf numFmtId="0" fontId="2" fillId="0" borderId="0" applyAlignment="1" pivotButton="0" quotePrefix="0" xfId="0">
      <alignment horizontal="center"/>
    </xf>
    <xf numFmtId="0" fontId="0" fillId="0" borderId="0" applyAlignment="1" pivotButton="0" quotePrefix="0" xfId="0">
      <alignment horizontal="center"/>
    </xf>
    <xf numFmtId="0" fontId="2" fillId="2" borderId="0" pivotButton="0" quotePrefix="0" xfId="0"/>
    <xf numFmtId="10" fontId="3" fillId="0" borderId="0" applyAlignment="1" pivotButton="0" quotePrefix="0" xfId="1">
      <alignment vertical="center"/>
    </xf>
    <xf numFmtId="0" fontId="3" fillId="0" borderId="0" applyAlignment="1" pivotButton="0" quotePrefix="0" xfId="0">
      <alignment vertical="center"/>
    </xf>
    <xf numFmtId="0" fontId="0" fillId="3" borderId="0" pivotButton="0" quotePrefix="0" xfId="0"/>
    <xf numFmtId="10" fontId="3" fillId="3" borderId="0" applyAlignment="1" pivotButton="0" quotePrefix="0" xfId="1">
      <alignment vertical="center"/>
    </xf>
    <xf numFmtId="0" fontId="4" fillId="0" borderId="0" pivotButton="0" quotePrefix="0" xfId="2"/>
    <xf numFmtId="0" fontId="2" fillId="4" borderId="0" pivotButton="0" quotePrefix="0" xfId="0"/>
    <xf numFmtId="0" fontId="2" fillId="5" borderId="0" pivotButton="0" quotePrefix="0" xfId="0"/>
    <xf numFmtId="0" fontId="2" fillId="5" borderId="0" applyAlignment="1" pivotButton="0" quotePrefix="0" xfId="0">
      <alignment horizontal="left" vertical="center" wrapText="1"/>
    </xf>
    <xf numFmtId="10" fontId="0" fillId="0" borderId="0" pivotButton="0" quotePrefix="0" xfId="1"/>
    <xf numFmtId="0" fontId="2" fillId="3" borderId="0" applyAlignment="1" pivotButton="0" quotePrefix="0" xfId="0">
      <alignment horizontal="center"/>
    </xf>
    <xf numFmtId="0" fontId="5" fillId="0" borderId="0" applyAlignment="1" pivotButton="0" quotePrefix="0" xfId="3">
      <alignment vertical="center"/>
    </xf>
    <xf numFmtId="0" fontId="1" fillId="0" borderId="0" pivotButton="0" quotePrefix="0" xfId="3"/>
    <xf numFmtId="0" fontId="6" fillId="0" borderId="0" applyAlignment="1" pivotButton="0" quotePrefix="0" xfId="3">
      <alignment vertical="center"/>
    </xf>
    <xf numFmtId="0" fontId="7" fillId="0" borderId="0" pivotButton="0" quotePrefix="0" xfId="3"/>
    <xf numFmtId="0" fontId="8" fillId="0" borderId="0" applyAlignment="1" pivotButton="0" quotePrefix="0" xfId="3">
      <alignment vertical="center"/>
    </xf>
    <xf numFmtId="0" fontId="1" fillId="4" borderId="0" applyAlignment="1" pivotButton="0" quotePrefix="0" xfId="3">
      <alignment horizontal="justify" vertical="justify" wrapText="1"/>
    </xf>
    <xf numFmtId="0" fontId="9" fillId="6" borderId="0" applyAlignment="1" pivotButton="0" quotePrefix="0" xfId="3">
      <alignment vertical="center"/>
    </xf>
    <xf numFmtId="0" fontId="1" fillId="6" borderId="0" pivotButton="0" quotePrefix="0" xfId="3"/>
    <xf numFmtId="0" fontId="9" fillId="5" borderId="0" applyAlignment="1" pivotButton="0" quotePrefix="0" xfId="3">
      <alignment vertical="center"/>
    </xf>
    <xf numFmtId="0" fontId="1" fillId="4" borderId="0" applyAlignment="1" pivotButton="0" quotePrefix="0" xfId="3">
      <alignment horizontal="left" vertical="top" wrapText="1"/>
    </xf>
    <xf numFmtId="0" fontId="2" fillId="7" borderId="0" applyAlignment="1" pivotButton="0" quotePrefix="0" xfId="3">
      <alignment vertical="top" wrapText="1"/>
    </xf>
    <xf numFmtId="0" fontId="1" fillId="0" borderId="0" applyAlignment="1" pivotButton="0" quotePrefix="0" xfId="3">
      <alignment horizontal="left" vertical="center" indent="1"/>
    </xf>
    <xf numFmtId="0" fontId="1" fillId="8" borderId="0" applyAlignment="1" pivotButton="0" quotePrefix="0" xfId="3">
      <alignment horizontal="justify" vertical="justify" wrapText="1"/>
    </xf>
    <xf numFmtId="0" fontId="2" fillId="0" borderId="0" pivotButton="0" quotePrefix="0" xfId="3"/>
    <xf numFmtId="0" fontId="2" fillId="0" borderId="0" applyAlignment="1" pivotButton="0" quotePrefix="0" xfId="3">
      <alignment horizontal="left" vertical="center" indent="1"/>
    </xf>
  </cellXfs>
  <cellStyles count="4">
    <cellStyle name="Normal" xfId="0" builtinId="0"/>
    <cellStyle name="Percent" xfId="1" builtinId="5"/>
    <cellStyle name="Hyperlink" xfId="2" builtinId="8"/>
    <cellStyle name="Normal 2" xfId="3"/>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242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I4" sqref="I4"/>
    </sheetView>
  </sheetViews>
  <sheetFormatPr baseColWidth="8" defaultRowHeight="14.5"/>
  <cols>
    <col width="8.7265625" customWidth="1" style="26" min="1" max="6"/>
    <col width="13.90625" customWidth="1" style="26" min="7" max="7"/>
    <col width="6.81640625" customWidth="1" style="26" min="8" max="8"/>
    <col width="56.36328125" customWidth="1" style="26" min="9" max="9"/>
    <col hidden="1" width="16.6328125" customWidth="1" style="26" min="10" max="10"/>
    <col width="8.7265625" customWidth="1" style="26" min="11" max="16384"/>
  </cols>
  <sheetData>
    <row r="1" ht="31" customHeight="1">
      <c r="A1" s="25" t="inlineStr">
        <is>
          <t>FINANCIAL MODELING USING EXCEL</t>
        </is>
      </c>
    </row>
    <row r="2"/>
    <row r="3" ht="23.5" customHeight="1">
      <c r="A3" s="27" t="inlineStr">
        <is>
          <t>Required Periodic Deposit Modeling Using Excel (PMT Function)</t>
        </is>
      </c>
    </row>
    <row r="4"/>
    <row r="5">
      <c r="A5" s="28" t="inlineStr">
        <is>
          <t>Time Value of Money and Goal-Based Savings Analysis</t>
        </is>
      </c>
    </row>
    <row r="6"/>
    <row r="7" ht="23.5" customHeight="1">
      <c r="A7" s="29" t="inlineStr">
        <is>
          <t>Workbook Purpose</t>
        </is>
      </c>
    </row>
    <row r="8"/>
    <row r="9" ht="132.5" customHeight="1">
      <c r="A9" s="30" t="inlineStr">
        <is>
          <t>This workbook is specifically designed to determine the required periodic deposit (investment or savings amount) needed to accumulate a predefined future value within a given time horizon, interest rate, and compounding structure. The workbook focuses exclusively on deposit determination, not loan payments or amortization.
By working through this model, learners understand how financial goals—such as education funds, retirement corpus, or planned expenditures—can be translated into systematic savings requirements. The workbook uses Excel to operationalize time value of money concepts, enabling learners to assess feasibility, compare scenarios, and interpret required savings amounts in realistic financial planning contexts.</t>
        </is>
      </c>
    </row>
    <row r="10"/>
    <row r="11"/>
    <row r="12"/>
    <row r="13"/>
    <row r="14"/>
    <row r="15" ht="23.5" customHeight="1">
      <c r="A15" s="31" t="inlineStr">
        <is>
          <t>Key Concepts Covered</t>
        </is>
      </c>
      <c r="B15" s="32" t="n"/>
      <c r="C15" s="32" t="n"/>
      <c r="D15" s="32" t="n"/>
      <c r="E15" s="32" t="n"/>
      <c r="F15" s="32" t="n"/>
      <c r="G15" s="32" t="n"/>
      <c r="I15" s="33" t="inlineStr">
        <is>
          <t>Excel Functions Used</t>
        </is>
      </c>
    </row>
    <row r="16" ht="255.5" customHeight="1">
      <c r="A16" s="34" t="inlineStr">
        <is>
          <t>Time value of money in systematic savings decisions
Goal-based financial planning and target accumulation
Relationship between required deposit, interest rate, and time horizon
Role of compounding frequency in savings accumulation
Cash flow direction from an investor’s perspective
Sensitivity of required deposits to changes in return assumptions
Practical interpretation of savings requirements for financial planning</t>
        </is>
      </c>
      <c r="I16" s="35" t="inlineStr">
        <is>
          <t>PMT – Computes the required periodic deposit to achieve a target value
FV – Represents the target future corpus or financial goal
RATE – Defines the assumed return on savings or investments
NPER – Aligns investment horizon with deposit frequency
IF – Handles logical conditions and scenario-specific structure
ABS – Enforces disciplined cash-flow sign conventions
Strong emphasis is placed on correct sign handling, frequency alignment, and clear interpretation of deposit outputs.</t>
        </is>
      </c>
    </row>
    <row r="17">
      <c r="A17" s="36" t="n"/>
    </row>
    <row r="18">
      <c r="A18" s="36" t="n"/>
      <c r="E18" s="37"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38" t="n"/>
    </row>
    <row r="19">
      <c r="A19" s="36" t="n"/>
    </row>
    <row r="20">
      <c r="A20" s="36" t="n"/>
      <c r="I20" s="38" t="n"/>
    </row>
    <row r="21">
      <c r="A21" s="36" t="n"/>
    </row>
    <row r="22">
      <c r="A22" s="36" t="n"/>
      <c r="I22" s="38" t="n"/>
    </row>
    <row r="23">
      <c r="A23" s="36" t="n"/>
    </row>
    <row r="24">
      <c r="A24" s="36" t="n"/>
      <c r="I24" s="38" t="n"/>
    </row>
    <row r="25">
      <c r="A25" s="36" t="n"/>
    </row>
    <row r="26">
      <c r="A26" s="36" t="n"/>
      <c r="I26" s="38" t="n"/>
    </row>
    <row r="27">
      <c r="A27" s="36" t="n"/>
    </row>
    <row r="28">
      <c r="A28" s="36" t="n"/>
      <c r="I28" s="38" t="n"/>
    </row>
    <row r="29">
      <c r="A29" s="36" t="n"/>
    </row>
    <row r="30">
      <c r="A30" s="36" t="n"/>
      <c r="I30" s="38" t="n"/>
    </row>
    <row r="31">
      <c r="A31" s="36" t="n"/>
      <c r="I31" s="36" t="n"/>
    </row>
    <row r="32">
      <c r="A32" s="36" t="n"/>
      <c r="I32" s="39" t="n"/>
    </row>
    <row r="33">
      <c r="A33" s="36"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7"/>
  <sheetViews>
    <sheetView zoomScale="115" zoomScaleNormal="115" workbookViewId="0">
      <selection activeCell="E7" sqref="E7"/>
    </sheetView>
  </sheetViews>
  <sheetFormatPr baseColWidth="8" defaultRowHeight="14.5"/>
  <cols>
    <col width="37" customWidth="1" min="2" max="2"/>
  </cols>
  <sheetData>
    <row r="1">
      <c r="B1" s="1" t="inlineStr">
        <is>
          <t>Index</t>
        </is>
      </c>
    </row>
    <row r="2">
      <c r="A2" t="n">
        <v>1</v>
      </c>
      <c r="B2" s="19" t="inlineStr">
        <is>
          <t>Income Statement</t>
        </is>
      </c>
    </row>
    <row r="3">
      <c r="A3" t="n">
        <v>2</v>
      </c>
      <c r="B3" s="19" t="inlineStr">
        <is>
          <t>Balance Sheet</t>
        </is>
      </c>
    </row>
    <row r="4">
      <c r="A4" t="n">
        <v>3</v>
      </c>
      <c r="B4" s="19" t="inlineStr">
        <is>
          <t>Comparative Income Statement</t>
        </is>
      </c>
    </row>
    <row r="5">
      <c r="A5" t="n">
        <v>4</v>
      </c>
      <c r="B5" s="19" t="inlineStr">
        <is>
          <t>Comparative Balance Sheet</t>
        </is>
      </c>
    </row>
    <row r="6">
      <c r="A6" t="n">
        <v>5</v>
      </c>
      <c r="B6" s="19" t="inlineStr">
        <is>
          <t>Common Size Income Statement</t>
        </is>
      </c>
    </row>
    <row r="7">
      <c r="A7" t="n">
        <v>6</v>
      </c>
      <c r="B7" s="19" t="inlineStr">
        <is>
          <t>Common Size Balance Sheet</t>
        </is>
      </c>
    </row>
  </sheetData>
  <sheetProtection selectLockedCells="0" selectUnlockedCells="0" sheet="1" objects="1" insertRows="0" insertHyperlinks="1" autoFilter="0" scenarios="1" formatColumns="0" deleteColumns="0" insertColumns="0" pivotTables="0" deleteRows="0" formatCells="0" formatRows="0" sort="0" password="AE3A"/>
  <hyperlinks>
    <hyperlink ref="B2" location="IS!A1" display="Income Statement"/>
    <hyperlink ref="B3" location="BS!A1" display="Balance Sheet"/>
    <hyperlink ref="B4" location="IS_COMP!A1" display="Comparative Income Statement"/>
    <hyperlink ref="B5" location="BS_COMP!A1" display="Comparative Balance Sheet"/>
    <hyperlink ref="B6" location="IS_COMM!A1" display="Common Size Income Statement"/>
    <hyperlink ref="B7" location="BS_COMM!A1" display="Common Size Balance Sheet"/>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27"/>
  <sheetViews>
    <sheetView topLeftCell="A2" zoomScale="115" zoomScaleNormal="115" workbookViewId="0">
      <selection activeCell="G8" sqref="G8"/>
    </sheetView>
  </sheetViews>
  <sheetFormatPr baseColWidth="8" defaultRowHeight="14.5"/>
  <cols>
    <col width="53.7265625" customWidth="1" min="1" max="1"/>
    <col width="9.1796875" bestFit="1" customWidth="1" min="2" max="6"/>
  </cols>
  <sheetData>
    <row r="1">
      <c r="A1" s="1" t="inlineStr">
        <is>
          <t>Income Statement of Tata Motors from FY2020 TO FY2024</t>
        </is>
      </c>
    </row>
    <row r="2">
      <c r="A2" s="2" t="inlineStr">
        <is>
          <t>Particulars</t>
        </is>
      </c>
      <c r="B2" s="2" t="inlineStr">
        <is>
          <t>FY2024</t>
        </is>
      </c>
      <c r="C2" s="2" t="inlineStr">
        <is>
          <t>FY2023</t>
        </is>
      </c>
      <c r="D2" s="2" t="inlineStr">
        <is>
          <t>FY2022</t>
        </is>
      </c>
      <c r="E2" s="2" t="inlineStr">
        <is>
          <t>FY2021</t>
        </is>
      </c>
      <c r="F2" s="2" t="inlineStr">
        <is>
          <t>FY2020</t>
        </is>
      </c>
    </row>
    <row r="3">
      <c r="A3" s="2" t="inlineStr">
        <is>
          <t>I. Revenue from operations</t>
        </is>
      </c>
      <c r="B3" s="3" t="n"/>
      <c r="C3" s="3" t="n"/>
      <c r="D3" s="3" t="n"/>
      <c r="E3" s="3" t="n"/>
      <c r="F3" s="3" t="n"/>
    </row>
    <row r="4">
      <c r="A4" s="3" t="inlineStr">
        <is>
          <t>(a) Revenue</t>
        </is>
      </c>
      <c r="B4" s="4" t="n">
        <v>72745.92</v>
      </c>
      <c r="C4" s="4" t="n">
        <v>65298.84</v>
      </c>
      <c r="D4" s="4" t="n">
        <v>46880.97</v>
      </c>
      <c r="E4" s="4" t="n">
        <v>46559.39</v>
      </c>
      <c r="F4" s="4" t="n">
        <v>43485.76</v>
      </c>
    </row>
    <row r="5">
      <c r="A5" s="3" t="inlineStr">
        <is>
          <t>(b) Other operating revenue</t>
        </is>
      </c>
      <c r="B5" s="5" t="n">
        <v>557.16</v>
      </c>
      <c r="C5" s="5" t="n">
        <v>458.49</v>
      </c>
      <c r="D5" s="5" t="n">
        <v>382.71</v>
      </c>
      <c r="E5" s="5" t="n">
        <v>472.08</v>
      </c>
      <c r="F5" s="5" t="n">
        <v>442.41</v>
      </c>
    </row>
    <row r="6">
      <c r="A6" s="2" t="inlineStr">
        <is>
          <t>Total revenue from operations (I)</t>
        </is>
      </c>
      <c r="B6" s="6" t="n">
        <v>73303.08</v>
      </c>
      <c r="C6" s="6" t="n">
        <v>65757.33</v>
      </c>
      <c r="D6" s="6" t="n">
        <v>47263.68</v>
      </c>
      <c r="E6" s="6" t="n">
        <v>47031.47</v>
      </c>
      <c r="F6" s="6" t="n">
        <v>43928.17</v>
      </c>
    </row>
    <row r="7">
      <c r="A7" s="2" t="inlineStr">
        <is>
          <t>II. Other Income</t>
        </is>
      </c>
      <c r="B7" s="6" t="n">
        <v>1149.88</v>
      </c>
      <c r="C7" s="7" t="n">
        <v>820.9400000000001</v>
      </c>
      <c r="D7" s="7" t="n">
        <v>659.91</v>
      </c>
      <c r="E7" s="7" t="n">
        <v>842.96</v>
      </c>
      <c r="F7" s="6" t="n">
        <v>1383.05</v>
      </c>
    </row>
    <row r="8">
      <c r="A8" s="2" t="inlineStr">
        <is>
          <t>III. Total Income (I+II)</t>
        </is>
      </c>
      <c r="B8" s="6" t="n">
        <v>74452.96000000001</v>
      </c>
      <c r="C8" s="6" t="n">
        <v>66578.27</v>
      </c>
      <c r="D8" s="6" t="n">
        <v>47923.59</v>
      </c>
      <c r="E8" s="6" t="n">
        <v>47874.43</v>
      </c>
      <c r="F8" s="6" t="n">
        <v>45311.22</v>
      </c>
    </row>
    <row r="9">
      <c r="A9" s="2" t="inlineStr">
        <is>
          <t>IV. Expenses:</t>
        </is>
      </c>
      <c r="B9" s="5" t="n"/>
      <c r="C9" s="5" t="n"/>
      <c r="D9" s="5" t="n"/>
      <c r="E9" s="5" t="n"/>
      <c r="F9" s="5" t="n"/>
    </row>
    <row r="10">
      <c r="A10" s="3" t="inlineStr">
        <is>
          <t>(a) Cost of materials consumed</t>
        </is>
      </c>
      <c r="B10" s="4" t="n">
        <v>46757.28</v>
      </c>
      <c r="C10" s="4" t="n">
        <v>42226.81</v>
      </c>
      <c r="D10" s="4" t="n">
        <v>31693.11</v>
      </c>
      <c r="E10" s="4" t="n">
        <v>28493.12</v>
      </c>
      <c r="F10" s="4" t="n">
        <v>26171.85</v>
      </c>
    </row>
    <row r="11">
      <c r="A11" s="3" t="inlineStr">
        <is>
          <t>(b) Purchases of products for sale</t>
        </is>
      </c>
      <c r="B11" s="4" t="n">
        <v>6707.03</v>
      </c>
      <c r="C11" s="4" t="n">
        <v>6561.32</v>
      </c>
      <c r="D11" s="4" t="n">
        <v>5030</v>
      </c>
      <c r="E11" s="4" t="n">
        <v>7518.05</v>
      </c>
      <c r="F11" s="4" t="n">
        <v>5679.98</v>
      </c>
    </row>
    <row r="12">
      <c r="A12" s="3" t="inlineStr">
        <is>
          <t>(c) Changes in Stock</t>
        </is>
      </c>
      <c r="B12" s="4" t="n">
        <v>1736.35</v>
      </c>
      <c r="C12" s="5" t="n">
        <v>484.69</v>
      </c>
      <c r="D12" s="5" t="n">
        <v>-403.87</v>
      </c>
      <c r="E12" s="5" t="n">
        <v>-108.48</v>
      </c>
      <c r="F12" s="5" t="n">
        <v>722.6799999999999</v>
      </c>
    </row>
    <row r="13">
      <c r="A13" s="3" t="inlineStr">
        <is>
          <t>(d) Employee benefits expense</t>
        </is>
      </c>
      <c r="B13" s="4" t="n">
        <v>4308.15</v>
      </c>
      <c r="C13" s="4" t="n">
        <v>4021.63</v>
      </c>
      <c r="D13" s="4" t="n">
        <v>3601.51</v>
      </c>
      <c r="E13" s="4" t="n">
        <v>3987.72</v>
      </c>
      <c r="F13" s="4" t="n">
        <v>4384.31</v>
      </c>
    </row>
    <row r="14">
      <c r="A14" s="3" t="inlineStr">
        <is>
          <t>(e) Finance costs</t>
        </is>
      </c>
      <c r="B14" s="4" t="n">
        <v>1705.74</v>
      </c>
      <c r="C14" s="4" t="n">
        <v>2047.51</v>
      </c>
      <c r="D14" s="4" t="n">
        <v>2121.73</v>
      </c>
      <c r="E14" s="4" t="n">
        <v>2288.61</v>
      </c>
      <c r="F14" s="4" t="n">
        <v>1973</v>
      </c>
    </row>
    <row r="15">
      <c r="A15" s="3" t="inlineStr">
        <is>
          <t>(f) Foreign exchange loss (net)</t>
        </is>
      </c>
      <c r="B15" s="5" t="n">
        <v>200.72</v>
      </c>
      <c r="C15" s="5" t="n">
        <v>279.76</v>
      </c>
      <c r="D15" s="5" t="n">
        <v>136.81</v>
      </c>
      <c r="E15" s="5" t="n">
        <v>29.02</v>
      </c>
      <c r="F15" s="5" t="n">
        <v>239</v>
      </c>
    </row>
    <row r="16">
      <c r="A16" s="3" t="inlineStr">
        <is>
          <t>(g) Depreciation and amortisation expense</t>
        </is>
      </c>
      <c r="B16" s="4" t="n">
        <v>2016.84</v>
      </c>
      <c r="C16" s="4" t="n">
        <v>1766.86</v>
      </c>
      <c r="D16" s="4" t="n">
        <v>1760.57</v>
      </c>
      <c r="E16" s="4" t="n">
        <v>3325.8</v>
      </c>
      <c r="F16" s="4" t="n">
        <v>3375.29</v>
      </c>
    </row>
    <row r="17">
      <c r="A17" s="3" t="inlineStr">
        <is>
          <t>(h) Product development/Engineering expenses</t>
        </is>
      </c>
      <c r="B17" s="4" t="n">
        <v>1104.79</v>
      </c>
      <c r="C17" s="5" t="n">
        <v>899.0599999999999</v>
      </c>
      <c r="D17" s="5" t="n">
        <v>593.9</v>
      </c>
      <c r="E17" s="5" t="n">
        <v>907.4400000000001</v>
      </c>
      <c r="F17" s="5" t="n">
        <v>830.24</v>
      </c>
    </row>
    <row r="18">
      <c r="A18" s="3" t="inlineStr">
        <is>
          <t>(i) Other expenses</t>
        </is>
      </c>
      <c r="B18" s="4" t="n">
        <v>7610.15</v>
      </c>
      <c r="C18" s="4" t="n">
        <v>7819.74</v>
      </c>
      <c r="D18" s="4" t="n">
        <v>6018.71</v>
      </c>
      <c r="E18" s="4" t="n">
        <v>5612.48</v>
      </c>
      <c r="F18" s="4" t="n">
        <v>7720.75</v>
      </c>
    </row>
    <row r="19">
      <c r="A19" s="3" t="inlineStr">
        <is>
          <t>(j) Amount transferred to capital and other accounts</t>
        </is>
      </c>
      <c r="B19" s="4" t="n">
        <v>-1129.73</v>
      </c>
      <c r="C19" s="4" t="n">
        <v>-1066.73</v>
      </c>
      <c r="D19" s="5" t="n">
        <v>-905.42</v>
      </c>
      <c r="E19" s="5" t="n">
        <v>-817.53</v>
      </c>
      <c r="F19" s="4" t="n">
        <v>-1169.46</v>
      </c>
    </row>
    <row r="20">
      <c r="A20" s="2" t="inlineStr">
        <is>
          <t>Total Expenses (IV)</t>
        </is>
      </c>
      <c r="B20" s="6" t="n">
        <v>69317.32000000001</v>
      </c>
      <c r="C20" s="6" t="n">
        <v>65040.65</v>
      </c>
      <c r="D20" s="6" t="n">
        <v>49647.05</v>
      </c>
      <c r="E20" s="6" t="n">
        <v>51239.38</v>
      </c>
      <c r="F20" s="6" t="n">
        <v>49927.64</v>
      </c>
    </row>
    <row r="21">
      <c r="A21" s="2" t="inlineStr">
        <is>
          <t>V. Profit/(Loss) before exceptional items and tax (III-IV)</t>
        </is>
      </c>
      <c r="B21" s="6" t="n">
        <v>5135.64</v>
      </c>
      <c r="C21" s="6" t="n">
        <v>1537.62</v>
      </c>
      <c r="D21" s="6" t="n">
        <v>-1723.46</v>
      </c>
      <c r="E21" s="6" t="n">
        <v>-3364.95</v>
      </c>
      <c r="F21" s="6" t="n">
        <v>-4616.42</v>
      </c>
    </row>
    <row r="22">
      <c r="A22" s="3" t="inlineStr">
        <is>
          <t>VI. Exceptional items (Loss) / Gain (Net)</t>
        </is>
      </c>
      <c r="B22" s="4" t="n">
        <v>-2808.41</v>
      </c>
      <c r="C22" s="5" t="n">
        <v>282.82</v>
      </c>
      <c r="D22" s="5" t="n">
        <v>-83.41</v>
      </c>
      <c r="E22" s="5" t="n">
        <v>-37.85</v>
      </c>
      <c r="F22" s="4" t="n">
        <v>2510.92</v>
      </c>
    </row>
    <row r="23">
      <c r="A23" s="2" t="inlineStr">
        <is>
          <t>VII. Profit/(Loss) before tax</t>
        </is>
      </c>
      <c r="B23" s="6" t="n">
        <v>7850.82</v>
      </c>
      <c r="C23" s="6" t="n">
        <v>1254.8</v>
      </c>
      <c r="D23" s="6" t="n">
        <v>-1247.54</v>
      </c>
      <c r="E23" s="6" t="n">
        <v>-2350.42</v>
      </c>
      <c r="F23" s="6" t="n">
        <v>-7127.34</v>
      </c>
    </row>
    <row r="24">
      <c r="A24" s="3" t="inlineStr">
        <is>
          <t>VIII. Tax expense / (credit) (net)</t>
        </is>
      </c>
      <c r="B24" s="5" t="n">
        <v>-51.26</v>
      </c>
      <c r="C24" s="4" t="n">
        <v>-1473.33</v>
      </c>
      <c r="D24" s="5" t="n">
        <v>143.32</v>
      </c>
      <c r="E24" s="5" t="n">
        <v>82.87</v>
      </c>
      <c r="F24" s="5" t="n">
        <v>162.29</v>
      </c>
    </row>
    <row r="25">
      <c r="A25" s="2" t="inlineStr">
        <is>
          <t>IX. Profit/(Loss) for the year (PAT)</t>
        </is>
      </c>
      <c r="B25" s="6" t="n">
        <v>7902.08</v>
      </c>
      <c r="C25" s="6" t="n">
        <v>2728.13</v>
      </c>
      <c r="D25" s="6" t="n">
        <v>-1390.86</v>
      </c>
      <c r="E25" s="6" t="n">
        <v>-2395.44</v>
      </c>
      <c r="F25" s="6" t="n">
        <v>-7289.63</v>
      </c>
    </row>
    <row r="26">
      <c r="A26" s="3" t="inlineStr">
        <is>
          <t>X. Other comprehensive income/(loss) (net of tax)</t>
        </is>
      </c>
      <c r="B26" s="5" t="n">
        <v>436.56</v>
      </c>
      <c r="C26" s="5" t="n">
        <v>-276.49</v>
      </c>
      <c r="D26" s="5" t="n">
        <v>123.68</v>
      </c>
      <c r="E26" s="5" t="n">
        <v>442.99</v>
      </c>
      <c r="F26" s="5" t="n">
        <v>-378.72</v>
      </c>
    </row>
    <row r="27">
      <c r="A27" s="2" t="inlineStr">
        <is>
          <t>XI. Total comprehensive income/(loss) for the year</t>
        </is>
      </c>
      <c r="B27" s="6" t="n">
        <v>8338.639999999999</v>
      </c>
      <c r="C27" s="6" t="n">
        <v>2451.64</v>
      </c>
      <c r="D27" s="6" t="n">
        <v>-1267.18</v>
      </c>
      <c r="E27" s="6" t="n">
        <v>-1952.45</v>
      </c>
      <c r="F27" s="6" t="n">
        <v>-7668.35</v>
      </c>
    </row>
  </sheetData>
  <sheetProtection selectLockedCells="0" selectUnlockedCells="0" sheet="1" objects="1" insertRows="0" insertHyperlinks="1" autoFilter="0" scenarios="1" formatColumns="0" deleteColumns="0" insertColumns="0" pivotTables="0" deleteRows="0" formatCells="0" formatRows="0" sort="0" password="AE3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F36"/>
  <sheetViews>
    <sheetView topLeftCell="A10" zoomScale="115" zoomScaleNormal="115" workbookViewId="0">
      <selection activeCell="A4" sqref="A4"/>
    </sheetView>
  </sheetViews>
  <sheetFormatPr baseColWidth="8" defaultRowHeight="14.5"/>
  <cols>
    <col width="54.453125" customWidth="1" min="1" max="1"/>
    <col width="9.1796875" bestFit="1" customWidth="1" min="2" max="6"/>
  </cols>
  <sheetData>
    <row r="1">
      <c r="A1" s="1" t="inlineStr">
        <is>
          <t>Balance Sheet of Tata Motors from FY2020 TO FY2024</t>
        </is>
      </c>
    </row>
    <row r="2">
      <c r="A2" s="2" t="inlineStr">
        <is>
          <t>Particulars</t>
        </is>
      </c>
      <c r="B2" s="2" t="inlineStr">
        <is>
          <t>FY2024</t>
        </is>
      </c>
      <c r="C2" s="2" t="inlineStr">
        <is>
          <t>FY2023</t>
        </is>
      </c>
      <c r="D2" s="2" t="inlineStr">
        <is>
          <t>FY2022</t>
        </is>
      </c>
      <c r="E2" s="2" t="inlineStr">
        <is>
          <t>FY2021</t>
        </is>
      </c>
      <c r="F2" s="2" t="inlineStr">
        <is>
          <t>FY2020</t>
        </is>
      </c>
    </row>
    <row r="3">
      <c r="A3" s="2" t="inlineStr">
        <is>
          <t>I. ASSETS</t>
        </is>
      </c>
      <c r="B3" s="3" t="n"/>
      <c r="C3" s="3" t="n"/>
      <c r="D3" s="3" t="n"/>
      <c r="E3" s="3" t="n"/>
      <c r="F3" s="3" t="n"/>
    </row>
    <row r="4">
      <c r="A4" s="2" t="inlineStr">
        <is>
          <t>(1) NON-CURRENT ASSETS</t>
        </is>
      </c>
      <c r="B4" s="8" t="n">
        <v>36133.09</v>
      </c>
      <c r="C4" s="8" t="n">
        <v>33060.22</v>
      </c>
      <c r="D4" s="8" t="n">
        <v>30958.82</v>
      </c>
      <c r="E4" s="8" t="n">
        <v>30283.65</v>
      </c>
      <c r="F4" s="8" t="n">
        <v>47242.06</v>
      </c>
    </row>
    <row r="5">
      <c r="A5" s="3" t="inlineStr">
        <is>
          <t>Property, plant and equipment (PPE)</t>
        </is>
      </c>
      <c r="B5" s="9" t="n">
        <v>12056.24</v>
      </c>
      <c r="C5" s="9" t="n">
        <v>12176.6</v>
      </c>
      <c r="D5" s="9" t="n">
        <v>11811.02</v>
      </c>
      <c r="E5" s="9" t="n">
        <v>17143.04</v>
      </c>
      <c r="F5" s="9" t="n">
        <v>18870.67</v>
      </c>
    </row>
    <row r="6">
      <c r="A6" s="3" t="inlineStr">
        <is>
          <t>Capital work-in-progress (CWIP)</t>
        </is>
      </c>
      <c r="B6" s="10" t="n">
        <v>575.65</v>
      </c>
      <c r="C6" s="10" t="n">
        <v>575.65</v>
      </c>
      <c r="D6" s="10" t="n">
        <v>585.21</v>
      </c>
      <c r="E6" s="9" t="n">
        <v>1324.21</v>
      </c>
      <c r="F6" s="9" t="n">
        <v>1755.51</v>
      </c>
    </row>
    <row r="7">
      <c r="A7" s="3" t="inlineStr">
        <is>
          <t>Right of use assets (ROU)</t>
        </is>
      </c>
      <c r="B7" s="10" t="n">
        <v>338.25</v>
      </c>
      <c r="C7" s="10" t="n">
        <v>344.2</v>
      </c>
      <c r="D7" s="10" t="n">
        <v>332.45</v>
      </c>
      <c r="E7" s="10" t="n">
        <v>979.48</v>
      </c>
      <c r="F7" s="10" t="n">
        <v>669.58</v>
      </c>
    </row>
    <row r="8">
      <c r="A8" s="3" t="inlineStr">
        <is>
          <t>Goodwill</t>
        </is>
      </c>
      <c r="B8" s="10" t="n">
        <v>99.09</v>
      </c>
      <c r="C8" s="10" t="n">
        <v>99.09</v>
      </c>
      <c r="D8" s="10" t="n">
        <v>99.09</v>
      </c>
      <c r="E8" s="10" t="n">
        <v>99.09</v>
      </c>
      <c r="F8" s="10" t="n">
        <v>99.09</v>
      </c>
    </row>
    <row r="9">
      <c r="A9" s="3" t="inlineStr">
        <is>
          <t>Other intangible assets</t>
        </is>
      </c>
      <c r="B9" s="9" t="n">
        <v>1768.49</v>
      </c>
      <c r="C9" s="9" t="n">
        <v>1914.76</v>
      </c>
      <c r="D9" s="9" t="n">
        <v>2009.87</v>
      </c>
      <c r="E9" s="9" t="n">
        <v>6156.56</v>
      </c>
      <c r="F9" s="9" t="n">
        <v>5568.64</v>
      </c>
    </row>
    <row r="10">
      <c r="A10" s="3" t="inlineStr">
        <is>
          <t>Intangible assets under development</t>
        </is>
      </c>
      <c r="B10" s="10" t="n">
        <v>509.3</v>
      </c>
      <c r="C10" s="10" t="n">
        <v>509.3</v>
      </c>
      <c r="D10" s="10" t="n">
        <v>882.03</v>
      </c>
      <c r="E10" s="9" t="n">
        <v>1604.23</v>
      </c>
      <c r="F10" s="9" t="n">
        <v>2739.29</v>
      </c>
    </row>
    <row r="11">
      <c r="A11" s="3" t="inlineStr">
        <is>
          <t>Investments in subsidiaries, JVs &amp; associates</t>
        </is>
      </c>
      <c r="B11" s="9" t="n">
        <v>25819.34</v>
      </c>
      <c r="C11" s="9" t="n">
        <v>27976.8</v>
      </c>
      <c r="D11" s="9" t="n">
        <v>24723.34</v>
      </c>
      <c r="E11" s="9" t="n">
        <v>14287.8</v>
      </c>
      <c r="F11" s="9" t="n">
        <v>15182.29</v>
      </c>
    </row>
    <row r="12">
      <c r="A12" s="3" t="inlineStr">
        <is>
          <t>Financial assets (Investments, Loans, Others)</t>
        </is>
      </c>
      <c r="B12" s="9" t="n">
        <v>-1283.47</v>
      </c>
      <c r="C12" s="9" t="n">
        <v>-1402.16</v>
      </c>
      <c r="D12" s="9" t="n">
        <v>-1507.57</v>
      </c>
      <c r="E12" s="9" t="n">
        <v>1691.01</v>
      </c>
      <c r="F12" s="9" t="n">
        <v>2204.53</v>
      </c>
    </row>
    <row r="13">
      <c r="A13" s="3" t="inlineStr">
        <is>
          <t>Non-current tax assets (Net)</t>
        </is>
      </c>
      <c r="B13" s="9" t="n">
        <v>1751.48</v>
      </c>
      <c r="C13" s="9" t="n">
        <v>1909.8</v>
      </c>
      <c r="D13" s="9" t="n">
        <v>1847.16</v>
      </c>
      <c r="E13" s="10" t="n">
        <v>741.02</v>
      </c>
      <c r="F13" s="10" t="n">
        <v>727.97</v>
      </c>
    </row>
    <row r="14">
      <c r="A14" s="3" t="inlineStr">
        <is>
          <t>Other non-current assets</t>
        </is>
      </c>
      <c r="B14" s="9" t="n">
        <v>-1301.98</v>
      </c>
      <c r="C14" s="9" t="n">
        <v>-1439.42</v>
      </c>
      <c r="D14" s="9" t="n">
        <v>-2059.45</v>
      </c>
      <c r="E14" s="9" t="n">
        <v>1056.77</v>
      </c>
      <c r="F14" s="9" t="n">
        <v>1208.08</v>
      </c>
    </row>
    <row r="15">
      <c r="A15" s="2" t="inlineStr">
        <is>
          <t>(2) CURRENT ASSETS</t>
        </is>
      </c>
      <c r="B15" s="8" t="n">
        <v>36258.71</v>
      </c>
      <c r="C15" s="8" t="n">
        <v>26868.97</v>
      </c>
      <c r="D15" s="8" t="n">
        <v>26792.13</v>
      </c>
      <c r="E15" s="8" t="n">
        <v>25309.78</v>
      </c>
      <c r="F15" s="8" t="n">
        <v>7861.82</v>
      </c>
    </row>
    <row r="16">
      <c r="A16" s="3" t="inlineStr">
        <is>
          <t>Inventories</t>
        </is>
      </c>
      <c r="B16" s="9" t="n">
        <v>8247.780000000001</v>
      </c>
      <c r="C16" s="9" t="n">
        <v>5515.22</v>
      </c>
      <c r="D16" s="9" t="n">
        <v>5348.88</v>
      </c>
      <c r="E16" s="9" t="n">
        <v>5084.7</v>
      </c>
      <c r="F16" s="9" t="n">
        <v>6654.89</v>
      </c>
    </row>
    <row r="17" ht="29" customHeight="1">
      <c r="A17" s="3" t="inlineStr">
        <is>
          <t>Financial assets (Investments, Trade receivables, Cash &amp; Bank, Loans, Others)</t>
        </is>
      </c>
      <c r="B17" s="9" t="n">
        <v>26819.29</v>
      </c>
      <c r="C17" s="9" t="n">
        <v>20401.76</v>
      </c>
      <c r="D17" s="9" t="n">
        <v>20689.84</v>
      </c>
      <c r="E17" s="9" t="n">
        <v>19307.38</v>
      </c>
      <c r="F17" s="10" t="n">
        <v>913.6799999999999</v>
      </c>
    </row>
    <row r="18">
      <c r="A18" s="3" t="inlineStr">
        <is>
          <t>Current tax assets (Net)</t>
        </is>
      </c>
      <c r="B18" s="10" t="n">
        <v>108.76</v>
      </c>
      <c r="C18" s="10" t="n">
        <v>98.48999999999999</v>
      </c>
      <c r="D18" s="10" t="n">
        <v>27.6</v>
      </c>
      <c r="E18" s="10" t="n">
        <v>4.39</v>
      </c>
      <c r="F18" s="10" t="n">
        <v>102.5</v>
      </c>
    </row>
    <row r="19">
      <c r="A19" s="3" t="inlineStr">
        <is>
          <t>Assets classified as held-for-sale</t>
        </is>
      </c>
      <c r="B19" s="10" t="n">
        <v>64.92</v>
      </c>
      <c r="C19" s="10" t="n">
        <v>827.78</v>
      </c>
      <c r="D19" s="10" t="n">
        <v>725.8099999999999</v>
      </c>
      <c r="E19" s="10" t="n">
        <v>913.3099999999999</v>
      </c>
      <c r="F19" s="10" t="n">
        <v>190.75</v>
      </c>
    </row>
    <row r="20">
      <c r="A20" s="2" t="inlineStr">
        <is>
          <t>TOTAL ASSETS (1) + (2)</t>
        </is>
      </c>
      <c r="B20" s="8" t="n">
        <v>72391.8</v>
      </c>
      <c r="C20" s="8" t="n">
        <v>59929.19</v>
      </c>
      <c r="D20" s="8" t="n">
        <v>57750.95</v>
      </c>
      <c r="E20" s="8" t="n">
        <v>55593.43</v>
      </c>
      <c r="F20" s="8" t="n">
        <v>55103.88</v>
      </c>
    </row>
    <row r="21">
      <c r="A21" s="3" t="n"/>
      <c r="B21" s="10" t="n"/>
      <c r="C21" s="10" t="n"/>
      <c r="D21" s="10" t="n"/>
      <c r="E21" s="10" t="n"/>
      <c r="F21" s="10" t="n"/>
    </row>
    <row r="22">
      <c r="A22" s="2" t="inlineStr">
        <is>
          <t>II. EQUITY AND LIABILITIES</t>
        </is>
      </c>
      <c r="B22" s="10" t="n"/>
      <c r="C22" s="10" t="n"/>
      <c r="D22" s="10" t="n"/>
      <c r="E22" s="10" t="n"/>
      <c r="F22" s="10" t="n"/>
    </row>
    <row r="23">
      <c r="A23" s="2" t="inlineStr">
        <is>
          <t>(1) EQUITY</t>
        </is>
      </c>
      <c r="B23" s="8" t="n">
        <v>34068.79</v>
      </c>
      <c r="C23" s="8" t="n">
        <v>28683.65</v>
      </c>
      <c r="D23" s="8" t="n">
        <v>27786.17</v>
      </c>
      <c r="E23" s="8" t="n">
        <v>27173.34</v>
      </c>
      <c r="F23" s="8" t="n">
        <v>24545.91</v>
      </c>
    </row>
    <row r="24">
      <c r="A24" s="3" t="inlineStr">
        <is>
          <t>Equity share capital</t>
        </is>
      </c>
      <c r="B24" s="10" t="n">
        <v>766.49</v>
      </c>
      <c r="C24" s="10" t="n">
        <v>766.02</v>
      </c>
      <c r="D24" s="10" t="n">
        <v>765.88</v>
      </c>
      <c r="E24" s="10" t="n">
        <v>765.8099999999999</v>
      </c>
      <c r="F24" s="10" t="n">
        <v>719.54</v>
      </c>
    </row>
    <row r="25">
      <c r="A25" s="3" t="inlineStr">
        <is>
          <t>Other equity</t>
        </is>
      </c>
      <c r="B25" s="9" t="n">
        <v>33302.3</v>
      </c>
      <c r="C25" s="9" t="n">
        <v>27917.63</v>
      </c>
      <c r="D25" s="9" t="n">
        <v>27020.29</v>
      </c>
      <c r="E25" s="9" t="n">
        <v>26407.53</v>
      </c>
      <c r="F25" s="9" t="n">
        <v>23826.37</v>
      </c>
    </row>
    <row r="26">
      <c r="A26" s="2" t="inlineStr">
        <is>
          <t>(2) NON-CURRENT LIABILITIES</t>
        </is>
      </c>
      <c r="B26" s="8" t="n">
        <v>14449.18</v>
      </c>
      <c r="C26" s="8" t="n">
        <v>10501.71</v>
      </c>
      <c r="D26" s="8" t="n">
        <v>9436.559999999999</v>
      </c>
      <c r="E26" s="8" t="n">
        <v>10544.75</v>
      </c>
      <c r="F26" s="8" t="n">
        <v>13293.48</v>
      </c>
    </row>
    <row r="27">
      <c r="A27" s="3" t="inlineStr">
        <is>
          <t>Financial liabilities (Borrowings &amp; Lease)</t>
        </is>
      </c>
      <c r="B27" s="9" t="n">
        <v>11632.4</v>
      </c>
      <c r="C27" s="9" t="n">
        <v>7654.51</v>
      </c>
      <c r="D27" s="9" t="n">
        <v>6560.85</v>
      </c>
      <c r="E27" s="9" t="n">
        <v>7728.84</v>
      </c>
      <c r="F27" s="9" t="n">
        <v>10234.34</v>
      </c>
    </row>
    <row r="28">
      <c r="A28" s="3" t="inlineStr">
        <is>
          <t>Provisions</t>
        </is>
      </c>
      <c r="B28" s="9" t="n">
        <v>2752.48</v>
      </c>
      <c r="C28" s="9" t="n">
        <v>2787.05</v>
      </c>
      <c r="D28" s="9" t="n">
        <v>2828.53</v>
      </c>
      <c r="E28" s="9" t="n">
        <v>2776.99</v>
      </c>
      <c r="F28" s="9" t="n">
        <v>3030.14</v>
      </c>
    </row>
    <row r="29">
      <c r="A29" s="3" t="inlineStr">
        <is>
          <t>Deferred tax liabilities (Net)</t>
        </is>
      </c>
      <c r="B29" s="10" t="n">
        <v>-7.8</v>
      </c>
      <c r="C29" s="10" t="n">
        <v>1.83</v>
      </c>
      <c r="D29" s="10" t="n">
        <v>1.84</v>
      </c>
      <c r="E29" s="10" t="n">
        <v>-373.19</v>
      </c>
      <c r="F29" s="10" t="n">
        <v>7.92</v>
      </c>
    </row>
    <row r="30">
      <c r="A30" s="3" t="inlineStr">
        <is>
          <t>Other non-current liabilities</t>
        </is>
      </c>
      <c r="B30" s="10" t="n">
        <v>72.09999999999999</v>
      </c>
      <c r="C30" s="10" t="n">
        <v>58.32</v>
      </c>
      <c r="D30" s="10" t="n">
        <v>45.34</v>
      </c>
      <c r="E30" s="10" t="n">
        <v>412</v>
      </c>
      <c r="F30" s="10" t="n">
        <v>21.08</v>
      </c>
    </row>
    <row r="31">
      <c r="A31" s="2" t="inlineStr">
        <is>
          <t>(3) CURRENT LIABILITIES</t>
        </is>
      </c>
      <c r="B31" s="8" t="n">
        <v>23873.83</v>
      </c>
      <c r="C31" s="8" t="n">
        <v>20743.83</v>
      </c>
      <c r="D31" s="8" t="n">
        <v>20528.22</v>
      </c>
      <c r="E31" s="8" t="n">
        <v>17875.34</v>
      </c>
      <c r="F31" s="8" t="n">
        <v>17264.49</v>
      </c>
    </row>
    <row r="32">
      <c r="A32" s="3" t="inlineStr">
        <is>
          <t>Financial liabilities (Borrowings, Trade Payables, Others)</t>
        </is>
      </c>
      <c r="B32" s="9" t="n">
        <v>22234.33</v>
      </c>
      <c r="C32" s="9" t="n">
        <v>18973.91</v>
      </c>
      <c r="D32" s="9" t="n">
        <v>18913.34</v>
      </c>
      <c r="E32" s="9" t="n">
        <v>16339.06</v>
      </c>
      <c r="F32" s="9" t="n">
        <v>15360.7</v>
      </c>
    </row>
    <row r="33">
      <c r="A33" s="3" t="inlineStr">
        <is>
          <t>Provisions</t>
        </is>
      </c>
      <c r="B33" s="9" t="n">
        <v>1023.7</v>
      </c>
      <c r="C33" s="9" t="n">
        <v>1087.49</v>
      </c>
      <c r="D33" s="10" t="n">
        <v>913.04</v>
      </c>
      <c r="E33" s="10" t="n">
        <v>910.16</v>
      </c>
      <c r="F33" s="9" t="n">
        <v>1043.54</v>
      </c>
    </row>
    <row r="34">
      <c r="A34" s="3" t="inlineStr">
        <is>
          <t>Current tax liabilities (Net)</t>
        </is>
      </c>
      <c r="B34" s="10" t="n">
        <v>148.16</v>
      </c>
      <c r="C34" s="10" t="n">
        <v>212.72</v>
      </c>
      <c r="D34" s="10" t="n">
        <v>19.82</v>
      </c>
      <c r="E34" s="10" t="n">
        <v>87.05</v>
      </c>
      <c r="F34" s="10" t="n">
        <v>295.34</v>
      </c>
    </row>
    <row r="35">
      <c r="A35" s="3" t="inlineStr">
        <is>
          <t>Other current liabilities</t>
        </is>
      </c>
      <c r="B35" s="10" t="n">
        <v>467.64</v>
      </c>
      <c r="C35" s="10" t="n">
        <v>469.71</v>
      </c>
      <c r="D35" s="10" t="n">
        <v>682.02</v>
      </c>
      <c r="E35" s="10" t="n">
        <v>539.0700000000001</v>
      </c>
      <c r="F35" s="10" t="n">
        <v>564.91</v>
      </c>
    </row>
    <row r="36">
      <c r="A36" s="2" t="inlineStr">
        <is>
          <t>TOTAL EQUITY AND LIABILITIES (1) + (2) + (3)</t>
        </is>
      </c>
      <c r="B36" s="8" t="n">
        <v>72391.8</v>
      </c>
      <c r="C36" s="8" t="n">
        <v>59929.19</v>
      </c>
      <c r="D36" s="8" t="n">
        <v>57750.95</v>
      </c>
      <c r="E36" s="8" t="n">
        <v>55593.43</v>
      </c>
      <c r="F36" s="8" t="n">
        <v>55103.88</v>
      </c>
    </row>
  </sheetData>
  <sheetProtection selectLockedCells="0" selectUnlockedCells="0" sheet="1" objects="1" insertRows="0" insertHyperlinks="1" autoFilter="0" scenarios="1" formatColumns="0" deleteColumns="0" insertColumns="0" pivotTables="0" deleteRows="0" formatCells="0" formatRows="0" sort="0" password="AE3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9"/>
  <sheetViews>
    <sheetView workbookViewId="0">
      <selection activeCell="A4" sqref="A4"/>
    </sheetView>
  </sheetViews>
  <sheetFormatPr baseColWidth="8" defaultRowHeight="14.5"/>
  <cols>
    <col width="53.6328125" customWidth="1" min="1" max="1"/>
    <col width="13" customWidth="1" min="2" max="2"/>
    <col width="15.54296875" customWidth="1" min="3" max="3"/>
    <col width="13.90625" customWidth="1" min="4" max="4"/>
    <col width="14.90625" customWidth="1" min="5" max="5"/>
    <col width="13.1796875" customWidth="1" min="6" max="6"/>
  </cols>
  <sheetData>
    <row r="1">
      <c r="A1" s="1">
        <f>IS!A1</f>
        <v/>
      </c>
    </row>
    <row r="2">
      <c r="A2" s="1">
        <f>IS!A2</f>
        <v/>
      </c>
      <c r="B2" s="2">
        <f>IS!B2</f>
        <v/>
      </c>
      <c r="C2" s="2">
        <f>IS!C2</f>
        <v/>
      </c>
      <c r="D2" s="2">
        <f>IS!D2</f>
        <v/>
      </c>
      <c r="E2" s="2">
        <f>IS!E2</f>
        <v/>
      </c>
      <c r="F2" s="2">
        <f>IS!F2</f>
        <v/>
      </c>
    </row>
    <row r="3">
      <c r="A3" s="1">
        <f>IS!A3</f>
        <v/>
      </c>
    </row>
    <row r="4">
      <c r="A4" s="1">
        <f>IS!A4</f>
        <v/>
      </c>
      <c r="B4" s="11">
        <f>_xlfn.XLOOKUP($A4,IS!$A$1:$A$27,IS!B$1:B$27," ",0,1)</f>
        <v/>
      </c>
      <c r="C4" s="11">
        <f>_xlfn.XLOOKUP($A4,IS!$A$1:$A$27,IS!C$1:C$27," ",0,1)</f>
        <v/>
      </c>
      <c r="D4" s="11">
        <f>_xlfn.XLOOKUP($A4,IS!$A$1:$A$27,IS!D$1:D$27," ",0,1)</f>
        <v/>
      </c>
      <c r="E4" s="11">
        <f>_xlfn.XLOOKUP($A4,IS!$A$1:$A$27,IS!E$1:E$27," ",0,1)</f>
        <v/>
      </c>
      <c r="F4" s="11">
        <f>_xlfn.XLOOKUP($A4,IS!$A$1:$A$27,IS!F$1:F$27," ",0,1)</f>
        <v/>
      </c>
    </row>
    <row r="5">
      <c r="A5" s="1">
        <f>IS!A5</f>
        <v/>
      </c>
      <c r="B5" s="11">
        <f>_xlfn.XLOOKUP($A5,IS!$A$1:$A$27,IS!B$1:B$27," ",0,1)</f>
        <v/>
      </c>
      <c r="C5" s="11">
        <f>_xlfn.XLOOKUP($A5,IS!$A$1:$A$27,IS!C$1:C$27," ",0,1)</f>
        <v/>
      </c>
      <c r="D5" s="11">
        <f>_xlfn.XLOOKUP($A5,IS!$A$1:$A$27,IS!D$1:D$27," ",0,1)</f>
        <v/>
      </c>
      <c r="E5" s="11">
        <f>_xlfn.XLOOKUP($A5,IS!$A$1:$A$27,IS!E$1:E$27," ",0,1)</f>
        <v/>
      </c>
      <c r="F5" s="11">
        <f>_xlfn.XLOOKUP($A5,IS!$A$1:$A$27,IS!F$1:F$27," ",0,1)</f>
        <v/>
      </c>
    </row>
    <row r="6">
      <c r="A6" s="1">
        <f>IS!A6</f>
        <v/>
      </c>
      <c r="B6" s="11">
        <f>_xlfn.XLOOKUP($A6,IS!$A$1:$A$27,IS!B$1:B$27," ",0,1)</f>
        <v/>
      </c>
      <c r="C6" s="11">
        <f>_xlfn.XLOOKUP($A6,IS!$A$1:$A$27,IS!C$1:C$27," ",0,1)</f>
        <v/>
      </c>
      <c r="D6" s="11">
        <f>_xlfn.XLOOKUP($A6,IS!$A$1:$A$27,IS!D$1:D$27," ",0,1)</f>
        <v/>
      </c>
      <c r="E6" s="11">
        <f>_xlfn.XLOOKUP($A6,IS!$A$1:$A$27,IS!E$1:E$27," ",0,1)</f>
        <v/>
      </c>
      <c r="F6" s="11">
        <f>_xlfn.XLOOKUP($A6,IS!$A$1:$A$27,IS!F$1:F$27," ",0,1)</f>
        <v/>
      </c>
    </row>
    <row r="7">
      <c r="A7" s="1">
        <f>IS!A7</f>
        <v/>
      </c>
      <c r="B7" s="11">
        <f>_xlfn.XLOOKUP($A7,IS!$A$1:$A$27,IS!B$1:B$27," ",0,1)</f>
        <v/>
      </c>
      <c r="C7" s="11">
        <f>_xlfn.XLOOKUP($A7,IS!$A$1:$A$27,IS!C$1:C$27," ",0,1)</f>
        <v/>
      </c>
      <c r="D7" s="11">
        <f>_xlfn.XLOOKUP($A7,IS!$A$1:$A$27,IS!D$1:D$27," ",0,1)</f>
        <v/>
      </c>
      <c r="E7" s="11">
        <f>_xlfn.XLOOKUP($A7,IS!$A$1:$A$27,IS!E$1:E$27," ",0,1)</f>
        <v/>
      </c>
      <c r="F7" s="11">
        <f>_xlfn.XLOOKUP($A7,IS!$A$1:$A$27,IS!F$1:F$27," ",0,1)</f>
        <v/>
      </c>
    </row>
    <row r="8">
      <c r="A8" s="1">
        <f>IS!A8</f>
        <v/>
      </c>
      <c r="B8" s="11">
        <f>_xlfn.XLOOKUP($A8,IS!$A$1:$A$27,IS!B$1:B$27," ",0,1)</f>
        <v/>
      </c>
      <c r="C8" s="11">
        <f>_xlfn.XLOOKUP($A8,IS!$A$1:$A$27,IS!C$1:C$27," ",0,1)</f>
        <v/>
      </c>
      <c r="D8" s="11">
        <f>_xlfn.XLOOKUP($A8,IS!$A$1:$A$27,IS!D$1:D$27," ",0,1)</f>
        <v/>
      </c>
      <c r="E8" s="11">
        <f>_xlfn.XLOOKUP($A8,IS!$A$1:$A$27,IS!E$1:E$27," ",0,1)</f>
        <v/>
      </c>
      <c r="F8" s="11">
        <f>_xlfn.XLOOKUP($A8,IS!$A$1:$A$27,IS!F$1:F$27," ",0,1)</f>
        <v/>
      </c>
    </row>
    <row r="9">
      <c r="A9" s="1">
        <f>IS!A9</f>
        <v/>
      </c>
      <c r="B9" s="11">
        <f>_xlfn.XLOOKUP($A9,IS!$A$1:$A$27,IS!B$1:B$27," ",0,1)</f>
        <v/>
      </c>
      <c r="C9" s="11">
        <f>_xlfn.XLOOKUP($A9,IS!$A$1:$A$27,IS!C$1:C$27," ",0,1)</f>
        <v/>
      </c>
      <c r="D9" s="11">
        <f>_xlfn.XLOOKUP($A9,IS!$A$1:$A$27,IS!D$1:D$27," ",0,1)</f>
        <v/>
      </c>
      <c r="E9" s="11">
        <f>_xlfn.XLOOKUP($A9,IS!$A$1:$A$27,IS!E$1:E$27," ",0,1)</f>
        <v/>
      </c>
      <c r="F9" s="11">
        <f>_xlfn.XLOOKUP($A9,IS!$A$1:$A$27,IS!F$1:F$27," ",0,1)</f>
        <v/>
      </c>
    </row>
    <row r="10">
      <c r="A10" s="1">
        <f>IS!A10</f>
        <v/>
      </c>
      <c r="B10" s="11">
        <f>_xlfn.XLOOKUP($A10,IS!$A$1:$A$27,IS!B$1:B$27," ",0,1)</f>
        <v/>
      </c>
      <c r="C10" s="11">
        <f>_xlfn.XLOOKUP($A10,IS!$A$1:$A$27,IS!C$1:C$27," ",0,1)</f>
        <v/>
      </c>
      <c r="D10" s="11">
        <f>_xlfn.XLOOKUP($A10,IS!$A$1:$A$27,IS!D$1:D$27," ",0,1)</f>
        <v/>
      </c>
      <c r="E10" s="11">
        <f>_xlfn.XLOOKUP($A10,IS!$A$1:$A$27,IS!E$1:E$27," ",0,1)</f>
        <v/>
      </c>
      <c r="F10" s="11">
        <f>_xlfn.XLOOKUP($A10,IS!$A$1:$A$27,IS!F$1:F$27," ",0,1)</f>
        <v/>
      </c>
    </row>
    <row r="11">
      <c r="A11" s="1">
        <f>IS!A11</f>
        <v/>
      </c>
      <c r="B11" s="11">
        <f>_xlfn.XLOOKUP($A11,IS!$A$1:$A$27,IS!B$1:B$27," ",0,1)</f>
        <v/>
      </c>
      <c r="C11" s="11">
        <f>_xlfn.XLOOKUP($A11,IS!$A$1:$A$27,IS!C$1:C$27," ",0,1)</f>
        <v/>
      </c>
      <c r="D11" s="11">
        <f>_xlfn.XLOOKUP($A11,IS!$A$1:$A$27,IS!D$1:D$27," ",0,1)</f>
        <v/>
      </c>
      <c r="E11" s="11">
        <f>_xlfn.XLOOKUP($A11,IS!$A$1:$A$27,IS!E$1:E$27," ",0,1)</f>
        <v/>
      </c>
      <c r="F11" s="11">
        <f>_xlfn.XLOOKUP($A11,IS!$A$1:$A$27,IS!F$1:F$27," ",0,1)</f>
        <v/>
      </c>
    </row>
    <row r="12">
      <c r="A12" s="1">
        <f>IS!A12</f>
        <v/>
      </c>
      <c r="B12" s="11">
        <f>_xlfn.XLOOKUP($A12,IS!$A$1:$A$27,IS!B$1:B$27," ",0,1)</f>
        <v/>
      </c>
      <c r="C12" s="11">
        <f>_xlfn.XLOOKUP($A12,IS!$A$1:$A$27,IS!C$1:C$27," ",0,1)</f>
        <v/>
      </c>
      <c r="D12" s="11">
        <f>_xlfn.XLOOKUP($A12,IS!$A$1:$A$27,IS!D$1:D$27," ",0,1)</f>
        <v/>
      </c>
      <c r="E12" s="11">
        <f>_xlfn.XLOOKUP($A12,IS!$A$1:$A$27,IS!E$1:E$27," ",0,1)</f>
        <v/>
      </c>
      <c r="F12" s="11">
        <f>_xlfn.XLOOKUP($A12,IS!$A$1:$A$27,IS!F$1:F$27," ",0,1)</f>
        <v/>
      </c>
    </row>
    <row r="13">
      <c r="A13" s="1">
        <f>IS!A13</f>
        <v/>
      </c>
      <c r="B13" s="11">
        <f>_xlfn.XLOOKUP($A13,IS!$A$1:$A$27,IS!B$1:B$27," ",0,1)</f>
        <v/>
      </c>
      <c r="C13" s="11">
        <f>_xlfn.XLOOKUP($A13,IS!$A$1:$A$27,IS!C$1:C$27," ",0,1)</f>
        <v/>
      </c>
      <c r="D13" s="11">
        <f>_xlfn.XLOOKUP($A13,IS!$A$1:$A$27,IS!D$1:D$27," ",0,1)</f>
        <v/>
      </c>
      <c r="E13" s="11">
        <f>_xlfn.XLOOKUP($A13,IS!$A$1:$A$27,IS!E$1:E$27," ",0,1)</f>
        <v/>
      </c>
      <c r="F13" s="11">
        <f>_xlfn.XLOOKUP($A13,IS!$A$1:$A$27,IS!F$1:F$27," ",0,1)</f>
        <v/>
      </c>
    </row>
    <row r="14">
      <c r="A14" s="1">
        <f>IS!A14</f>
        <v/>
      </c>
      <c r="B14" s="11">
        <f>_xlfn.XLOOKUP($A14,IS!$A$1:$A$27,IS!B$1:B$27," ",0,1)</f>
        <v/>
      </c>
      <c r="C14" s="11">
        <f>_xlfn.XLOOKUP($A14,IS!$A$1:$A$27,IS!C$1:C$27," ",0,1)</f>
        <v/>
      </c>
      <c r="D14" s="11">
        <f>_xlfn.XLOOKUP($A14,IS!$A$1:$A$27,IS!D$1:D$27," ",0,1)</f>
        <v/>
      </c>
      <c r="E14" s="11">
        <f>_xlfn.XLOOKUP($A14,IS!$A$1:$A$27,IS!E$1:E$27," ",0,1)</f>
        <v/>
      </c>
      <c r="F14" s="11">
        <f>_xlfn.XLOOKUP($A14,IS!$A$1:$A$27,IS!F$1:F$27," ",0,1)</f>
        <v/>
      </c>
    </row>
    <row r="15">
      <c r="A15" s="1">
        <f>IS!A15</f>
        <v/>
      </c>
      <c r="B15" s="11">
        <f>_xlfn.XLOOKUP($A15,IS!$A$1:$A$27,IS!B$1:B$27," ",0,1)</f>
        <v/>
      </c>
      <c r="C15" s="11">
        <f>_xlfn.XLOOKUP($A15,IS!$A$1:$A$27,IS!C$1:C$27," ",0,1)</f>
        <v/>
      </c>
      <c r="D15" s="11">
        <f>_xlfn.XLOOKUP($A15,IS!$A$1:$A$27,IS!D$1:D$27," ",0,1)</f>
        <v/>
      </c>
      <c r="E15" s="11">
        <f>_xlfn.XLOOKUP($A15,IS!$A$1:$A$27,IS!E$1:E$27," ",0,1)</f>
        <v/>
      </c>
      <c r="F15" s="11">
        <f>_xlfn.XLOOKUP($A15,IS!$A$1:$A$27,IS!F$1:F$27," ",0,1)</f>
        <v/>
      </c>
    </row>
    <row r="16">
      <c r="A16" s="1">
        <f>IS!A16</f>
        <v/>
      </c>
      <c r="B16" s="11">
        <f>_xlfn.XLOOKUP($A16,IS!$A$1:$A$27,IS!B$1:B$27," ",0,1)</f>
        <v/>
      </c>
      <c r="C16" s="11">
        <f>_xlfn.XLOOKUP($A16,IS!$A$1:$A$27,IS!C$1:C$27," ",0,1)</f>
        <v/>
      </c>
      <c r="D16" s="11">
        <f>_xlfn.XLOOKUP($A16,IS!$A$1:$A$27,IS!D$1:D$27," ",0,1)</f>
        <v/>
      </c>
      <c r="E16" s="11">
        <f>_xlfn.XLOOKUP($A16,IS!$A$1:$A$27,IS!E$1:E$27," ",0,1)</f>
        <v/>
      </c>
      <c r="F16" s="11">
        <f>_xlfn.XLOOKUP($A16,IS!$A$1:$A$27,IS!F$1:F$27," ",0,1)</f>
        <v/>
      </c>
    </row>
    <row r="17">
      <c r="A17" s="1">
        <f>IS!A17</f>
        <v/>
      </c>
      <c r="B17" s="11">
        <f>_xlfn.XLOOKUP($A17,IS!$A$1:$A$27,IS!B$1:B$27," ",0,1)</f>
        <v/>
      </c>
      <c r="C17" s="11">
        <f>_xlfn.XLOOKUP($A17,IS!$A$1:$A$27,IS!C$1:C$27," ",0,1)</f>
        <v/>
      </c>
      <c r="D17" s="11">
        <f>_xlfn.XLOOKUP($A17,IS!$A$1:$A$27,IS!D$1:D$27," ",0,1)</f>
        <v/>
      </c>
      <c r="E17" s="11">
        <f>_xlfn.XLOOKUP($A17,IS!$A$1:$A$27,IS!E$1:E$27," ",0,1)</f>
        <v/>
      </c>
      <c r="F17" s="11">
        <f>_xlfn.XLOOKUP($A17,IS!$A$1:$A$27,IS!F$1:F$27," ",0,1)</f>
        <v/>
      </c>
    </row>
    <row r="18">
      <c r="A18" s="1">
        <f>IS!A18</f>
        <v/>
      </c>
      <c r="B18" s="11">
        <f>_xlfn.XLOOKUP($A18,IS!$A$1:$A$27,IS!B$1:B$27," ",0,1)</f>
        <v/>
      </c>
      <c r="C18" s="11">
        <f>_xlfn.XLOOKUP($A18,IS!$A$1:$A$27,IS!C$1:C$27," ",0,1)</f>
        <v/>
      </c>
      <c r="D18" s="11">
        <f>_xlfn.XLOOKUP($A18,IS!$A$1:$A$27,IS!D$1:D$27," ",0,1)</f>
        <v/>
      </c>
      <c r="E18" s="11">
        <f>_xlfn.XLOOKUP($A18,IS!$A$1:$A$27,IS!E$1:E$27," ",0,1)</f>
        <v/>
      </c>
      <c r="F18" s="11">
        <f>_xlfn.XLOOKUP($A18,IS!$A$1:$A$27,IS!F$1:F$27," ",0,1)</f>
        <v/>
      </c>
    </row>
    <row r="19">
      <c r="A19" s="1">
        <f>IS!A19</f>
        <v/>
      </c>
      <c r="B19" s="11">
        <f>_xlfn.XLOOKUP($A19,IS!$A$1:$A$27,IS!B$1:B$27," ",0,1)</f>
        <v/>
      </c>
      <c r="C19" s="11">
        <f>_xlfn.XLOOKUP($A19,IS!$A$1:$A$27,IS!C$1:C$27," ",0,1)</f>
        <v/>
      </c>
      <c r="D19" s="11">
        <f>_xlfn.XLOOKUP($A19,IS!$A$1:$A$27,IS!D$1:D$27," ",0,1)</f>
        <v/>
      </c>
      <c r="E19" s="11">
        <f>_xlfn.XLOOKUP($A19,IS!$A$1:$A$27,IS!E$1:E$27," ",0,1)</f>
        <v/>
      </c>
      <c r="F19" s="11">
        <f>_xlfn.XLOOKUP($A19,IS!$A$1:$A$27,IS!F$1:F$27," ",0,1)</f>
        <v/>
      </c>
    </row>
    <row r="20">
      <c r="A20" s="1">
        <f>IS!A20</f>
        <v/>
      </c>
      <c r="B20" s="11">
        <f>_xlfn.XLOOKUP($A20,IS!$A$1:$A$27,IS!B$1:B$27," ",0,1)</f>
        <v/>
      </c>
      <c r="C20" s="11">
        <f>_xlfn.XLOOKUP($A20,IS!$A$1:$A$27,IS!C$1:C$27," ",0,1)</f>
        <v/>
      </c>
      <c r="D20" s="11">
        <f>_xlfn.XLOOKUP($A20,IS!$A$1:$A$27,IS!D$1:D$27," ",0,1)</f>
        <v/>
      </c>
      <c r="E20" s="11">
        <f>_xlfn.XLOOKUP($A20,IS!$A$1:$A$27,IS!E$1:E$27," ",0,1)</f>
        <v/>
      </c>
      <c r="F20" s="11">
        <f>_xlfn.XLOOKUP($A20,IS!$A$1:$A$27,IS!F$1:F$27," ",0,1)</f>
        <v/>
      </c>
    </row>
    <row r="21">
      <c r="A21" s="1">
        <f>IS!A21</f>
        <v/>
      </c>
      <c r="B21" s="11">
        <f>_xlfn.XLOOKUP($A21,IS!$A$1:$A$27,IS!B$1:B$27," ",0,1)</f>
        <v/>
      </c>
      <c r="C21" s="11">
        <f>_xlfn.XLOOKUP($A21,IS!$A$1:$A$27,IS!C$1:C$27," ",0,1)</f>
        <v/>
      </c>
      <c r="D21" s="11">
        <f>_xlfn.XLOOKUP($A21,IS!$A$1:$A$27,IS!D$1:D$27," ",0,1)</f>
        <v/>
      </c>
      <c r="E21" s="11">
        <f>_xlfn.XLOOKUP($A21,IS!$A$1:$A$27,IS!E$1:E$27," ",0,1)</f>
        <v/>
      </c>
      <c r="F21" s="11">
        <f>_xlfn.XLOOKUP($A21,IS!$A$1:$A$27,IS!F$1:F$27," ",0,1)</f>
        <v/>
      </c>
    </row>
    <row r="22">
      <c r="A22" s="1">
        <f>IS!A22</f>
        <v/>
      </c>
      <c r="B22" s="11">
        <f>_xlfn.XLOOKUP($A22,IS!$A$1:$A$27,IS!B$1:B$27," ",0,1)</f>
        <v/>
      </c>
      <c r="C22" s="11">
        <f>_xlfn.XLOOKUP($A22,IS!$A$1:$A$27,IS!C$1:C$27," ",0,1)</f>
        <v/>
      </c>
      <c r="D22" s="11">
        <f>_xlfn.XLOOKUP($A22,IS!$A$1:$A$27,IS!D$1:D$27," ",0,1)</f>
        <v/>
      </c>
      <c r="E22" s="11">
        <f>_xlfn.XLOOKUP($A22,IS!$A$1:$A$27,IS!E$1:E$27," ",0,1)</f>
        <v/>
      </c>
      <c r="F22" s="11">
        <f>_xlfn.XLOOKUP($A22,IS!$A$1:$A$27,IS!F$1:F$27," ",0,1)</f>
        <v/>
      </c>
    </row>
    <row r="23">
      <c r="A23" s="1">
        <f>IS!A23</f>
        <v/>
      </c>
      <c r="B23" s="11">
        <f>_xlfn.XLOOKUP($A23,IS!$A$1:$A$27,IS!B$1:B$27," ",0,1)</f>
        <v/>
      </c>
      <c r="C23" s="11">
        <f>_xlfn.XLOOKUP($A23,IS!$A$1:$A$27,IS!C$1:C$27," ",0,1)</f>
        <v/>
      </c>
      <c r="D23" s="11">
        <f>_xlfn.XLOOKUP($A23,IS!$A$1:$A$27,IS!D$1:D$27," ",0,1)</f>
        <v/>
      </c>
      <c r="E23" s="11">
        <f>_xlfn.XLOOKUP($A23,IS!$A$1:$A$27,IS!E$1:E$27," ",0,1)</f>
        <v/>
      </c>
      <c r="F23" s="11">
        <f>_xlfn.XLOOKUP($A23,IS!$A$1:$A$27,IS!F$1:F$27," ",0,1)</f>
        <v/>
      </c>
    </row>
    <row r="24">
      <c r="A24" s="1">
        <f>IS!A24</f>
        <v/>
      </c>
      <c r="B24" s="11">
        <f>_xlfn.XLOOKUP($A24,IS!$A$1:$A$27,IS!B$1:B$27," ",0,1)</f>
        <v/>
      </c>
      <c r="C24" s="11">
        <f>_xlfn.XLOOKUP($A24,IS!$A$1:$A$27,IS!C$1:C$27," ",0,1)</f>
        <v/>
      </c>
      <c r="D24" s="11">
        <f>_xlfn.XLOOKUP($A24,IS!$A$1:$A$27,IS!D$1:D$27," ",0,1)</f>
        <v/>
      </c>
      <c r="E24" s="11">
        <f>_xlfn.XLOOKUP($A24,IS!$A$1:$A$27,IS!E$1:E$27," ",0,1)</f>
        <v/>
      </c>
      <c r="F24" s="11">
        <f>_xlfn.XLOOKUP($A24,IS!$A$1:$A$27,IS!F$1:F$27," ",0,1)</f>
        <v/>
      </c>
    </row>
    <row r="25">
      <c r="A25" s="1">
        <f>IS!A25</f>
        <v/>
      </c>
      <c r="B25" s="11">
        <f>_xlfn.XLOOKUP($A25,IS!$A$1:$A$27,IS!B$1:B$27," ",0,1)</f>
        <v/>
      </c>
      <c r="C25" s="11">
        <f>_xlfn.XLOOKUP($A25,IS!$A$1:$A$27,IS!C$1:C$27," ",0,1)</f>
        <v/>
      </c>
      <c r="D25" s="11">
        <f>_xlfn.XLOOKUP($A25,IS!$A$1:$A$27,IS!D$1:D$27," ",0,1)</f>
        <v/>
      </c>
      <c r="E25" s="11">
        <f>_xlfn.XLOOKUP($A25,IS!$A$1:$A$27,IS!E$1:E$27," ",0,1)</f>
        <v/>
      </c>
      <c r="F25" s="11">
        <f>_xlfn.XLOOKUP($A25,IS!$A$1:$A$27,IS!F$1:F$27," ",0,1)</f>
        <v/>
      </c>
    </row>
    <row r="26">
      <c r="A26" s="1">
        <f>IS!A26</f>
        <v/>
      </c>
      <c r="B26" s="11">
        <f>_xlfn.XLOOKUP($A26,IS!$A$1:$A$27,IS!B$1:B$27," ",0,1)</f>
        <v/>
      </c>
      <c r="C26" s="11">
        <f>_xlfn.XLOOKUP($A26,IS!$A$1:$A$27,IS!C$1:C$27," ",0,1)</f>
        <v/>
      </c>
      <c r="D26" s="11">
        <f>_xlfn.XLOOKUP($A26,IS!$A$1:$A$27,IS!D$1:D$27," ",0,1)</f>
        <v/>
      </c>
      <c r="E26" s="11">
        <f>_xlfn.XLOOKUP($A26,IS!$A$1:$A$27,IS!E$1:E$27," ",0,1)</f>
        <v/>
      </c>
      <c r="F26" s="11">
        <f>_xlfn.XLOOKUP($A26,IS!$A$1:$A$27,IS!F$1:F$27," ",0,1)</f>
        <v/>
      </c>
    </row>
    <row r="27">
      <c r="A27" s="1">
        <f>IS!A27</f>
        <v/>
      </c>
      <c r="B27" s="11">
        <f>_xlfn.XLOOKUP($A27,IS!$A$1:$A$27,IS!B$1:B$27," ",0,1)</f>
        <v/>
      </c>
      <c r="C27" s="11">
        <f>_xlfn.XLOOKUP($A27,IS!$A$1:$A$27,IS!C$1:C$27," ",0,1)</f>
        <v/>
      </c>
      <c r="D27" s="11">
        <f>_xlfn.XLOOKUP($A27,IS!$A$1:$A$27,IS!D$1:D$27," ",0,1)</f>
        <v/>
      </c>
      <c r="E27" s="11">
        <f>_xlfn.XLOOKUP($A27,IS!$A$1:$A$27,IS!E$1:E$27," ",0,1)</f>
        <v/>
      </c>
      <c r="F27" s="11">
        <f>_xlfn.XLOOKUP($A27,IS!$A$1:$A$27,IS!F$1:F$27," ",0,1)</f>
        <v/>
      </c>
    </row>
    <row r="28">
      <c r="A28" s="1" t="n"/>
    </row>
    <row r="29">
      <c r="A29" s="1" t="n"/>
    </row>
  </sheetData>
  <sheetProtection selectLockedCells="0" selectUnlockedCells="0" sheet="1" objects="1" insertRows="0" insertHyperlinks="1" autoFilter="0" scenarios="1" formatColumns="0" deleteColumns="0" insertColumns="0" pivotTables="0" deleteRows="0" formatCells="0" formatRows="0" sort="0" password="AE3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30"/>
  <sheetViews>
    <sheetView workbookViewId="0">
      <selection activeCell="B10" sqref="B10"/>
    </sheetView>
  </sheetViews>
  <sheetFormatPr baseColWidth="8" defaultRowHeight="14.5"/>
  <cols>
    <col width="53.6328125" customWidth="1" min="1" max="1"/>
    <col width="13" customWidth="1" min="2" max="2"/>
    <col width="15.54296875" customWidth="1" min="3" max="3"/>
    <col width="13.90625" customWidth="1" min="4" max="4"/>
    <col width="14.90625" customWidth="1" min="5" max="5"/>
    <col width="13.1796875" customWidth="1" min="6" max="6"/>
  </cols>
  <sheetData>
    <row r="1">
      <c r="A1" s="1">
        <f>IS!A1</f>
        <v/>
      </c>
    </row>
    <row r="2">
      <c r="A2" s="12" t="n">
        <v>1</v>
      </c>
      <c r="B2" s="13" t="n">
        <v>2</v>
      </c>
      <c r="C2" s="13" t="n">
        <v>3</v>
      </c>
      <c r="D2" s="13" t="n">
        <v>4</v>
      </c>
      <c r="E2" s="13" t="n">
        <v>5</v>
      </c>
      <c r="F2" s="13" t="n">
        <v>6</v>
      </c>
    </row>
    <row r="3">
      <c r="A3" s="1">
        <f>IS!A2</f>
        <v/>
      </c>
      <c r="B3" s="2">
        <f>IS!B2</f>
        <v/>
      </c>
      <c r="C3" s="2">
        <f>IS!C2</f>
        <v/>
      </c>
      <c r="D3" s="2">
        <f>IS!D2</f>
        <v/>
      </c>
      <c r="E3" s="2">
        <f>IS!E2</f>
        <v/>
      </c>
      <c r="F3" s="2">
        <f>IS!F2</f>
        <v/>
      </c>
    </row>
    <row r="4">
      <c r="A4" s="1">
        <f>IS!A3</f>
        <v/>
      </c>
    </row>
    <row r="5">
      <c r="A5" s="1">
        <f>IS!A4</f>
        <v/>
      </c>
      <c r="B5" s="11">
        <f>IFERROR(VLOOKUP($A5,IS!$A$1:$F$27,B$2,FALSE),"")</f>
        <v/>
      </c>
      <c r="C5" s="11">
        <f>IFERROR(VLOOKUP($A5,IS!$A$1:$F$27,C$2,FALSE),"")</f>
        <v/>
      </c>
      <c r="D5" s="11">
        <f>IFERROR(VLOOKUP($A5,IS!$A$1:$F$27,D$2,FALSE),"")</f>
        <v/>
      </c>
      <c r="E5" s="11">
        <f>IFERROR(VLOOKUP($A5,IS!$A$1:$F$27,E$2,FALSE),"")</f>
        <v/>
      </c>
      <c r="F5" s="11">
        <f>IFERROR(VLOOKUP($A5,IS!$A$1:$F$27,F$2,FALSE),"")</f>
        <v/>
      </c>
    </row>
    <row r="6">
      <c r="A6" s="1">
        <f>IS!A5</f>
        <v/>
      </c>
      <c r="B6" s="11">
        <f>IFERROR(VLOOKUP($A6,IS!$A$1:$F$27,B$2,FALSE),"")</f>
        <v/>
      </c>
      <c r="C6" s="11">
        <f>IFERROR(VLOOKUP($A6,IS!$A$1:$F$27,C$2,FALSE),"")</f>
        <v/>
      </c>
      <c r="D6" s="11">
        <f>IFERROR(VLOOKUP($A6,IS!$A$1:$F$27,D$2,FALSE),"")</f>
        <v/>
      </c>
      <c r="E6" s="11">
        <f>IFERROR(VLOOKUP($A6,IS!$A$1:$F$27,E$2,FALSE),"")</f>
        <v/>
      </c>
      <c r="F6" s="11">
        <f>IFERROR(VLOOKUP($A6,IS!$A$1:$F$27,F$2,FALSE),"")</f>
        <v/>
      </c>
    </row>
    <row r="7">
      <c r="A7" s="1">
        <f>IS!A6</f>
        <v/>
      </c>
      <c r="B7" s="11">
        <f>IFERROR(VLOOKUP($A7,IS!$A$1:$F$27,B$2,FALSE),"")</f>
        <v/>
      </c>
      <c r="C7" s="11">
        <f>IFERROR(VLOOKUP($A7,IS!$A$1:$F$27,C$2,FALSE),"")</f>
        <v/>
      </c>
      <c r="D7" s="11">
        <f>IFERROR(VLOOKUP($A7,IS!$A$1:$F$27,D$2,FALSE),"")</f>
        <v/>
      </c>
      <c r="E7" s="11">
        <f>IFERROR(VLOOKUP($A7,IS!$A$1:$F$27,E$2,FALSE),"")</f>
        <v/>
      </c>
      <c r="F7" s="11">
        <f>IFERROR(VLOOKUP($A7,IS!$A$1:$F$27,F$2,FALSE),"")</f>
        <v/>
      </c>
    </row>
    <row r="8">
      <c r="A8" s="1">
        <f>IS!A7</f>
        <v/>
      </c>
      <c r="B8" s="11">
        <f>IFERROR(VLOOKUP($A8,IS!$A$1:$F$27,B$2,FALSE),"")</f>
        <v/>
      </c>
      <c r="C8" s="11">
        <f>IFERROR(VLOOKUP($A8,IS!$A$1:$F$27,C$2,FALSE),"")</f>
        <v/>
      </c>
      <c r="D8" s="11">
        <f>IFERROR(VLOOKUP($A8,IS!$A$1:$F$27,D$2,FALSE),"")</f>
        <v/>
      </c>
      <c r="E8" s="11">
        <f>IFERROR(VLOOKUP($A8,IS!$A$1:$F$27,E$2,FALSE),"")</f>
        <v/>
      </c>
      <c r="F8" s="11">
        <f>IFERROR(VLOOKUP($A8,IS!$A$1:$F$27,F$2,FALSE),"")</f>
        <v/>
      </c>
    </row>
    <row r="9">
      <c r="A9" s="1">
        <f>IS!A8</f>
        <v/>
      </c>
      <c r="B9" s="11">
        <f>IFERROR(VLOOKUP($A9,IS!$A$1:$F$27,B$2,FALSE),"")</f>
        <v/>
      </c>
      <c r="C9" s="11">
        <f>IFERROR(VLOOKUP($A9,IS!$A$1:$F$27,C$2,FALSE),"")</f>
        <v/>
      </c>
      <c r="D9" s="11">
        <f>IFERROR(VLOOKUP($A9,IS!$A$1:$F$27,D$2,FALSE),"")</f>
        <v/>
      </c>
      <c r="E9" s="11">
        <f>IFERROR(VLOOKUP($A9,IS!$A$1:$F$27,E$2,FALSE),"")</f>
        <v/>
      </c>
      <c r="F9" s="11">
        <f>IFERROR(VLOOKUP($A9,IS!$A$1:$F$27,F$2,FALSE),"")</f>
        <v/>
      </c>
    </row>
    <row r="10">
      <c r="A10" s="14">
        <f>IS!A9</f>
        <v/>
      </c>
      <c r="B10" s="11" t="n"/>
      <c r="C10" s="11" t="n"/>
      <c r="D10" s="11" t="n"/>
      <c r="E10" s="11" t="n"/>
      <c r="F10" s="11" t="n"/>
    </row>
    <row r="11">
      <c r="A11" s="1">
        <f>IS!A10</f>
        <v/>
      </c>
      <c r="B11" s="11">
        <f>IFERROR(VLOOKUP($A11,IS!$A$1:$F$27,B$2,FALSE),"")</f>
        <v/>
      </c>
      <c r="C11" s="11">
        <f>IFERROR(VLOOKUP($A11,IS!$A$1:$F$27,C$2,FALSE),"")</f>
        <v/>
      </c>
      <c r="D11" s="11">
        <f>IFERROR(VLOOKUP($A11,IS!$A$1:$F$27,D$2,FALSE),"")</f>
        <v/>
      </c>
      <c r="E11" s="11">
        <f>IFERROR(VLOOKUP($A11,IS!$A$1:$F$27,E$2,FALSE),"")</f>
        <v/>
      </c>
      <c r="F11" s="11">
        <f>IFERROR(VLOOKUP($A11,IS!$A$1:$F$27,F$2,FALSE),"")</f>
        <v/>
      </c>
    </row>
    <row r="12">
      <c r="A12" s="1">
        <f>IS!A11</f>
        <v/>
      </c>
      <c r="B12" s="11">
        <f>IFERROR(VLOOKUP($A12,IS!$A$1:$F$27,B$2,FALSE),"")</f>
        <v/>
      </c>
      <c r="C12" s="11">
        <f>IFERROR(VLOOKUP($A12,IS!$A$1:$F$27,C$2,FALSE),"")</f>
        <v/>
      </c>
      <c r="D12" s="11">
        <f>IFERROR(VLOOKUP($A12,IS!$A$1:$F$27,D$2,FALSE),"")</f>
        <v/>
      </c>
      <c r="E12" s="11">
        <f>IFERROR(VLOOKUP($A12,IS!$A$1:$F$27,E$2,FALSE),"")</f>
        <v/>
      </c>
      <c r="F12" s="11">
        <f>IFERROR(VLOOKUP($A12,IS!$A$1:$F$27,F$2,FALSE),"")</f>
        <v/>
      </c>
    </row>
    <row r="13">
      <c r="A13" s="1">
        <f>IS!A12</f>
        <v/>
      </c>
      <c r="B13" s="11">
        <f>IFERROR(VLOOKUP($A13,IS!$A$1:$F$27,B$2,FALSE),"")</f>
        <v/>
      </c>
      <c r="C13" s="11">
        <f>IFERROR(VLOOKUP($A13,IS!$A$1:$F$27,C$2,FALSE),"")</f>
        <v/>
      </c>
      <c r="D13" s="11">
        <f>IFERROR(VLOOKUP($A13,IS!$A$1:$F$27,D$2,FALSE),"")</f>
        <v/>
      </c>
      <c r="E13" s="11">
        <f>IFERROR(VLOOKUP($A13,IS!$A$1:$F$27,E$2,FALSE),"")</f>
        <v/>
      </c>
      <c r="F13" s="11">
        <f>IFERROR(VLOOKUP($A13,IS!$A$1:$F$27,F$2,FALSE),"")</f>
        <v/>
      </c>
    </row>
    <row r="14">
      <c r="A14" s="1">
        <f>IS!A13</f>
        <v/>
      </c>
      <c r="B14" s="11">
        <f>IFERROR(VLOOKUP($A14,IS!$A$1:$F$27,B$2,FALSE),"")</f>
        <v/>
      </c>
      <c r="C14" s="11">
        <f>IFERROR(VLOOKUP($A14,IS!$A$1:$F$27,C$2,FALSE),"")</f>
        <v/>
      </c>
      <c r="D14" s="11">
        <f>IFERROR(VLOOKUP($A14,IS!$A$1:$F$27,D$2,FALSE),"")</f>
        <v/>
      </c>
      <c r="E14" s="11">
        <f>IFERROR(VLOOKUP($A14,IS!$A$1:$F$27,E$2,FALSE),"")</f>
        <v/>
      </c>
      <c r="F14" s="11">
        <f>IFERROR(VLOOKUP($A14,IS!$A$1:$F$27,F$2,FALSE),"")</f>
        <v/>
      </c>
    </row>
    <row r="15">
      <c r="A15" s="1">
        <f>IS!A14</f>
        <v/>
      </c>
      <c r="B15" s="11">
        <f>IFERROR(VLOOKUP($A15,IS!$A$1:$F$27,B$2,FALSE),"")</f>
        <v/>
      </c>
      <c r="C15" s="11">
        <f>IFERROR(VLOOKUP($A15,IS!$A$1:$F$27,C$2,FALSE),"")</f>
        <v/>
      </c>
      <c r="D15" s="11">
        <f>IFERROR(VLOOKUP($A15,IS!$A$1:$F$27,D$2,FALSE),"")</f>
        <v/>
      </c>
      <c r="E15" s="11">
        <f>IFERROR(VLOOKUP($A15,IS!$A$1:$F$27,E$2,FALSE),"")</f>
        <v/>
      </c>
      <c r="F15" s="11">
        <f>IFERROR(VLOOKUP($A15,IS!$A$1:$F$27,F$2,FALSE),"")</f>
        <v/>
      </c>
    </row>
    <row r="16">
      <c r="A16" s="1">
        <f>IS!A15</f>
        <v/>
      </c>
      <c r="B16" s="11">
        <f>IFERROR(VLOOKUP($A16,IS!$A$1:$F$27,B$2,FALSE),"")</f>
        <v/>
      </c>
      <c r="C16" s="11">
        <f>IFERROR(VLOOKUP($A16,IS!$A$1:$F$27,C$2,FALSE),"")</f>
        <v/>
      </c>
      <c r="D16" s="11">
        <f>IFERROR(VLOOKUP($A16,IS!$A$1:$F$27,D$2,FALSE),"")</f>
        <v/>
      </c>
      <c r="E16" s="11">
        <f>IFERROR(VLOOKUP($A16,IS!$A$1:$F$27,E$2,FALSE),"")</f>
        <v/>
      </c>
      <c r="F16" s="11">
        <f>IFERROR(VLOOKUP($A16,IS!$A$1:$F$27,F$2,FALSE),"")</f>
        <v/>
      </c>
    </row>
    <row r="17">
      <c r="A17" s="1">
        <f>IS!A16</f>
        <v/>
      </c>
      <c r="B17" s="11">
        <f>IFERROR(VLOOKUP($A17,IS!$A$1:$F$27,B$2,FALSE),"")</f>
        <v/>
      </c>
      <c r="C17" s="11">
        <f>IFERROR(VLOOKUP($A17,IS!$A$1:$F$27,C$2,FALSE),"")</f>
        <v/>
      </c>
      <c r="D17" s="11">
        <f>IFERROR(VLOOKUP($A17,IS!$A$1:$F$27,D$2,FALSE),"")</f>
        <v/>
      </c>
      <c r="E17" s="11">
        <f>IFERROR(VLOOKUP($A17,IS!$A$1:$F$27,E$2,FALSE),"")</f>
        <v/>
      </c>
      <c r="F17" s="11">
        <f>IFERROR(VLOOKUP($A17,IS!$A$1:$F$27,F$2,FALSE),"")</f>
        <v/>
      </c>
    </row>
    <row r="18">
      <c r="A18" s="1">
        <f>IS!A17</f>
        <v/>
      </c>
      <c r="B18" s="11">
        <f>IFERROR(VLOOKUP($A18,IS!$A$1:$F$27,B$2,FALSE),"")</f>
        <v/>
      </c>
      <c r="C18" s="11">
        <f>IFERROR(VLOOKUP($A18,IS!$A$1:$F$27,C$2,FALSE),"")</f>
        <v/>
      </c>
      <c r="D18" s="11">
        <f>IFERROR(VLOOKUP($A18,IS!$A$1:$F$27,D$2,FALSE),"")</f>
        <v/>
      </c>
      <c r="E18" s="11">
        <f>IFERROR(VLOOKUP($A18,IS!$A$1:$F$27,E$2,FALSE),"")</f>
        <v/>
      </c>
      <c r="F18" s="11">
        <f>IFERROR(VLOOKUP($A18,IS!$A$1:$F$27,F$2,FALSE),"")</f>
        <v/>
      </c>
    </row>
    <row r="19">
      <c r="A19" s="1">
        <f>IS!A18</f>
        <v/>
      </c>
      <c r="B19" s="11">
        <f>IFERROR(VLOOKUP($A19,IS!$A$1:$F$27,B$2,FALSE),"")</f>
        <v/>
      </c>
      <c r="C19" s="11">
        <f>IFERROR(VLOOKUP($A19,IS!$A$1:$F$27,C$2,FALSE),"")</f>
        <v/>
      </c>
      <c r="D19" s="11">
        <f>IFERROR(VLOOKUP($A19,IS!$A$1:$F$27,D$2,FALSE),"")</f>
        <v/>
      </c>
      <c r="E19" s="11">
        <f>IFERROR(VLOOKUP($A19,IS!$A$1:$F$27,E$2,FALSE),"")</f>
        <v/>
      </c>
      <c r="F19" s="11">
        <f>IFERROR(VLOOKUP($A19,IS!$A$1:$F$27,F$2,FALSE),"")</f>
        <v/>
      </c>
    </row>
    <row r="20">
      <c r="A20" s="1">
        <f>IS!A19</f>
        <v/>
      </c>
      <c r="B20" s="11">
        <f>IFERROR(VLOOKUP($A20,IS!$A$1:$F$27,B$2,FALSE),"")</f>
        <v/>
      </c>
      <c r="C20" s="11">
        <f>IFERROR(VLOOKUP($A20,IS!$A$1:$F$27,C$2,FALSE),"")</f>
        <v/>
      </c>
      <c r="D20" s="11">
        <f>IFERROR(VLOOKUP($A20,IS!$A$1:$F$27,D$2,FALSE),"")</f>
        <v/>
      </c>
      <c r="E20" s="11">
        <f>IFERROR(VLOOKUP($A20,IS!$A$1:$F$27,E$2,FALSE),"")</f>
        <v/>
      </c>
      <c r="F20" s="11">
        <f>IFERROR(VLOOKUP($A20,IS!$A$1:$F$27,F$2,FALSE),"")</f>
        <v/>
      </c>
    </row>
    <row r="21">
      <c r="A21" s="1">
        <f>IS!A20</f>
        <v/>
      </c>
      <c r="B21" s="11">
        <f>IFERROR(VLOOKUP($A21,IS!$A$1:$F$27,B$2,FALSE),"")</f>
        <v/>
      </c>
      <c r="C21" s="11">
        <f>IFERROR(VLOOKUP($A21,IS!$A$1:$F$27,C$2,FALSE),"")</f>
        <v/>
      </c>
      <c r="D21" s="11">
        <f>IFERROR(VLOOKUP($A21,IS!$A$1:$F$27,D$2,FALSE),"")</f>
        <v/>
      </c>
      <c r="E21" s="11">
        <f>IFERROR(VLOOKUP($A21,IS!$A$1:$F$27,E$2,FALSE),"")</f>
        <v/>
      </c>
      <c r="F21" s="11">
        <f>IFERROR(VLOOKUP($A21,IS!$A$1:$F$27,F$2,FALSE),"")</f>
        <v/>
      </c>
    </row>
    <row r="22">
      <c r="A22" s="1">
        <f>IS!A21</f>
        <v/>
      </c>
      <c r="B22" s="11">
        <f>IFERROR(VLOOKUP($A22,IS!$A$1:$F$27,B$2,FALSE),"")</f>
        <v/>
      </c>
      <c r="C22" s="11">
        <f>IFERROR(VLOOKUP($A22,IS!$A$1:$F$27,C$2,FALSE),"")</f>
        <v/>
      </c>
      <c r="D22" s="11">
        <f>IFERROR(VLOOKUP($A22,IS!$A$1:$F$27,D$2,FALSE),"")</f>
        <v/>
      </c>
      <c r="E22" s="11">
        <f>IFERROR(VLOOKUP($A22,IS!$A$1:$F$27,E$2,FALSE),"")</f>
        <v/>
      </c>
      <c r="F22" s="11">
        <f>IFERROR(VLOOKUP($A22,IS!$A$1:$F$27,F$2,FALSE),"")</f>
        <v/>
      </c>
    </row>
    <row r="23">
      <c r="A23" s="1">
        <f>IS!A22</f>
        <v/>
      </c>
      <c r="B23" s="11">
        <f>IFERROR(VLOOKUP($A23,IS!$A$1:$F$27,B$2,FALSE),"")</f>
        <v/>
      </c>
      <c r="C23" s="11">
        <f>IFERROR(VLOOKUP($A23,IS!$A$1:$F$27,C$2,FALSE),"")</f>
        <v/>
      </c>
      <c r="D23" s="11">
        <f>IFERROR(VLOOKUP($A23,IS!$A$1:$F$27,D$2,FALSE),"")</f>
        <v/>
      </c>
      <c r="E23" s="11">
        <f>IFERROR(VLOOKUP($A23,IS!$A$1:$F$27,E$2,FALSE),"")</f>
        <v/>
      </c>
      <c r="F23" s="11">
        <f>IFERROR(VLOOKUP($A23,IS!$A$1:$F$27,F$2,FALSE),"")</f>
        <v/>
      </c>
    </row>
    <row r="24">
      <c r="A24" s="1">
        <f>IS!A23</f>
        <v/>
      </c>
      <c r="B24" s="11">
        <f>IFERROR(VLOOKUP($A24,IS!$A$1:$F$27,B$2,FALSE),"")</f>
        <v/>
      </c>
      <c r="C24" s="11">
        <f>IFERROR(VLOOKUP($A24,IS!$A$1:$F$27,C$2,FALSE),"")</f>
        <v/>
      </c>
      <c r="D24" s="11">
        <f>IFERROR(VLOOKUP($A24,IS!$A$1:$F$27,D$2,FALSE),"")</f>
        <v/>
      </c>
      <c r="E24" s="11">
        <f>IFERROR(VLOOKUP($A24,IS!$A$1:$F$27,E$2,FALSE),"")</f>
        <v/>
      </c>
      <c r="F24" s="11">
        <f>IFERROR(VLOOKUP($A24,IS!$A$1:$F$27,F$2,FALSE),"")</f>
        <v/>
      </c>
    </row>
    <row r="25">
      <c r="A25" s="1">
        <f>IS!A24</f>
        <v/>
      </c>
      <c r="B25" s="11">
        <f>IFERROR(VLOOKUP($A25,IS!$A$1:$F$27,B$2,FALSE),"")</f>
        <v/>
      </c>
      <c r="C25" s="11">
        <f>IFERROR(VLOOKUP($A25,IS!$A$1:$F$27,C$2,FALSE),"")</f>
        <v/>
      </c>
      <c r="D25" s="11">
        <f>IFERROR(VLOOKUP($A25,IS!$A$1:$F$27,D$2,FALSE),"")</f>
        <v/>
      </c>
      <c r="E25" s="11">
        <f>IFERROR(VLOOKUP($A25,IS!$A$1:$F$27,E$2,FALSE),"")</f>
        <v/>
      </c>
      <c r="F25" s="11">
        <f>IFERROR(VLOOKUP($A25,IS!$A$1:$F$27,F$2,FALSE),"")</f>
        <v/>
      </c>
    </row>
    <row r="26">
      <c r="A26" s="1">
        <f>IS!A25</f>
        <v/>
      </c>
      <c r="B26" s="11">
        <f>IFERROR(VLOOKUP($A26,IS!$A$1:$F$27,B$2,FALSE),"")</f>
        <v/>
      </c>
      <c r="C26" s="11">
        <f>IFERROR(VLOOKUP($A26,IS!$A$1:$F$27,C$2,FALSE),"")</f>
        <v/>
      </c>
      <c r="D26" s="11">
        <f>IFERROR(VLOOKUP($A26,IS!$A$1:$F$27,D$2,FALSE),"")</f>
        <v/>
      </c>
      <c r="E26" s="11">
        <f>IFERROR(VLOOKUP($A26,IS!$A$1:$F$27,E$2,FALSE),"")</f>
        <v/>
      </c>
      <c r="F26" s="11">
        <f>IFERROR(VLOOKUP($A26,IS!$A$1:$F$27,F$2,FALSE),"")</f>
        <v/>
      </c>
    </row>
    <row r="27">
      <c r="A27" s="1">
        <f>IS!A26</f>
        <v/>
      </c>
      <c r="B27" s="11">
        <f>IFERROR(VLOOKUP($A27,IS!$A$1:$F$27,B$2,FALSE),"")</f>
        <v/>
      </c>
      <c r="C27" s="11">
        <f>IFERROR(VLOOKUP($A27,IS!$A$1:$F$27,C$2,FALSE),"")</f>
        <v/>
      </c>
      <c r="D27" s="11">
        <f>IFERROR(VLOOKUP($A27,IS!$A$1:$F$27,D$2,FALSE),"")</f>
        <v/>
      </c>
      <c r="E27" s="11">
        <f>IFERROR(VLOOKUP($A27,IS!$A$1:$F$27,E$2,FALSE),"")</f>
        <v/>
      </c>
      <c r="F27" s="11">
        <f>IFERROR(VLOOKUP($A27,IS!$A$1:$F$27,F$2,FALSE),"")</f>
        <v/>
      </c>
    </row>
    <row r="28">
      <c r="A28" s="1">
        <f>IS!A27</f>
        <v/>
      </c>
      <c r="B28" s="11">
        <f>IFERROR(VLOOKUP($A28,IS!$A$1:$F$27,B$2,FALSE),"")</f>
        <v/>
      </c>
      <c r="C28" s="11">
        <f>IFERROR(VLOOKUP($A28,IS!$A$1:$F$27,C$2,FALSE),"")</f>
        <v/>
      </c>
      <c r="D28" s="11">
        <f>IFERROR(VLOOKUP($A28,IS!$A$1:$F$27,D$2,FALSE),"")</f>
        <v/>
      </c>
      <c r="E28" s="11">
        <f>IFERROR(VLOOKUP($A28,IS!$A$1:$F$27,E$2,FALSE),"")</f>
        <v/>
      </c>
      <c r="F28" s="11">
        <f>IFERROR(VLOOKUP($A28,IS!$A$1:$F$27,F$2,FALSE),"")</f>
        <v/>
      </c>
    </row>
    <row r="29">
      <c r="A29" s="1" t="n"/>
    </row>
    <row r="30">
      <c r="A30" s="1" t="n"/>
    </row>
  </sheetData>
  <sheetProtection selectLockedCells="0" selectUnlockedCells="0" sheet="1" objects="1" insertRows="0" insertHyperlinks="1" autoFilter="0" scenarios="1" formatColumns="0" deleteColumns="0" insertColumns="0" pivotTables="0" deleteRows="0" formatCells="0" formatRows="0" sort="0" password="AE3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29"/>
  <sheetViews>
    <sheetView topLeftCell="B1" zoomScale="130" zoomScaleNormal="130" workbookViewId="0">
      <selection activeCell="H7" sqref="H7"/>
    </sheetView>
  </sheetViews>
  <sheetFormatPr baseColWidth="8" defaultRowHeight="14.5"/>
  <cols>
    <col width="53.6328125" customWidth="1" min="1" max="1"/>
    <col width="13" customWidth="1" min="2" max="2"/>
    <col width="15.54296875" customWidth="1" min="3" max="3"/>
    <col width="13.90625" customWidth="1" min="4" max="4"/>
    <col width="14.90625" customWidth="1" min="5" max="5"/>
    <col width="27.81640625" customWidth="1" min="6" max="6"/>
  </cols>
  <sheetData>
    <row r="1">
      <c r="A1" s="20">
        <f>IS!A1</f>
        <v/>
      </c>
      <c r="B1" s="24" t="inlineStr">
        <is>
          <t>comparative Income Statement</t>
        </is>
      </c>
    </row>
    <row r="2">
      <c r="A2" s="21">
        <f>IS!A2</f>
        <v/>
      </c>
      <c r="B2" s="22">
        <f>IS!B2</f>
        <v/>
      </c>
      <c r="C2" s="22">
        <f>IS!C2</f>
        <v/>
      </c>
      <c r="D2" s="22">
        <f>IS!D2</f>
        <v/>
      </c>
      <c r="E2" s="22">
        <f>IS!E2</f>
        <v/>
      </c>
      <c r="F2" s="12" t="inlineStr">
        <is>
          <t>Trend</t>
        </is>
      </c>
    </row>
    <row r="3">
      <c r="A3" s="1">
        <f>IS!A3</f>
        <v/>
      </c>
    </row>
    <row r="4" ht="20" customHeight="1">
      <c r="A4" s="1">
        <f>IS!A4</f>
        <v/>
      </c>
      <c r="B4" s="23">
        <f>IFERROR((_xlfn.XLOOKUP($A4,IS!$A$1:$A$27,IS!B$1:B$27," ",0,1)/_xlfn.XLOOKUP($A4,IS!$A$1:$A$27,IS!C$1:C$27," ",0,1)) -1,"")</f>
        <v/>
      </c>
      <c r="C4" s="23">
        <f>IFERROR((_xlfn.XLOOKUP($A4,IS!$A$1:$A$27,IS!C$1:C$27," ",0,1)/_xlfn.XLOOKUP($A4,IS!$A$1:$A$27,IS!D$1:D$27," ",0,1)) -1,"")</f>
        <v/>
      </c>
      <c r="D4" s="23">
        <f>IFERROR((_xlfn.XLOOKUP($A4,IS!$A$1:$A$27,IS!D$1:D$27," ",0,1)/_xlfn.XLOOKUP($A4,IS!$A$1:$A$27,IS!E$1:E$27," ",0,1)) -1,"")</f>
        <v/>
      </c>
      <c r="E4" s="23">
        <f>IFERROR((_xlfn.XLOOKUP($A4,IS!$A$1:$A$27,IS!E$1:E$27," ",0,1)/_xlfn.XLOOKUP($A4,IS!$A$1:$A$27,IS!F$1:F$27," ",0,1)) -1,"")</f>
        <v/>
      </c>
    </row>
    <row r="5">
      <c r="A5" s="1">
        <f>IS!A5</f>
        <v/>
      </c>
      <c r="B5" s="23">
        <f>IFERROR((_xlfn.XLOOKUP($A5,IS!$A$1:$A$27,IS!B$1:B$27," ",0,1)/_xlfn.XLOOKUP($A5,IS!$A$1:$A$27,IS!C$1:C$27," ",0,1)) -1,"")</f>
        <v/>
      </c>
      <c r="C5" s="23">
        <f>IFERROR((_xlfn.XLOOKUP($A5,IS!$A$1:$A$27,IS!C$1:C$27," ",0,1)/_xlfn.XLOOKUP($A5,IS!$A$1:$A$27,IS!D$1:D$27," ",0,1)) -1,"")</f>
        <v/>
      </c>
      <c r="D5" s="23">
        <f>IFERROR((_xlfn.XLOOKUP($A5,IS!$A$1:$A$27,IS!D$1:D$27," ",0,1)/_xlfn.XLOOKUP($A5,IS!$A$1:$A$27,IS!E$1:E$27," ",0,1)) -1,"")</f>
        <v/>
      </c>
      <c r="E5" s="23">
        <f>IFERROR((_xlfn.XLOOKUP($A5,IS!$A$1:$A$27,IS!E$1:E$27," ",0,1)/_xlfn.XLOOKUP($A5,IS!$A$1:$A$27,IS!F$1:F$27," ",0,1)) -1,"")</f>
        <v/>
      </c>
    </row>
    <row r="6">
      <c r="A6" s="1">
        <f>IS!A6</f>
        <v/>
      </c>
      <c r="B6" s="23">
        <f>IFERROR((_xlfn.XLOOKUP($A6,IS!$A$1:$A$27,IS!B$1:B$27," ",0,1)/_xlfn.XLOOKUP($A6,IS!$A$1:$A$27,IS!C$1:C$27," ",0,1)) -1,"")</f>
        <v/>
      </c>
      <c r="C6" s="23">
        <f>IFERROR((_xlfn.XLOOKUP($A6,IS!$A$1:$A$27,IS!C$1:C$27," ",0,1)/_xlfn.XLOOKUP($A6,IS!$A$1:$A$27,IS!D$1:D$27," ",0,1)) -1,"")</f>
        <v/>
      </c>
      <c r="D6" s="23">
        <f>IFERROR((_xlfn.XLOOKUP($A6,IS!$A$1:$A$27,IS!D$1:D$27," ",0,1)/_xlfn.XLOOKUP($A6,IS!$A$1:$A$27,IS!E$1:E$27," ",0,1)) -1,"")</f>
        <v/>
      </c>
      <c r="E6" s="23">
        <f>IFERROR((_xlfn.XLOOKUP($A6,IS!$A$1:$A$27,IS!E$1:E$27," ",0,1)/_xlfn.XLOOKUP($A6,IS!$A$1:$A$27,IS!F$1:F$27," ",0,1)) -1,"")</f>
        <v/>
      </c>
    </row>
    <row r="7">
      <c r="A7" s="1">
        <f>IS!A7</f>
        <v/>
      </c>
      <c r="B7" s="23">
        <f>IFERROR((_xlfn.XLOOKUP($A7,IS!$A$1:$A$27,IS!B$1:B$27," ",0,1)/_xlfn.XLOOKUP($A7,IS!$A$1:$A$27,IS!C$1:C$27," ",0,1)) -1,"")</f>
        <v/>
      </c>
      <c r="C7" s="23">
        <f>IFERROR((_xlfn.XLOOKUP($A7,IS!$A$1:$A$27,IS!C$1:C$27," ",0,1)/_xlfn.XLOOKUP($A7,IS!$A$1:$A$27,IS!D$1:D$27," ",0,1)) -1,"")</f>
        <v/>
      </c>
      <c r="D7" s="23">
        <f>IFERROR((_xlfn.XLOOKUP($A7,IS!$A$1:$A$27,IS!D$1:D$27," ",0,1)/_xlfn.XLOOKUP($A7,IS!$A$1:$A$27,IS!E$1:E$27," ",0,1)) -1,"")</f>
        <v/>
      </c>
      <c r="E7" s="23">
        <f>IFERROR((_xlfn.XLOOKUP($A7,IS!$A$1:$A$27,IS!E$1:E$27," ",0,1)/_xlfn.XLOOKUP($A7,IS!$A$1:$A$27,IS!F$1:F$27," ",0,1)) -1,"")</f>
        <v/>
      </c>
    </row>
    <row r="8">
      <c r="A8" s="1">
        <f>IS!A8</f>
        <v/>
      </c>
      <c r="B8" s="23">
        <f>IFERROR((_xlfn.XLOOKUP($A8,IS!$A$1:$A$27,IS!B$1:B$27," ",0,1)/_xlfn.XLOOKUP($A8,IS!$A$1:$A$27,IS!C$1:C$27," ",0,1)) -1,"")</f>
        <v/>
      </c>
      <c r="C8" s="23">
        <f>IFERROR((_xlfn.XLOOKUP($A8,IS!$A$1:$A$27,IS!C$1:C$27," ",0,1)/_xlfn.XLOOKUP($A8,IS!$A$1:$A$27,IS!D$1:D$27," ",0,1)) -1,"")</f>
        <v/>
      </c>
      <c r="D8" s="23">
        <f>IFERROR((_xlfn.XLOOKUP($A8,IS!$A$1:$A$27,IS!D$1:D$27," ",0,1)/_xlfn.XLOOKUP($A8,IS!$A$1:$A$27,IS!E$1:E$27," ",0,1)) -1,"")</f>
        <v/>
      </c>
      <c r="E8" s="23">
        <f>IFERROR((_xlfn.XLOOKUP($A8,IS!$A$1:$A$27,IS!E$1:E$27," ",0,1)/_xlfn.XLOOKUP($A8,IS!$A$1:$A$27,IS!F$1:F$27," ",0,1)) -1,"")</f>
        <v/>
      </c>
    </row>
    <row r="9">
      <c r="A9" s="1">
        <f>IS!A9</f>
        <v/>
      </c>
      <c r="B9" s="23">
        <f>IFERROR((_xlfn.XLOOKUP($A9,IS!$A$1:$A$27,IS!B$1:B$27," ",0,1)/_xlfn.XLOOKUP($A9,IS!$A$1:$A$27,IS!C$1:C$27," ",0,1)) -1,"")</f>
        <v/>
      </c>
      <c r="C9" s="23">
        <f>IFERROR((_xlfn.XLOOKUP($A9,IS!$A$1:$A$27,IS!C$1:C$27," ",0,1)/_xlfn.XLOOKUP($A9,IS!$A$1:$A$27,IS!D$1:D$27," ",0,1)) -1,"")</f>
        <v/>
      </c>
      <c r="D9" s="23">
        <f>IFERROR((_xlfn.XLOOKUP($A9,IS!$A$1:$A$27,IS!D$1:D$27," ",0,1)/_xlfn.XLOOKUP($A9,IS!$A$1:$A$27,IS!E$1:E$27," ",0,1)) -1,"")</f>
        <v/>
      </c>
      <c r="E9" s="23">
        <f>IFERROR((_xlfn.XLOOKUP($A9,IS!$A$1:$A$27,IS!E$1:E$27," ",0,1)/_xlfn.XLOOKUP($A9,IS!$A$1:$A$27,IS!F$1:F$27," ",0,1)) -1,"")</f>
        <v/>
      </c>
    </row>
    <row r="10">
      <c r="A10" s="1">
        <f>IS!A10</f>
        <v/>
      </c>
      <c r="B10" s="23">
        <f>IFERROR((_xlfn.XLOOKUP($A10,IS!$A$1:$A$27,IS!B$1:B$27," ",0,1)/_xlfn.XLOOKUP($A10,IS!$A$1:$A$27,IS!C$1:C$27," ",0,1)) -1,"")</f>
        <v/>
      </c>
      <c r="C10" s="23">
        <f>IFERROR((_xlfn.XLOOKUP($A10,IS!$A$1:$A$27,IS!C$1:C$27," ",0,1)/_xlfn.XLOOKUP($A10,IS!$A$1:$A$27,IS!D$1:D$27," ",0,1)) -1,"")</f>
        <v/>
      </c>
      <c r="D10" s="23">
        <f>IFERROR((_xlfn.XLOOKUP($A10,IS!$A$1:$A$27,IS!D$1:D$27," ",0,1)/_xlfn.XLOOKUP($A10,IS!$A$1:$A$27,IS!E$1:E$27," ",0,1)) -1,"")</f>
        <v/>
      </c>
      <c r="E10" s="23">
        <f>IFERROR((_xlfn.XLOOKUP($A10,IS!$A$1:$A$27,IS!E$1:E$27," ",0,1)/_xlfn.XLOOKUP($A10,IS!$A$1:$A$27,IS!F$1:F$27," ",0,1)) -1,"")</f>
        <v/>
      </c>
    </row>
    <row r="11">
      <c r="A11" s="1">
        <f>IS!A11</f>
        <v/>
      </c>
      <c r="B11" s="23">
        <f>IFERROR((_xlfn.XLOOKUP($A11,IS!$A$1:$A$27,IS!B$1:B$27," ",0,1)/_xlfn.XLOOKUP($A11,IS!$A$1:$A$27,IS!C$1:C$27," ",0,1)) -1,"")</f>
        <v/>
      </c>
      <c r="C11" s="23">
        <f>IFERROR((_xlfn.XLOOKUP($A11,IS!$A$1:$A$27,IS!C$1:C$27," ",0,1)/_xlfn.XLOOKUP($A11,IS!$A$1:$A$27,IS!D$1:D$27," ",0,1)) -1,"")</f>
        <v/>
      </c>
      <c r="D11" s="23">
        <f>IFERROR((_xlfn.XLOOKUP($A11,IS!$A$1:$A$27,IS!D$1:D$27," ",0,1)/_xlfn.XLOOKUP($A11,IS!$A$1:$A$27,IS!E$1:E$27," ",0,1)) -1,"")</f>
        <v/>
      </c>
      <c r="E11" s="23">
        <f>IFERROR((_xlfn.XLOOKUP($A11,IS!$A$1:$A$27,IS!E$1:E$27," ",0,1)/_xlfn.XLOOKUP($A11,IS!$A$1:$A$27,IS!F$1:F$27," ",0,1)) -1,"")</f>
        <v/>
      </c>
    </row>
    <row r="12">
      <c r="A12" s="1">
        <f>IS!A12</f>
        <v/>
      </c>
      <c r="B12" s="23">
        <f>IFERROR((_xlfn.XLOOKUP($A12,IS!$A$1:$A$27,IS!B$1:B$27," ",0,1)/_xlfn.XLOOKUP($A12,IS!$A$1:$A$27,IS!C$1:C$27," ",0,1)) -1,"")</f>
        <v/>
      </c>
      <c r="C12" s="23">
        <f>IFERROR((_xlfn.XLOOKUP($A12,IS!$A$1:$A$27,IS!C$1:C$27," ",0,1)/_xlfn.XLOOKUP($A12,IS!$A$1:$A$27,IS!D$1:D$27," ",0,1)) -1,"")</f>
        <v/>
      </c>
      <c r="D12" s="23">
        <f>IFERROR((_xlfn.XLOOKUP($A12,IS!$A$1:$A$27,IS!D$1:D$27," ",0,1)/_xlfn.XLOOKUP($A12,IS!$A$1:$A$27,IS!E$1:E$27," ",0,1)) -1,"")</f>
        <v/>
      </c>
      <c r="E12" s="23">
        <f>IFERROR((_xlfn.XLOOKUP($A12,IS!$A$1:$A$27,IS!E$1:E$27," ",0,1)/_xlfn.XLOOKUP($A12,IS!$A$1:$A$27,IS!F$1:F$27," ",0,1)) -1,"")</f>
        <v/>
      </c>
    </row>
    <row r="13">
      <c r="A13" s="1">
        <f>IS!A13</f>
        <v/>
      </c>
      <c r="B13" s="23">
        <f>IFERROR((_xlfn.XLOOKUP($A13,IS!$A$1:$A$27,IS!B$1:B$27," ",0,1)/_xlfn.XLOOKUP($A13,IS!$A$1:$A$27,IS!C$1:C$27," ",0,1)) -1,"")</f>
        <v/>
      </c>
      <c r="C13" s="23">
        <f>IFERROR((_xlfn.XLOOKUP($A13,IS!$A$1:$A$27,IS!C$1:C$27," ",0,1)/_xlfn.XLOOKUP($A13,IS!$A$1:$A$27,IS!D$1:D$27," ",0,1)) -1,"")</f>
        <v/>
      </c>
      <c r="D13" s="23">
        <f>IFERROR((_xlfn.XLOOKUP($A13,IS!$A$1:$A$27,IS!D$1:D$27," ",0,1)/_xlfn.XLOOKUP($A13,IS!$A$1:$A$27,IS!E$1:E$27," ",0,1)) -1,"")</f>
        <v/>
      </c>
      <c r="E13" s="23">
        <f>IFERROR((_xlfn.XLOOKUP($A13,IS!$A$1:$A$27,IS!E$1:E$27," ",0,1)/_xlfn.XLOOKUP($A13,IS!$A$1:$A$27,IS!F$1:F$27," ",0,1)) -1,"")</f>
        <v/>
      </c>
    </row>
    <row r="14">
      <c r="A14" s="1">
        <f>IS!A14</f>
        <v/>
      </c>
      <c r="B14" s="23">
        <f>IFERROR((_xlfn.XLOOKUP($A14,IS!$A$1:$A$27,IS!B$1:B$27," ",0,1)/_xlfn.XLOOKUP($A14,IS!$A$1:$A$27,IS!C$1:C$27," ",0,1)) -1,"")</f>
        <v/>
      </c>
      <c r="C14" s="23">
        <f>IFERROR((_xlfn.XLOOKUP($A14,IS!$A$1:$A$27,IS!C$1:C$27," ",0,1)/_xlfn.XLOOKUP($A14,IS!$A$1:$A$27,IS!D$1:D$27," ",0,1)) -1,"")</f>
        <v/>
      </c>
      <c r="D14" s="23">
        <f>IFERROR((_xlfn.XLOOKUP($A14,IS!$A$1:$A$27,IS!D$1:D$27," ",0,1)/_xlfn.XLOOKUP($A14,IS!$A$1:$A$27,IS!E$1:E$27," ",0,1)) -1,"")</f>
        <v/>
      </c>
      <c r="E14" s="23">
        <f>IFERROR((_xlfn.XLOOKUP($A14,IS!$A$1:$A$27,IS!E$1:E$27," ",0,1)/_xlfn.XLOOKUP($A14,IS!$A$1:$A$27,IS!F$1:F$27," ",0,1)) -1,"")</f>
        <v/>
      </c>
    </row>
    <row r="15">
      <c r="A15" s="1">
        <f>IS!A15</f>
        <v/>
      </c>
      <c r="B15" s="23">
        <f>IFERROR((_xlfn.XLOOKUP($A15,IS!$A$1:$A$27,IS!B$1:B$27," ",0,1)/_xlfn.XLOOKUP($A15,IS!$A$1:$A$27,IS!C$1:C$27," ",0,1)) -1,"")</f>
        <v/>
      </c>
      <c r="C15" s="23">
        <f>IFERROR((_xlfn.XLOOKUP($A15,IS!$A$1:$A$27,IS!C$1:C$27," ",0,1)/_xlfn.XLOOKUP($A15,IS!$A$1:$A$27,IS!D$1:D$27," ",0,1)) -1,"")</f>
        <v/>
      </c>
      <c r="D15" s="23">
        <f>IFERROR((_xlfn.XLOOKUP($A15,IS!$A$1:$A$27,IS!D$1:D$27," ",0,1)/_xlfn.XLOOKUP($A15,IS!$A$1:$A$27,IS!E$1:E$27," ",0,1)) -1,"")</f>
        <v/>
      </c>
      <c r="E15" s="23">
        <f>IFERROR((_xlfn.XLOOKUP($A15,IS!$A$1:$A$27,IS!E$1:E$27," ",0,1)/_xlfn.XLOOKUP($A15,IS!$A$1:$A$27,IS!F$1:F$27," ",0,1)) -1,"")</f>
        <v/>
      </c>
    </row>
    <row r="16">
      <c r="A16" s="1">
        <f>IS!A16</f>
        <v/>
      </c>
      <c r="B16" s="23">
        <f>IFERROR((_xlfn.XLOOKUP($A16,IS!$A$1:$A$27,IS!B$1:B$27," ",0,1)/_xlfn.XLOOKUP($A16,IS!$A$1:$A$27,IS!C$1:C$27," ",0,1)) -1,"")</f>
        <v/>
      </c>
      <c r="C16" s="23">
        <f>IFERROR((_xlfn.XLOOKUP($A16,IS!$A$1:$A$27,IS!C$1:C$27," ",0,1)/_xlfn.XLOOKUP($A16,IS!$A$1:$A$27,IS!D$1:D$27," ",0,1)) -1,"")</f>
        <v/>
      </c>
      <c r="D16" s="23">
        <f>IFERROR((_xlfn.XLOOKUP($A16,IS!$A$1:$A$27,IS!D$1:D$27," ",0,1)/_xlfn.XLOOKUP($A16,IS!$A$1:$A$27,IS!E$1:E$27," ",0,1)) -1,"")</f>
        <v/>
      </c>
      <c r="E16" s="23">
        <f>IFERROR((_xlfn.XLOOKUP($A16,IS!$A$1:$A$27,IS!E$1:E$27," ",0,1)/_xlfn.XLOOKUP($A16,IS!$A$1:$A$27,IS!F$1:F$27," ",0,1)) -1,"")</f>
        <v/>
      </c>
    </row>
    <row r="17">
      <c r="A17" s="1">
        <f>IS!A17</f>
        <v/>
      </c>
      <c r="B17" s="23">
        <f>IFERROR((_xlfn.XLOOKUP($A17,IS!$A$1:$A$27,IS!B$1:B$27," ",0,1)/_xlfn.XLOOKUP($A17,IS!$A$1:$A$27,IS!C$1:C$27," ",0,1)) -1,"")</f>
        <v/>
      </c>
      <c r="C17" s="23">
        <f>IFERROR((_xlfn.XLOOKUP($A17,IS!$A$1:$A$27,IS!C$1:C$27," ",0,1)/_xlfn.XLOOKUP($A17,IS!$A$1:$A$27,IS!D$1:D$27," ",0,1)) -1,"")</f>
        <v/>
      </c>
      <c r="D17" s="23">
        <f>IFERROR((_xlfn.XLOOKUP($A17,IS!$A$1:$A$27,IS!D$1:D$27," ",0,1)/_xlfn.XLOOKUP($A17,IS!$A$1:$A$27,IS!E$1:E$27," ",0,1)) -1,"")</f>
        <v/>
      </c>
      <c r="E17" s="23">
        <f>IFERROR((_xlfn.XLOOKUP($A17,IS!$A$1:$A$27,IS!E$1:E$27," ",0,1)/_xlfn.XLOOKUP($A17,IS!$A$1:$A$27,IS!F$1:F$27," ",0,1)) -1,"")</f>
        <v/>
      </c>
    </row>
    <row r="18">
      <c r="A18" s="1">
        <f>IS!A18</f>
        <v/>
      </c>
      <c r="B18" s="23">
        <f>IFERROR((_xlfn.XLOOKUP($A18,IS!$A$1:$A$27,IS!B$1:B$27," ",0,1)/_xlfn.XLOOKUP($A18,IS!$A$1:$A$27,IS!C$1:C$27," ",0,1)) -1,"")</f>
        <v/>
      </c>
      <c r="C18" s="23">
        <f>IFERROR((_xlfn.XLOOKUP($A18,IS!$A$1:$A$27,IS!C$1:C$27," ",0,1)/_xlfn.XLOOKUP($A18,IS!$A$1:$A$27,IS!D$1:D$27," ",0,1)) -1,"")</f>
        <v/>
      </c>
      <c r="D18" s="23">
        <f>IFERROR((_xlfn.XLOOKUP($A18,IS!$A$1:$A$27,IS!D$1:D$27," ",0,1)/_xlfn.XLOOKUP($A18,IS!$A$1:$A$27,IS!E$1:E$27," ",0,1)) -1,"")</f>
        <v/>
      </c>
      <c r="E18" s="23">
        <f>IFERROR((_xlfn.XLOOKUP($A18,IS!$A$1:$A$27,IS!E$1:E$27," ",0,1)/_xlfn.XLOOKUP($A18,IS!$A$1:$A$27,IS!F$1:F$27," ",0,1)) -1,"")</f>
        <v/>
      </c>
    </row>
    <row r="19">
      <c r="A19" s="1">
        <f>IS!A19</f>
        <v/>
      </c>
      <c r="B19" s="23">
        <f>IFERROR((_xlfn.XLOOKUP($A19,IS!$A$1:$A$27,IS!B$1:B$27," ",0,1)/_xlfn.XLOOKUP($A19,IS!$A$1:$A$27,IS!C$1:C$27," ",0,1)) -1,"")</f>
        <v/>
      </c>
      <c r="C19" s="23">
        <f>IFERROR((_xlfn.XLOOKUP($A19,IS!$A$1:$A$27,IS!C$1:C$27," ",0,1)/_xlfn.XLOOKUP($A19,IS!$A$1:$A$27,IS!D$1:D$27," ",0,1)) -1,"")</f>
        <v/>
      </c>
      <c r="D19" s="23">
        <f>IFERROR((_xlfn.XLOOKUP($A19,IS!$A$1:$A$27,IS!D$1:D$27," ",0,1)/_xlfn.XLOOKUP($A19,IS!$A$1:$A$27,IS!E$1:E$27," ",0,1)) -1,"")</f>
        <v/>
      </c>
      <c r="E19" s="23">
        <f>IFERROR((_xlfn.XLOOKUP($A19,IS!$A$1:$A$27,IS!E$1:E$27," ",0,1)/_xlfn.XLOOKUP($A19,IS!$A$1:$A$27,IS!F$1:F$27," ",0,1)) -1,"")</f>
        <v/>
      </c>
    </row>
    <row r="20">
      <c r="A20" s="1">
        <f>IS!A20</f>
        <v/>
      </c>
      <c r="B20" s="23">
        <f>IFERROR((_xlfn.XLOOKUP($A20,IS!$A$1:$A$27,IS!B$1:B$27," ",0,1)/_xlfn.XLOOKUP($A20,IS!$A$1:$A$27,IS!C$1:C$27," ",0,1)) -1,"")</f>
        <v/>
      </c>
      <c r="C20" s="23">
        <f>IFERROR((_xlfn.XLOOKUP($A20,IS!$A$1:$A$27,IS!C$1:C$27," ",0,1)/_xlfn.XLOOKUP($A20,IS!$A$1:$A$27,IS!D$1:D$27," ",0,1)) -1,"")</f>
        <v/>
      </c>
      <c r="D20" s="23">
        <f>IFERROR((_xlfn.XLOOKUP($A20,IS!$A$1:$A$27,IS!D$1:D$27," ",0,1)/_xlfn.XLOOKUP($A20,IS!$A$1:$A$27,IS!E$1:E$27," ",0,1)) -1,"")</f>
        <v/>
      </c>
      <c r="E20" s="23">
        <f>IFERROR((_xlfn.XLOOKUP($A20,IS!$A$1:$A$27,IS!E$1:E$27," ",0,1)/_xlfn.XLOOKUP($A20,IS!$A$1:$A$27,IS!F$1:F$27," ",0,1)) -1,"")</f>
        <v/>
      </c>
    </row>
    <row r="21">
      <c r="A21" s="1">
        <f>IS!A21</f>
        <v/>
      </c>
      <c r="B21" s="23">
        <f>IFERROR((_xlfn.XLOOKUP($A21,IS!$A$1:$A$27,IS!B$1:B$27," ",0,1)/_xlfn.XLOOKUP($A21,IS!$A$1:$A$27,IS!C$1:C$27," ",0,1)) -1,"")</f>
        <v/>
      </c>
      <c r="C21" s="23">
        <f>IFERROR((_xlfn.XLOOKUP($A21,IS!$A$1:$A$27,IS!C$1:C$27," ",0,1)/_xlfn.XLOOKUP($A21,IS!$A$1:$A$27,IS!D$1:D$27," ",0,1)) -1,"")</f>
        <v/>
      </c>
      <c r="D21" s="23">
        <f>IFERROR((_xlfn.XLOOKUP($A21,IS!$A$1:$A$27,IS!D$1:D$27," ",0,1)/_xlfn.XLOOKUP($A21,IS!$A$1:$A$27,IS!E$1:E$27," ",0,1)) -1,"")</f>
        <v/>
      </c>
      <c r="E21" s="23">
        <f>IFERROR((_xlfn.XLOOKUP($A21,IS!$A$1:$A$27,IS!E$1:E$27," ",0,1)/_xlfn.XLOOKUP($A21,IS!$A$1:$A$27,IS!F$1:F$27," ",0,1)) -1,"")</f>
        <v/>
      </c>
    </row>
    <row r="22">
      <c r="A22" s="1">
        <f>IS!A22</f>
        <v/>
      </c>
      <c r="B22" s="23">
        <f>IFERROR((_xlfn.XLOOKUP($A22,IS!$A$1:$A$27,IS!B$1:B$27," ",0,1)/_xlfn.XLOOKUP($A22,IS!$A$1:$A$27,IS!C$1:C$27," ",0,1)) -1,"")</f>
        <v/>
      </c>
      <c r="C22" s="23">
        <f>IFERROR((_xlfn.XLOOKUP($A22,IS!$A$1:$A$27,IS!C$1:C$27," ",0,1)/_xlfn.XLOOKUP($A22,IS!$A$1:$A$27,IS!D$1:D$27," ",0,1)) -1,"")</f>
        <v/>
      </c>
      <c r="D22" s="23">
        <f>IFERROR((_xlfn.XLOOKUP($A22,IS!$A$1:$A$27,IS!D$1:D$27," ",0,1)/_xlfn.XLOOKUP($A22,IS!$A$1:$A$27,IS!E$1:E$27," ",0,1)) -1,"")</f>
        <v/>
      </c>
      <c r="E22" s="23">
        <f>IFERROR((_xlfn.XLOOKUP($A22,IS!$A$1:$A$27,IS!E$1:E$27," ",0,1)/_xlfn.XLOOKUP($A22,IS!$A$1:$A$27,IS!F$1:F$27," ",0,1)) -1,"")</f>
        <v/>
      </c>
    </row>
    <row r="23">
      <c r="A23" s="1">
        <f>IS!A23</f>
        <v/>
      </c>
      <c r="B23" s="23">
        <f>IFERROR((_xlfn.XLOOKUP($A23,IS!$A$1:$A$27,IS!B$1:B$27," ",0,1)/_xlfn.XLOOKUP($A23,IS!$A$1:$A$27,IS!C$1:C$27," ",0,1)) -1,"")</f>
        <v/>
      </c>
      <c r="C23" s="23">
        <f>IFERROR((_xlfn.XLOOKUP($A23,IS!$A$1:$A$27,IS!C$1:C$27," ",0,1)/_xlfn.XLOOKUP($A23,IS!$A$1:$A$27,IS!D$1:D$27," ",0,1)) -1,"")</f>
        <v/>
      </c>
      <c r="D23" s="23">
        <f>IFERROR((_xlfn.XLOOKUP($A23,IS!$A$1:$A$27,IS!D$1:D$27," ",0,1)/_xlfn.XLOOKUP($A23,IS!$A$1:$A$27,IS!E$1:E$27," ",0,1)) -1,"")</f>
        <v/>
      </c>
      <c r="E23" s="23">
        <f>IFERROR((_xlfn.XLOOKUP($A23,IS!$A$1:$A$27,IS!E$1:E$27," ",0,1)/_xlfn.XLOOKUP($A23,IS!$A$1:$A$27,IS!F$1:F$27," ",0,1)) -1,"")</f>
        <v/>
      </c>
    </row>
    <row r="24">
      <c r="A24" s="1">
        <f>IS!A24</f>
        <v/>
      </c>
      <c r="B24" s="23">
        <f>IFERROR((_xlfn.XLOOKUP($A24,IS!$A$1:$A$27,IS!B$1:B$27," ",0,1)/_xlfn.XLOOKUP($A24,IS!$A$1:$A$27,IS!C$1:C$27," ",0,1)) -1,"")</f>
        <v/>
      </c>
      <c r="C24" s="23">
        <f>IFERROR((_xlfn.XLOOKUP($A24,IS!$A$1:$A$27,IS!C$1:C$27," ",0,1)/_xlfn.XLOOKUP($A24,IS!$A$1:$A$27,IS!D$1:D$27," ",0,1)) -1,"")</f>
        <v/>
      </c>
      <c r="D24" s="23">
        <f>IFERROR((_xlfn.XLOOKUP($A24,IS!$A$1:$A$27,IS!D$1:D$27," ",0,1)/_xlfn.XLOOKUP($A24,IS!$A$1:$A$27,IS!E$1:E$27," ",0,1)) -1,"")</f>
        <v/>
      </c>
      <c r="E24" s="23">
        <f>IFERROR((_xlfn.XLOOKUP($A24,IS!$A$1:$A$27,IS!E$1:E$27," ",0,1)/_xlfn.XLOOKUP($A24,IS!$A$1:$A$27,IS!F$1:F$27," ",0,1)) -1,"")</f>
        <v/>
      </c>
    </row>
    <row r="25">
      <c r="A25" s="1">
        <f>IS!A25</f>
        <v/>
      </c>
      <c r="B25" s="23">
        <f>IFERROR((_xlfn.XLOOKUP($A25,IS!$A$1:$A$27,IS!B$1:B$27," ",0,1)/_xlfn.XLOOKUP($A25,IS!$A$1:$A$27,IS!C$1:C$27," ",0,1)) -1,"")</f>
        <v/>
      </c>
      <c r="C25" s="23">
        <f>IFERROR((_xlfn.XLOOKUP($A25,IS!$A$1:$A$27,IS!C$1:C$27," ",0,1)/_xlfn.XLOOKUP($A25,IS!$A$1:$A$27,IS!D$1:D$27," ",0,1)) -1,"")</f>
        <v/>
      </c>
      <c r="D25" s="23">
        <f>IFERROR((_xlfn.XLOOKUP($A25,IS!$A$1:$A$27,IS!D$1:D$27," ",0,1)/_xlfn.XLOOKUP($A25,IS!$A$1:$A$27,IS!E$1:E$27," ",0,1)) -1,"")</f>
        <v/>
      </c>
      <c r="E25" s="23">
        <f>IFERROR((_xlfn.XLOOKUP($A25,IS!$A$1:$A$27,IS!E$1:E$27," ",0,1)/_xlfn.XLOOKUP($A25,IS!$A$1:$A$27,IS!F$1:F$27," ",0,1)) -1,"")</f>
        <v/>
      </c>
    </row>
    <row r="26">
      <c r="A26" s="1">
        <f>IS!A26</f>
        <v/>
      </c>
      <c r="B26" s="23">
        <f>IFERROR((_xlfn.XLOOKUP($A26,IS!$A$1:$A$27,IS!B$1:B$27," ",0,1)/_xlfn.XLOOKUP($A26,IS!$A$1:$A$27,IS!C$1:C$27," ",0,1)) -1,"")</f>
        <v/>
      </c>
      <c r="C26" s="23">
        <f>IFERROR((_xlfn.XLOOKUP($A26,IS!$A$1:$A$27,IS!C$1:C$27," ",0,1)/_xlfn.XLOOKUP($A26,IS!$A$1:$A$27,IS!D$1:D$27," ",0,1)) -1,"")</f>
        <v/>
      </c>
      <c r="D26" s="23">
        <f>IFERROR((_xlfn.XLOOKUP($A26,IS!$A$1:$A$27,IS!D$1:D$27," ",0,1)/_xlfn.XLOOKUP($A26,IS!$A$1:$A$27,IS!E$1:E$27," ",0,1)) -1,"")</f>
        <v/>
      </c>
      <c r="E26" s="23">
        <f>IFERROR((_xlfn.XLOOKUP($A26,IS!$A$1:$A$27,IS!E$1:E$27," ",0,1)/_xlfn.XLOOKUP($A26,IS!$A$1:$A$27,IS!F$1:F$27," ",0,1)) -1,"")</f>
        <v/>
      </c>
    </row>
    <row r="27">
      <c r="A27" s="1">
        <f>IS!A27</f>
        <v/>
      </c>
      <c r="B27" s="23">
        <f>IFERROR((_xlfn.XLOOKUP($A27,IS!$A$1:$A$27,IS!B$1:B$27," ",0,1)/_xlfn.XLOOKUP($A27,IS!$A$1:$A$27,IS!C$1:C$27," ",0,1)) -1,"")</f>
        <v/>
      </c>
      <c r="C27" s="23">
        <f>IFERROR((_xlfn.XLOOKUP($A27,IS!$A$1:$A$27,IS!C$1:C$27," ",0,1)/_xlfn.XLOOKUP($A27,IS!$A$1:$A$27,IS!D$1:D$27," ",0,1)) -1,"")</f>
        <v/>
      </c>
      <c r="D27" s="23">
        <f>IFERROR((_xlfn.XLOOKUP($A27,IS!$A$1:$A$27,IS!D$1:D$27," ",0,1)/_xlfn.XLOOKUP($A27,IS!$A$1:$A$27,IS!E$1:E$27," ",0,1)) -1,"")</f>
        <v/>
      </c>
      <c r="E27" s="23">
        <f>IFERROR((_xlfn.XLOOKUP($A27,IS!$A$1:$A$27,IS!E$1:E$27," ",0,1)/_xlfn.XLOOKUP($A27,IS!$A$1:$A$27,IS!F$1:F$27," ",0,1)) -1,"")</f>
        <v/>
      </c>
    </row>
    <row r="28">
      <c r="A28" s="1" t="n"/>
    </row>
    <row r="29">
      <c r="A29" s="1" t="n"/>
    </row>
  </sheetData>
  <sheetProtection selectLockedCells="0" selectUnlockedCells="0" sheet="1" objects="1" insertRows="0" insertHyperlinks="1" autoFilter="0" scenarios="1" formatColumns="0" deleteColumns="0" insertColumns="0" pivotTables="0" deleteRows="0" formatCells="0" formatRows="0" sort="0" password="AE3A"/>
  <mergeCells count="1">
    <mergeCell ref="B1:E1"/>
  </mergeCells>
  <conditionalFormatting sqref="B4:E27">
    <cfRule type="cellIs" priority="1" operator="lessThan" dxfId="1">
      <formula>0</formula>
    </cfRule>
    <cfRule type="cellIs" priority="2" operator="greaterThan" dxfId="0">
      <formula>0</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4.5"/>
  <cols>
    <col width="68.90625" customWidth="1" min="1" max="1"/>
    <col width="13.26953125" customWidth="1" min="2" max="2"/>
    <col width="13.7265625" customWidth="1" min="3" max="3"/>
    <col width="12.1796875" customWidth="1" min="4" max="4"/>
    <col width="13.1796875" customWidth="1" min="5" max="5"/>
    <col width="11.54296875" customWidth="1" min="6" max="6"/>
  </cols>
  <sheetData>
    <row r="1">
      <c r="A1" s="1">
        <f>BS!A1</f>
        <v/>
      </c>
    </row>
    <row r="2">
      <c r="A2" s="1">
        <f>BS!A2</f>
        <v/>
      </c>
      <c r="B2" s="1">
        <f>BS!B2</f>
        <v/>
      </c>
      <c r="C2" s="1">
        <f>BS!C2</f>
        <v/>
      </c>
      <c r="D2" s="1">
        <f>BS!D2</f>
        <v/>
      </c>
      <c r="E2" s="1">
        <f>BS!E2</f>
        <v/>
      </c>
      <c r="F2" s="1">
        <f>BS!F2</f>
        <v/>
      </c>
    </row>
    <row r="3">
      <c r="A3" s="1">
        <f>BS!A3</f>
        <v/>
      </c>
    </row>
    <row r="4" ht="16" customHeight="1">
      <c r="A4" s="1">
        <f>BS!A4</f>
        <v/>
      </c>
      <c r="B4" s="15">
        <f>IFERROR(_xlfn.XLOOKUP($A4,BS!$A$1:$A$36,BS!B$1:B$36,"",0,1)/_xlfn.XLOOKUP($A4,BS!$A$1:$A$36,BS!C$1:C$36,"",0,1)-1,"")</f>
        <v/>
      </c>
      <c r="C4" s="15">
        <f>IFERROR(_xlfn.XLOOKUP($A4,BS!$A$1:$A$36,BS!C$1:C$36,"",0,1)/_xlfn.XLOOKUP($A4,BS!$A$1:$A$36,BS!D$1:D$36,"",0,1)-1,"")</f>
        <v/>
      </c>
      <c r="D4" s="15">
        <f>IFERROR(_xlfn.XLOOKUP($A4,BS!$A$1:$A$36,BS!D$1:D$36,"",0,1)/_xlfn.XLOOKUP($A4,BS!$A$1:$A$36,BS!E$1:E$36,"",0,1)-1,"")</f>
        <v/>
      </c>
      <c r="E4" s="15">
        <f>IFERROR(_xlfn.XLOOKUP($A4,BS!$A$1:$A$36,BS!E$1:E$36,"",0,1)/_xlfn.XLOOKUP($A4,BS!$A$1:$A$36,BS!F$1:F$36,"",0,1)-1,"")</f>
        <v/>
      </c>
      <c r="F4" s="16" t="n"/>
    </row>
    <row r="5" ht="16" customHeight="1">
      <c r="A5" s="1">
        <f>BS!A5</f>
        <v/>
      </c>
      <c r="B5" s="15">
        <f>IFERROR(_xlfn.XLOOKUP($A5,BS!$A$1:$A$36,BS!B$1:B$36,"",0,1)/_xlfn.XLOOKUP($A5,BS!$A$1:$A$36,BS!C$1:C$36,"",0,1)-1,"")</f>
        <v/>
      </c>
      <c r="C5" s="15">
        <f>IFERROR(_xlfn.XLOOKUP($A5,BS!$A$1:$A$36,BS!C$1:C$36,"",0,1)/_xlfn.XLOOKUP($A5,BS!$A$1:$A$36,BS!D$1:D$36,"",0,1)-1,"")</f>
        <v/>
      </c>
      <c r="D5" s="15">
        <f>IFERROR(_xlfn.XLOOKUP($A5,BS!$A$1:$A$36,BS!D$1:D$36,"",0,1)/_xlfn.XLOOKUP($A5,BS!$A$1:$A$36,BS!E$1:E$36,"",0,1)-1,"")</f>
        <v/>
      </c>
      <c r="E5" s="15">
        <f>IFERROR(_xlfn.XLOOKUP($A5,BS!$A$1:$A$36,BS!E$1:E$36,"",0,1)/_xlfn.XLOOKUP($A5,BS!$A$1:$A$36,BS!F$1:F$36,"",0,1)-1,"")</f>
        <v/>
      </c>
    </row>
    <row r="6" ht="16" customHeight="1">
      <c r="A6" s="1">
        <f>BS!A6</f>
        <v/>
      </c>
      <c r="B6" s="15">
        <f>IFERROR(_xlfn.XLOOKUP($A6,BS!$A$1:$A$36,BS!B$1:B$36,"",0,1)/_xlfn.XLOOKUP($A6,BS!$A$1:$A$36,BS!C$1:C$36,"",0,1)-1,"")</f>
        <v/>
      </c>
      <c r="C6" s="15">
        <f>IFERROR(_xlfn.XLOOKUP($A6,BS!$A$1:$A$36,BS!C$1:C$36,"",0,1)/_xlfn.XLOOKUP($A6,BS!$A$1:$A$36,BS!D$1:D$36,"",0,1)-1,"")</f>
        <v/>
      </c>
      <c r="D6" s="15">
        <f>IFERROR(_xlfn.XLOOKUP($A6,BS!$A$1:$A$36,BS!D$1:D$36,"",0,1)/_xlfn.XLOOKUP($A6,BS!$A$1:$A$36,BS!E$1:E$36,"",0,1)-1,"")</f>
        <v/>
      </c>
      <c r="E6" s="15">
        <f>IFERROR(_xlfn.XLOOKUP($A6,BS!$A$1:$A$36,BS!E$1:E$36,"",0,1)/_xlfn.XLOOKUP($A6,BS!$A$1:$A$36,BS!F$1:F$36,"",0,1)-1,"")</f>
        <v/>
      </c>
    </row>
    <row r="7" ht="16" customHeight="1">
      <c r="A7" s="1">
        <f>BS!A7</f>
        <v/>
      </c>
      <c r="B7" s="15">
        <f>IFERROR(_xlfn.XLOOKUP($A7,BS!$A$1:$A$36,BS!B$1:B$36,"",0,1)/_xlfn.XLOOKUP($A7,BS!$A$1:$A$36,BS!C$1:C$36,"",0,1)-1,"")</f>
        <v/>
      </c>
      <c r="C7" s="15">
        <f>IFERROR(_xlfn.XLOOKUP($A7,BS!$A$1:$A$36,BS!C$1:C$36,"",0,1)/_xlfn.XLOOKUP($A7,BS!$A$1:$A$36,BS!D$1:D$36,"",0,1)-1,"")</f>
        <v/>
      </c>
      <c r="D7" s="15">
        <f>IFERROR(_xlfn.XLOOKUP($A7,BS!$A$1:$A$36,BS!D$1:D$36,"",0,1)/_xlfn.XLOOKUP($A7,BS!$A$1:$A$36,BS!E$1:E$36,"",0,1)-1,"")</f>
        <v/>
      </c>
      <c r="E7" s="15">
        <f>IFERROR(_xlfn.XLOOKUP($A7,BS!$A$1:$A$36,BS!E$1:E$36,"",0,1)/_xlfn.XLOOKUP($A7,BS!$A$1:$A$36,BS!F$1:F$36,"",0,1)-1,"")</f>
        <v/>
      </c>
    </row>
    <row r="8" ht="16" customHeight="1">
      <c r="A8" s="1">
        <f>BS!A8</f>
        <v/>
      </c>
      <c r="B8" s="15">
        <f>IFERROR(_xlfn.XLOOKUP($A8,BS!$A$1:$A$36,BS!B$1:B$36,"",0,1)/_xlfn.XLOOKUP($A8,BS!$A$1:$A$36,BS!C$1:C$36,"",0,1)-1,"")</f>
        <v/>
      </c>
      <c r="C8" s="15">
        <f>IFERROR(_xlfn.XLOOKUP($A8,BS!$A$1:$A$36,BS!C$1:C$36,"",0,1)/_xlfn.XLOOKUP($A8,BS!$A$1:$A$36,BS!D$1:D$36,"",0,1)-1,"")</f>
        <v/>
      </c>
      <c r="D8" s="15">
        <f>IFERROR(_xlfn.XLOOKUP($A8,BS!$A$1:$A$36,BS!D$1:D$36,"",0,1)/_xlfn.XLOOKUP($A8,BS!$A$1:$A$36,BS!E$1:E$36,"",0,1)-1,"")</f>
        <v/>
      </c>
      <c r="E8" s="15">
        <f>IFERROR(_xlfn.XLOOKUP($A8,BS!$A$1:$A$36,BS!E$1:E$36,"",0,1)/_xlfn.XLOOKUP($A8,BS!$A$1:$A$36,BS!F$1:F$36,"",0,1)-1,"")</f>
        <v/>
      </c>
    </row>
    <row r="9" ht="16" customHeight="1">
      <c r="A9" s="1">
        <f>BS!A9</f>
        <v/>
      </c>
      <c r="B9" s="15">
        <f>IFERROR(_xlfn.XLOOKUP($A9,BS!$A$1:$A$36,BS!B$1:B$36,"",0,1)/_xlfn.XLOOKUP($A9,BS!$A$1:$A$36,BS!C$1:C$36,"",0,1)-1,"")</f>
        <v/>
      </c>
      <c r="C9" s="15">
        <f>IFERROR(_xlfn.XLOOKUP($A9,BS!$A$1:$A$36,BS!C$1:C$36,"",0,1)/_xlfn.XLOOKUP($A9,BS!$A$1:$A$36,BS!D$1:D$36,"",0,1)-1,"")</f>
        <v/>
      </c>
      <c r="D9" s="15">
        <f>IFERROR(_xlfn.XLOOKUP($A9,BS!$A$1:$A$36,BS!D$1:D$36,"",0,1)/_xlfn.XLOOKUP($A9,BS!$A$1:$A$36,BS!E$1:E$36,"",0,1)-1,"")</f>
        <v/>
      </c>
      <c r="E9" s="15">
        <f>IFERROR(_xlfn.XLOOKUP($A9,BS!$A$1:$A$36,BS!E$1:E$36,"",0,1)/_xlfn.XLOOKUP($A9,BS!$A$1:$A$36,BS!F$1:F$36,"",0,1)-1,"")</f>
        <v/>
      </c>
    </row>
    <row r="10" ht="16" customHeight="1">
      <c r="A10" s="1">
        <f>BS!A10</f>
        <v/>
      </c>
      <c r="B10" s="15">
        <f>IFERROR(_xlfn.XLOOKUP($A10,BS!$A$1:$A$36,BS!B$1:B$36,"",0,1)/_xlfn.XLOOKUP($A10,BS!$A$1:$A$36,BS!C$1:C$36,"",0,1)-1,"")</f>
        <v/>
      </c>
      <c r="C10" s="15">
        <f>IFERROR(_xlfn.XLOOKUP($A10,BS!$A$1:$A$36,BS!C$1:C$36,"",0,1)/_xlfn.XLOOKUP($A10,BS!$A$1:$A$36,BS!D$1:D$36,"",0,1)-1,"")</f>
        <v/>
      </c>
      <c r="D10" s="15">
        <f>IFERROR(_xlfn.XLOOKUP($A10,BS!$A$1:$A$36,BS!D$1:D$36,"",0,1)/_xlfn.XLOOKUP($A10,BS!$A$1:$A$36,BS!E$1:E$36,"",0,1)-1,"")</f>
        <v/>
      </c>
      <c r="E10" s="15">
        <f>IFERROR(_xlfn.XLOOKUP($A10,BS!$A$1:$A$36,BS!E$1:E$36,"",0,1)/_xlfn.XLOOKUP($A10,BS!$A$1:$A$36,BS!F$1:F$36,"",0,1)-1,"")</f>
        <v/>
      </c>
    </row>
    <row r="11" ht="16" customHeight="1">
      <c r="A11" s="1">
        <f>BS!A11</f>
        <v/>
      </c>
      <c r="B11" s="15">
        <f>IFERROR(_xlfn.XLOOKUP($A11,BS!$A$1:$A$36,BS!B$1:B$36,"",0,1)/_xlfn.XLOOKUP($A11,BS!$A$1:$A$36,BS!C$1:C$36,"",0,1)-1,"")</f>
        <v/>
      </c>
      <c r="C11" s="15">
        <f>IFERROR(_xlfn.XLOOKUP($A11,BS!$A$1:$A$36,BS!C$1:C$36,"",0,1)/_xlfn.XLOOKUP($A11,BS!$A$1:$A$36,BS!D$1:D$36,"",0,1)-1,"")</f>
        <v/>
      </c>
      <c r="D11" s="15">
        <f>IFERROR(_xlfn.XLOOKUP($A11,BS!$A$1:$A$36,BS!D$1:D$36,"",0,1)/_xlfn.XLOOKUP($A11,BS!$A$1:$A$36,BS!E$1:E$36,"",0,1)-1,"")</f>
        <v/>
      </c>
      <c r="E11" s="15">
        <f>IFERROR(_xlfn.XLOOKUP($A11,BS!$A$1:$A$36,BS!E$1:E$36,"",0,1)/_xlfn.XLOOKUP($A11,BS!$A$1:$A$36,BS!F$1:F$36,"",0,1)-1,"")</f>
        <v/>
      </c>
    </row>
    <row r="12" ht="16" customHeight="1">
      <c r="A12" s="1">
        <f>BS!A12</f>
        <v/>
      </c>
      <c r="B12" s="15">
        <f>IFERROR(_xlfn.XLOOKUP($A12,BS!$A$1:$A$36,BS!B$1:B$36,"",0,1)/_xlfn.XLOOKUP($A12,BS!$A$1:$A$36,BS!C$1:C$36,"",0,1)-1,"")</f>
        <v/>
      </c>
      <c r="C12" s="15">
        <f>IFERROR(_xlfn.XLOOKUP($A12,BS!$A$1:$A$36,BS!C$1:C$36,"",0,1)/_xlfn.XLOOKUP($A12,BS!$A$1:$A$36,BS!D$1:D$36,"",0,1)-1,"")</f>
        <v/>
      </c>
      <c r="D12" s="15">
        <f>IFERROR(_xlfn.XLOOKUP($A12,BS!$A$1:$A$36,BS!D$1:D$36,"",0,1)/_xlfn.XLOOKUP($A12,BS!$A$1:$A$36,BS!E$1:E$36,"",0,1)-1,"")</f>
        <v/>
      </c>
      <c r="E12" s="15">
        <f>IFERROR(_xlfn.XLOOKUP($A12,BS!$A$1:$A$36,BS!E$1:E$36,"",0,1)/_xlfn.XLOOKUP($A12,BS!$A$1:$A$36,BS!F$1:F$36,"",0,1)-1,"")</f>
        <v/>
      </c>
    </row>
    <row r="13" ht="16" customHeight="1">
      <c r="A13" s="1">
        <f>BS!A13</f>
        <v/>
      </c>
      <c r="B13" s="15">
        <f>IFERROR(_xlfn.XLOOKUP($A13,BS!$A$1:$A$36,BS!B$1:B$36,"",0,1)/_xlfn.XLOOKUP($A13,BS!$A$1:$A$36,BS!C$1:C$36,"",0,1)-1,"")</f>
        <v/>
      </c>
      <c r="C13" s="15">
        <f>IFERROR(_xlfn.XLOOKUP($A13,BS!$A$1:$A$36,BS!C$1:C$36,"",0,1)/_xlfn.XLOOKUP($A13,BS!$A$1:$A$36,BS!D$1:D$36,"",0,1)-1,"")</f>
        <v/>
      </c>
      <c r="D13" s="15">
        <f>IFERROR(_xlfn.XLOOKUP($A13,BS!$A$1:$A$36,BS!D$1:D$36,"",0,1)/_xlfn.XLOOKUP($A13,BS!$A$1:$A$36,BS!E$1:E$36,"",0,1)-1,"")</f>
        <v/>
      </c>
      <c r="E13" s="15">
        <f>IFERROR(_xlfn.XLOOKUP($A13,BS!$A$1:$A$36,BS!E$1:E$36,"",0,1)/_xlfn.XLOOKUP($A13,BS!$A$1:$A$36,BS!F$1:F$36,"",0,1)-1,"")</f>
        <v/>
      </c>
    </row>
    <row r="14" ht="16" customHeight="1">
      <c r="A14" s="1">
        <f>BS!A14</f>
        <v/>
      </c>
      <c r="B14" s="15">
        <f>IFERROR(_xlfn.XLOOKUP($A14,BS!$A$1:$A$36,BS!B$1:B$36,"",0,1)/_xlfn.XLOOKUP($A14,BS!$A$1:$A$36,BS!C$1:C$36,"",0,1)-1,"")</f>
        <v/>
      </c>
      <c r="C14" s="15">
        <f>IFERROR(_xlfn.XLOOKUP($A14,BS!$A$1:$A$36,BS!C$1:C$36,"",0,1)/_xlfn.XLOOKUP($A14,BS!$A$1:$A$36,BS!D$1:D$36,"",0,1)-1,"")</f>
        <v/>
      </c>
      <c r="D14" s="15">
        <f>IFERROR(_xlfn.XLOOKUP($A14,BS!$A$1:$A$36,BS!D$1:D$36,"",0,1)/_xlfn.XLOOKUP($A14,BS!$A$1:$A$36,BS!E$1:E$36,"",0,1)-1,"")</f>
        <v/>
      </c>
      <c r="E14" s="15">
        <f>IFERROR(_xlfn.XLOOKUP($A14,BS!$A$1:$A$36,BS!E$1:E$36,"",0,1)/_xlfn.XLOOKUP($A14,BS!$A$1:$A$36,BS!F$1:F$36,"",0,1)-1,"")</f>
        <v/>
      </c>
    </row>
    <row r="15" ht="16" customHeight="1">
      <c r="A15" s="1">
        <f>BS!A15</f>
        <v/>
      </c>
      <c r="B15" s="15">
        <f>IFERROR(_xlfn.XLOOKUP($A15,BS!$A$1:$A$36,BS!B$1:B$36,"",0,1)/_xlfn.XLOOKUP($A15,BS!$A$1:$A$36,BS!C$1:C$36,"",0,1)-1,"")</f>
        <v/>
      </c>
      <c r="C15" s="15">
        <f>IFERROR(_xlfn.XLOOKUP($A15,BS!$A$1:$A$36,BS!C$1:C$36,"",0,1)/_xlfn.XLOOKUP($A15,BS!$A$1:$A$36,BS!D$1:D$36,"",0,1)-1,"")</f>
        <v/>
      </c>
      <c r="D15" s="15">
        <f>IFERROR(_xlfn.XLOOKUP($A15,BS!$A$1:$A$36,BS!D$1:D$36,"",0,1)/_xlfn.XLOOKUP($A15,BS!$A$1:$A$36,BS!E$1:E$36,"",0,1)-1,"")</f>
        <v/>
      </c>
      <c r="E15" s="15">
        <f>IFERROR(_xlfn.XLOOKUP($A15,BS!$A$1:$A$36,BS!E$1:E$36,"",0,1)/_xlfn.XLOOKUP($A15,BS!$A$1:$A$36,BS!F$1:F$36,"",0,1)-1,"")</f>
        <v/>
      </c>
    </row>
    <row r="16" ht="16" customHeight="1">
      <c r="A16" s="1">
        <f>BS!A16</f>
        <v/>
      </c>
      <c r="B16" s="15">
        <f>IFERROR(_xlfn.XLOOKUP($A16,BS!$A$1:$A$36,BS!B$1:B$36,"",0,1)/_xlfn.XLOOKUP($A16,BS!$A$1:$A$36,BS!C$1:C$36,"",0,1)-1,"")</f>
        <v/>
      </c>
      <c r="C16" s="15">
        <f>IFERROR(_xlfn.XLOOKUP($A16,BS!$A$1:$A$36,BS!C$1:C$36,"",0,1)/_xlfn.XLOOKUP($A16,BS!$A$1:$A$36,BS!D$1:D$36,"",0,1)-1,"")</f>
        <v/>
      </c>
      <c r="D16" s="15">
        <f>IFERROR(_xlfn.XLOOKUP($A16,BS!$A$1:$A$36,BS!D$1:D$36,"",0,1)/_xlfn.XLOOKUP($A16,BS!$A$1:$A$36,BS!E$1:E$36,"",0,1)-1,"")</f>
        <v/>
      </c>
      <c r="E16" s="15">
        <f>IFERROR(_xlfn.XLOOKUP($A16,BS!$A$1:$A$36,BS!E$1:E$36,"",0,1)/_xlfn.XLOOKUP($A16,BS!$A$1:$A$36,BS!F$1:F$36,"",0,1)-1,"")</f>
        <v/>
      </c>
    </row>
    <row r="17" ht="16" customHeight="1">
      <c r="A17" s="1">
        <f>BS!A17</f>
        <v/>
      </c>
      <c r="B17" s="15">
        <f>IFERROR(_xlfn.XLOOKUP($A17,BS!$A$1:$A$36,BS!B$1:B$36,"",0,1)/_xlfn.XLOOKUP($A17,BS!$A$1:$A$36,BS!C$1:C$36,"",0,1)-1,"")</f>
        <v/>
      </c>
      <c r="C17" s="15">
        <f>IFERROR(_xlfn.XLOOKUP($A17,BS!$A$1:$A$36,BS!C$1:C$36,"",0,1)/_xlfn.XLOOKUP($A17,BS!$A$1:$A$36,BS!D$1:D$36,"",0,1)-1,"")</f>
        <v/>
      </c>
      <c r="D17" s="15">
        <f>IFERROR(_xlfn.XLOOKUP($A17,BS!$A$1:$A$36,BS!D$1:D$36,"",0,1)/_xlfn.XLOOKUP($A17,BS!$A$1:$A$36,BS!E$1:E$36,"",0,1)-1,"")</f>
        <v/>
      </c>
      <c r="E17" s="15">
        <f>IFERROR(_xlfn.XLOOKUP($A17,BS!$A$1:$A$36,BS!E$1:E$36,"",0,1)/_xlfn.XLOOKUP($A17,BS!$A$1:$A$36,BS!F$1:F$36,"",0,1)-1,"")</f>
        <v/>
      </c>
    </row>
    <row r="18" ht="16" customHeight="1">
      <c r="A18" s="1">
        <f>BS!A18</f>
        <v/>
      </c>
      <c r="B18" s="15">
        <f>IFERROR(_xlfn.XLOOKUP($A18,BS!$A$1:$A$36,BS!B$1:B$36,"",0,1)/_xlfn.XLOOKUP($A18,BS!$A$1:$A$36,BS!C$1:C$36,"",0,1)-1,"")</f>
        <v/>
      </c>
      <c r="C18" s="15">
        <f>IFERROR(_xlfn.XLOOKUP($A18,BS!$A$1:$A$36,BS!C$1:C$36,"",0,1)/_xlfn.XLOOKUP($A18,BS!$A$1:$A$36,BS!D$1:D$36,"",0,1)-1,"")</f>
        <v/>
      </c>
      <c r="D18" s="15">
        <f>IFERROR(_xlfn.XLOOKUP($A18,BS!$A$1:$A$36,BS!D$1:D$36,"",0,1)/_xlfn.XLOOKUP($A18,BS!$A$1:$A$36,BS!E$1:E$36,"",0,1)-1,"")</f>
        <v/>
      </c>
      <c r="E18" s="15">
        <f>IFERROR(_xlfn.XLOOKUP($A18,BS!$A$1:$A$36,BS!E$1:E$36,"",0,1)/_xlfn.XLOOKUP($A18,BS!$A$1:$A$36,BS!F$1:F$36,"",0,1)-1,"")</f>
        <v/>
      </c>
    </row>
    <row r="19" ht="16" customHeight="1">
      <c r="A19" s="1">
        <f>BS!A19</f>
        <v/>
      </c>
      <c r="B19" s="15">
        <f>IFERROR(_xlfn.XLOOKUP($A19,BS!$A$1:$A$36,BS!B$1:B$36,"",0,1)/_xlfn.XLOOKUP($A19,BS!$A$1:$A$36,BS!C$1:C$36,"",0,1)-1,"")</f>
        <v/>
      </c>
      <c r="C19" s="15">
        <f>IFERROR(_xlfn.XLOOKUP($A19,BS!$A$1:$A$36,BS!C$1:C$36,"",0,1)/_xlfn.XLOOKUP($A19,BS!$A$1:$A$36,BS!D$1:D$36,"",0,1)-1,"")</f>
        <v/>
      </c>
      <c r="D19" s="15">
        <f>IFERROR(_xlfn.XLOOKUP($A19,BS!$A$1:$A$36,BS!D$1:D$36,"",0,1)/_xlfn.XLOOKUP($A19,BS!$A$1:$A$36,BS!E$1:E$36,"",0,1)-1,"")</f>
        <v/>
      </c>
      <c r="E19" s="15">
        <f>IFERROR(_xlfn.XLOOKUP($A19,BS!$A$1:$A$36,BS!E$1:E$36,"",0,1)/_xlfn.XLOOKUP($A19,BS!$A$1:$A$36,BS!F$1:F$36,"",0,1)-1,"")</f>
        <v/>
      </c>
    </row>
    <row r="20" ht="16" customHeight="1">
      <c r="A20" s="1">
        <f>BS!A20</f>
        <v/>
      </c>
      <c r="B20" s="15">
        <f>IFERROR(_xlfn.XLOOKUP($A20,BS!$A$1:$A$36,BS!B$1:B$36,"",0,1)/_xlfn.XLOOKUP($A20,BS!$A$1:$A$36,BS!C$1:C$36,"",0,1)-1,"")</f>
        <v/>
      </c>
      <c r="C20" s="15">
        <f>IFERROR(_xlfn.XLOOKUP($A20,BS!$A$1:$A$36,BS!C$1:C$36,"",0,1)/_xlfn.XLOOKUP($A20,BS!$A$1:$A$36,BS!D$1:D$36,"",0,1)-1,"")</f>
        <v/>
      </c>
      <c r="D20" s="15">
        <f>IFERROR(_xlfn.XLOOKUP($A20,BS!$A$1:$A$36,BS!D$1:D$36,"",0,1)/_xlfn.XLOOKUP($A20,BS!$A$1:$A$36,BS!E$1:E$36,"",0,1)-1,"")</f>
        <v/>
      </c>
      <c r="E20" s="15">
        <f>IFERROR(_xlfn.XLOOKUP($A20,BS!$A$1:$A$36,BS!E$1:E$36,"",0,1)/_xlfn.XLOOKUP($A20,BS!$A$1:$A$36,BS!F$1:F$36,"",0,1)-1,"")</f>
        <v/>
      </c>
    </row>
    <row r="21" ht="16" customHeight="1">
      <c r="A21" s="1" t="n"/>
      <c r="B21" s="15">
        <f>IFERROR(_xlfn.XLOOKUP($A21,BS!$A$1:$A$36,BS!B$1:B$36,"",0,1)/_xlfn.XLOOKUP($A21,BS!$A$1:$A$36,BS!C$1:C$36,"",0,1)-1,"")</f>
        <v/>
      </c>
      <c r="C21" s="15">
        <f>IFERROR(_xlfn.XLOOKUP($A21,BS!$A$1:$A$36,BS!C$1:C$36,"",0,1)/_xlfn.XLOOKUP($A21,BS!$A$1:$A$36,BS!D$1:D$36,"",0,1)-1,"")</f>
        <v/>
      </c>
      <c r="D21" s="15">
        <f>IFERROR(_xlfn.XLOOKUP($A21,BS!$A$1:$A$36,BS!D$1:D$36,"",0,1)/_xlfn.XLOOKUP($A21,BS!$A$1:$A$36,BS!E$1:E$36,"",0,1)-1,"")</f>
        <v/>
      </c>
      <c r="E21" s="15">
        <f>IFERROR(_xlfn.XLOOKUP($A21,BS!$A$1:$A$36,BS!E$1:E$36,"",0,1)/_xlfn.XLOOKUP($A21,BS!$A$1:$A$36,BS!F$1:F$36,"",0,1)-1,"")</f>
        <v/>
      </c>
    </row>
    <row r="22" ht="16" customHeight="1">
      <c r="A22" s="1">
        <f>BS!A22</f>
        <v/>
      </c>
      <c r="B22" s="15">
        <f>IFERROR(_xlfn.XLOOKUP($A22,BS!$A$1:$A$36,BS!B$1:B$36,"",0,1)/_xlfn.XLOOKUP($A22,BS!$A$1:$A$36,BS!C$1:C$36,"",0,1)-1,"")</f>
        <v/>
      </c>
      <c r="C22" s="15">
        <f>IFERROR(_xlfn.XLOOKUP($A22,BS!$A$1:$A$36,BS!C$1:C$36,"",0,1)/_xlfn.XLOOKUP($A22,BS!$A$1:$A$36,BS!D$1:D$36,"",0,1)-1,"")</f>
        <v/>
      </c>
      <c r="D22" s="15">
        <f>IFERROR(_xlfn.XLOOKUP($A22,BS!$A$1:$A$36,BS!D$1:D$36,"",0,1)/_xlfn.XLOOKUP($A22,BS!$A$1:$A$36,BS!E$1:E$36,"",0,1)-1,"")</f>
        <v/>
      </c>
      <c r="E22" s="15">
        <f>IFERROR(_xlfn.XLOOKUP($A22,BS!$A$1:$A$36,BS!E$1:E$36,"",0,1)/_xlfn.XLOOKUP($A22,BS!$A$1:$A$36,BS!F$1:F$36,"",0,1)-1,"")</f>
        <v/>
      </c>
    </row>
    <row r="23" ht="16" customHeight="1">
      <c r="A23" s="1">
        <f>BS!A23</f>
        <v/>
      </c>
      <c r="B23" s="15">
        <f>IFERROR(_xlfn.XLOOKUP($A23,BS!$A$1:$A$36,BS!B$1:B$36,"",0,1)/_xlfn.XLOOKUP($A23,BS!$A$1:$A$36,BS!C$1:C$36,"",0,1)-1,"")</f>
        <v/>
      </c>
      <c r="C23" s="15">
        <f>IFERROR(_xlfn.XLOOKUP($A23,BS!$A$1:$A$36,BS!C$1:C$36,"",0,1)/_xlfn.XLOOKUP($A23,BS!$A$1:$A$36,BS!D$1:D$36,"",0,1)-1,"")</f>
        <v/>
      </c>
      <c r="D23" s="15">
        <f>IFERROR(_xlfn.XLOOKUP($A23,BS!$A$1:$A$36,BS!D$1:D$36,"",0,1)/_xlfn.XLOOKUP($A23,BS!$A$1:$A$36,BS!E$1:E$36,"",0,1)-1,"")</f>
        <v/>
      </c>
      <c r="E23" s="15">
        <f>IFERROR(_xlfn.XLOOKUP($A23,BS!$A$1:$A$36,BS!E$1:E$36,"",0,1)/_xlfn.XLOOKUP($A23,BS!$A$1:$A$36,BS!F$1:F$36,"",0,1)-1,"")</f>
        <v/>
      </c>
    </row>
    <row r="24" ht="16" customHeight="1">
      <c r="A24" s="1">
        <f>BS!A24</f>
        <v/>
      </c>
      <c r="B24" s="15">
        <f>IFERROR(_xlfn.XLOOKUP($A24,BS!$A$1:$A$36,BS!B$1:B$36,"",0,1)/_xlfn.XLOOKUP($A24,BS!$A$1:$A$36,BS!C$1:C$36,"",0,1)-1,"")</f>
        <v/>
      </c>
      <c r="C24" s="15">
        <f>IFERROR(_xlfn.XLOOKUP($A24,BS!$A$1:$A$36,BS!C$1:C$36,"",0,1)/_xlfn.XLOOKUP($A24,BS!$A$1:$A$36,BS!D$1:D$36,"",0,1)-1,"")</f>
        <v/>
      </c>
      <c r="D24" s="15">
        <f>IFERROR(_xlfn.XLOOKUP($A24,BS!$A$1:$A$36,BS!D$1:D$36,"",0,1)/_xlfn.XLOOKUP($A24,BS!$A$1:$A$36,BS!E$1:E$36,"",0,1)-1,"")</f>
        <v/>
      </c>
      <c r="E24" s="15">
        <f>IFERROR(_xlfn.XLOOKUP($A24,BS!$A$1:$A$36,BS!E$1:E$36,"",0,1)/_xlfn.XLOOKUP($A24,BS!$A$1:$A$36,BS!F$1:F$36,"",0,1)-1,"")</f>
        <v/>
      </c>
    </row>
    <row r="25" ht="16" customHeight="1">
      <c r="A25" s="1">
        <f>BS!A25</f>
        <v/>
      </c>
      <c r="B25" s="15">
        <f>IFERROR(_xlfn.XLOOKUP($A25,BS!$A$1:$A$36,BS!B$1:B$36,"",0,1)/_xlfn.XLOOKUP($A25,BS!$A$1:$A$36,BS!C$1:C$36,"",0,1)-1,"")</f>
        <v/>
      </c>
      <c r="C25" s="15">
        <f>IFERROR(_xlfn.XLOOKUP($A25,BS!$A$1:$A$36,BS!C$1:C$36,"",0,1)/_xlfn.XLOOKUP($A25,BS!$A$1:$A$36,BS!D$1:D$36,"",0,1)-1,"")</f>
        <v/>
      </c>
      <c r="D25" s="15">
        <f>IFERROR(_xlfn.XLOOKUP($A25,BS!$A$1:$A$36,BS!D$1:D$36,"",0,1)/_xlfn.XLOOKUP($A25,BS!$A$1:$A$36,BS!E$1:E$36,"",0,1)-1,"")</f>
        <v/>
      </c>
      <c r="E25" s="15">
        <f>IFERROR(_xlfn.XLOOKUP($A25,BS!$A$1:$A$36,BS!E$1:E$36,"",0,1)/_xlfn.XLOOKUP($A25,BS!$A$1:$A$36,BS!F$1:F$36,"",0,1)-1,"")</f>
        <v/>
      </c>
    </row>
    <row r="26" ht="16" customHeight="1">
      <c r="A26" s="1">
        <f>BS!A26</f>
        <v/>
      </c>
      <c r="B26" s="15">
        <f>IFERROR(_xlfn.XLOOKUP($A26,BS!$A$1:$A$36,BS!B$1:B$36,"",0,1)/_xlfn.XLOOKUP($A26,BS!$A$1:$A$36,BS!C$1:C$36,"",0,1)-1,"")</f>
        <v/>
      </c>
      <c r="C26" s="15">
        <f>IFERROR(_xlfn.XLOOKUP($A26,BS!$A$1:$A$36,BS!C$1:C$36,"",0,1)/_xlfn.XLOOKUP($A26,BS!$A$1:$A$36,BS!D$1:D$36,"",0,1)-1,"")</f>
        <v/>
      </c>
      <c r="D26" s="15">
        <f>IFERROR(_xlfn.XLOOKUP($A26,BS!$A$1:$A$36,BS!D$1:D$36,"",0,1)/_xlfn.XLOOKUP($A26,BS!$A$1:$A$36,BS!E$1:E$36,"",0,1)-1,"")</f>
        <v/>
      </c>
      <c r="E26" s="15">
        <f>IFERROR(_xlfn.XLOOKUP($A26,BS!$A$1:$A$36,BS!E$1:E$36,"",0,1)/_xlfn.XLOOKUP($A26,BS!$A$1:$A$36,BS!F$1:F$36,"",0,1)-1,"")</f>
        <v/>
      </c>
    </row>
    <row r="27" ht="16" customHeight="1">
      <c r="A27" s="1">
        <f>BS!A27</f>
        <v/>
      </c>
      <c r="B27" s="15">
        <f>IFERROR(_xlfn.XLOOKUP($A27,BS!$A$1:$A$36,BS!B$1:B$36,"",0,1)/_xlfn.XLOOKUP($A27,BS!$A$1:$A$36,BS!C$1:C$36,"",0,1)-1,"")</f>
        <v/>
      </c>
      <c r="C27" s="15">
        <f>IFERROR(_xlfn.XLOOKUP($A27,BS!$A$1:$A$36,BS!C$1:C$36,"",0,1)/_xlfn.XLOOKUP($A27,BS!$A$1:$A$36,BS!D$1:D$36,"",0,1)-1,"")</f>
        <v/>
      </c>
      <c r="D27" s="15">
        <f>IFERROR(_xlfn.XLOOKUP($A27,BS!$A$1:$A$36,BS!D$1:D$36,"",0,1)/_xlfn.XLOOKUP($A27,BS!$A$1:$A$36,BS!E$1:E$36,"",0,1)-1,"")</f>
        <v/>
      </c>
      <c r="E27" s="15">
        <f>IFERROR(_xlfn.XLOOKUP($A27,BS!$A$1:$A$36,BS!E$1:E$36,"",0,1)/_xlfn.XLOOKUP($A27,BS!$A$1:$A$36,BS!F$1:F$36,"",0,1)-1,"")</f>
        <v/>
      </c>
    </row>
    <row r="28" ht="16" customHeight="1">
      <c r="A28" s="1">
        <f>BS!A28</f>
        <v/>
      </c>
      <c r="B28" s="15">
        <f>IFERROR(_xlfn.XLOOKUP($A28,BS!$A$1:$A$36,BS!B$1:B$36,"",0,1)/_xlfn.XLOOKUP($A28,BS!$A$1:$A$36,BS!C$1:C$36,"",0,1)-1,"")</f>
        <v/>
      </c>
      <c r="C28" s="15">
        <f>IFERROR(_xlfn.XLOOKUP($A28,BS!$A$1:$A$36,BS!C$1:C$36,"",0,1)/_xlfn.XLOOKUP($A28,BS!$A$1:$A$36,BS!D$1:D$36,"",0,1)-1,"")</f>
        <v/>
      </c>
      <c r="D28" s="15">
        <f>IFERROR(_xlfn.XLOOKUP($A28,BS!$A$1:$A$36,BS!D$1:D$36,"",0,1)/_xlfn.XLOOKUP($A28,BS!$A$1:$A$36,BS!E$1:E$36,"",0,1)-1,"")</f>
        <v/>
      </c>
      <c r="E28" s="15">
        <f>IFERROR(_xlfn.XLOOKUP($A28,BS!$A$1:$A$36,BS!E$1:E$36,"",0,1)/_xlfn.XLOOKUP($A28,BS!$A$1:$A$36,BS!F$1:F$36,"",0,1)-1,"")</f>
        <v/>
      </c>
    </row>
    <row r="29" ht="16" customHeight="1">
      <c r="A29" s="1">
        <f>BS!A29</f>
        <v/>
      </c>
      <c r="B29" s="15">
        <f>IFERROR(_xlfn.XLOOKUP($A29,BS!$A$1:$A$36,BS!B$1:B$36,"",0,1)/_xlfn.XLOOKUP($A29,BS!$A$1:$A$36,BS!C$1:C$36,"",0,1)-1,"")</f>
        <v/>
      </c>
      <c r="C29" s="15">
        <f>IFERROR(_xlfn.XLOOKUP($A29,BS!$A$1:$A$36,BS!C$1:C$36,"",0,1)/_xlfn.XLOOKUP($A29,BS!$A$1:$A$36,BS!D$1:D$36,"",0,1)-1,"")</f>
        <v/>
      </c>
      <c r="D29" s="15">
        <f>IFERROR(_xlfn.XLOOKUP($A29,BS!$A$1:$A$36,BS!D$1:D$36,"",0,1)/_xlfn.XLOOKUP($A29,BS!$A$1:$A$36,BS!E$1:E$36,"",0,1)-1,"")</f>
        <v/>
      </c>
      <c r="E29" s="15">
        <f>IFERROR(_xlfn.XLOOKUP($A29,BS!$A$1:$A$36,BS!E$1:E$36,"",0,1)/_xlfn.XLOOKUP($A29,BS!$A$1:$A$36,BS!F$1:F$36,"",0,1)-1,"")</f>
        <v/>
      </c>
    </row>
    <row r="30" ht="16" customHeight="1">
      <c r="A30" s="1">
        <f>BS!A30</f>
        <v/>
      </c>
      <c r="B30" s="15">
        <f>IFERROR(_xlfn.XLOOKUP($A30,BS!$A$1:$A$36,BS!B$1:B$36,"",0,1)/_xlfn.XLOOKUP($A30,BS!$A$1:$A$36,BS!C$1:C$36,"",0,1)-1,"")</f>
        <v/>
      </c>
      <c r="C30" s="15">
        <f>IFERROR(_xlfn.XLOOKUP($A30,BS!$A$1:$A$36,BS!C$1:C$36,"",0,1)/_xlfn.XLOOKUP($A30,BS!$A$1:$A$36,BS!D$1:D$36,"",0,1)-1,"")</f>
        <v/>
      </c>
      <c r="D30" s="15">
        <f>IFERROR(_xlfn.XLOOKUP($A30,BS!$A$1:$A$36,BS!D$1:D$36,"",0,1)/_xlfn.XLOOKUP($A30,BS!$A$1:$A$36,BS!E$1:E$36,"",0,1)-1,"")</f>
        <v/>
      </c>
      <c r="E30" s="15">
        <f>IFERROR(_xlfn.XLOOKUP($A30,BS!$A$1:$A$36,BS!E$1:E$36,"",0,1)/_xlfn.XLOOKUP($A30,BS!$A$1:$A$36,BS!F$1:F$36,"",0,1)-1,"")</f>
        <v/>
      </c>
    </row>
    <row r="31" ht="16" customHeight="1">
      <c r="A31" s="1">
        <f>BS!A31</f>
        <v/>
      </c>
      <c r="B31" s="15">
        <f>IFERROR(_xlfn.XLOOKUP($A31,BS!$A$1:$A$36,BS!B$1:B$36,"",0,1)/_xlfn.XLOOKUP($A31,BS!$A$1:$A$36,BS!C$1:C$36,"",0,1)-1,"")</f>
        <v/>
      </c>
      <c r="C31" s="15">
        <f>IFERROR(_xlfn.XLOOKUP($A31,BS!$A$1:$A$36,BS!C$1:C$36,"",0,1)/_xlfn.XLOOKUP($A31,BS!$A$1:$A$36,BS!D$1:D$36,"",0,1)-1,"")</f>
        <v/>
      </c>
      <c r="D31" s="15">
        <f>IFERROR(_xlfn.XLOOKUP($A31,BS!$A$1:$A$36,BS!D$1:D$36,"",0,1)/_xlfn.XLOOKUP($A31,BS!$A$1:$A$36,BS!E$1:E$36,"",0,1)-1,"")</f>
        <v/>
      </c>
      <c r="E31" s="15">
        <f>IFERROR(_xlfn.XLOOKUP($A31,BS!$A$1:$A$36,BS!E$1:E$36,"",0,1)/_xlfn.XLOOKUP($A31,BS!$A$1:$A$36,BS!F$1:F$36,"",0,1)-1,"")</f>
        <v/>
      </c>
    </row>
    <row r="32" ht="16" customHeight="1">
      <c r="A32" s="1">
        <f>BS!A32</f>
        <v/>
      </c>
      <c r="B32" s="15">
        <f>IFERROR(_xlfn.XLOOKUP($A32,BS!$A$1:$A$36,BS!B$1:B$36,"",0,1)/_xlfn.XLOOKUP($A32,BS!$A$1:$A$36,BS!C$1:C$36,"",0,1)-1,"")</f>
        <v/>
      </c>
      <c r="C32" s="15">
        <f>IFERROR(_xlfn.XLOOKUP($A32,BS!$A$1:$A$36,BS!C$1:C$36,"",0,1)/_xlfn.XLOOKUP($A32,BS!$A$1:$A$36,BS!D$1:D$36,"",0,1)-1,"")</f>
        <v/>
      </c>
      <c r="D32" s="15">
        <f>IFERROR(_xlfn.XLOOKUP($A32,BS!$A$1:$A$36,BS!D$1:D$36,"",0,1)/_xlfn.XLOOKUP($A32,BS!$A$1:$A$36,BS!E$1:E$36,"",0,1)-1,"")</f>
        <v/>
      </c>
      <c r="E32" s="15">
        <f>IFERROR(_xlfn.XLOOKUP($A32,BS!$A$1:$A$36,BS!E$1:E$36,"",0,1)/_xlfn.XLOOKUP($A32,BS!$A$1:$A$36,BS!F$1:F$36,"",0,1)-1,"")</f>
        <v/>
      </c>
    </row>
    <row r="33" ht="16" customHeight="1">
      <c r="A33" s="1">
        <f>BS!A33</f>
        <v/>
      </c>
      <c r="B33" s="15">
        <f>IFERROR(_xlfn.XLOOKUP($A33,BS!$A$1:$A$36,BS!B$1:B$36,"",0,1)/_xlfn.XLOOKUP($A33,BS!$A$1:$A$36,BS!C$1:C$36,"",0,1)-1,"")</f>
        <v/>
      </c>
      <c r="C33" s="15">
        <f>IFERROR(_xlfn.XLOOKUP($A33,BS!$A$1:$A$36,BS!C$1:C$36,"",0,1)/_xlfn.XLOOKUP($A33,BS!$A$1:$A$36,BS!D$1:D$36,"",0,1)-1,"")</f>
        <v/>
      </c>
      <c r="D33" s="15">
        <f>IFERROR(_xlfn.XLOOKUP($A33,BS!$A$1:$A$36,BS!D$1:D$36,"",0,1)/_xlfn.XLOOKUP($A33,BS!$A$1:$A$36,BS!E$1:E$36,"",0,1)-1,"")</f>
        <v/>
      </c>
      <c r="E33" s="15">
        <f>IFERROR(_xlfn.XLOOKUP($A33,BS!$A$1:$A$36,BS!E$1:E$36,"",0,1)/_xlfn.XLOOKUP($A33,BS!$A$1:$A$36,BS!F$1:F$36,"",0,1)-1,"")</f>
        <v/>
      </c>
    </row>
    <row r="34" ht="16" customHeight="1">
      <c r="A34" s="1">
        <f>BS!A34</f>
        <v/>
      </c>
      <c r="B34" s="15">
        <f>IFERROR(_xlfn.XLOOKUP($A34,BS!$A$1:$A$36,BS!B$1:B$36,"",0,1)/_xlfn.XLOOKUP($A34,BS!$A$1:$A$36,BS!C$1:C$36,"",0,1)-1,"")</f>
        <v/>
      </c>
      <c r="C34" s="15">
        <f>IFERROR(_xlfn.XLOOKUP($A34,BS!$A$1:$A$36,BS!C$1:C$36,"",0,1)/_xlfn.XLOOKUP($A34,BS!$A$1:$A$36,BS!D$1:D$36,"",0,1)-1,"")</f>
        <v/>
      </c>
      <c r="D34" s="15">
        <f>IFERROR(_xlfn.XLOOKUP($A34,BS!$A$1:$A$36,BS!D$1:D$36,"",0,1)/_xlfn.XLOOKUP($A34,BS!$A$1:$A$36,BS!E$1:E$36,"",0,1)-1,"")</f>
        <v/>
      </c>
      <c r="E34" s="15">
        <f>IFERROR(_xlfn.XLOOKUP($A34,BS!$A$1:$A$36,BS!E$1:E$36,"",0,1)/_xlfn.XLOOKUP($A34,BS!$A$1:$A$36,BS!F$1:F$36,"",0,1)-1,"")</f>
        <v/>
      </c>
    </row>
    <row r="35" ht="16" customHeight="1">
      <c r="A35" s="1">
        <f>BS!A35</f>
        <v/>
      </c>
      <c r="B35" s="15">
        <f>IFERROR(_xlfn.XLOOKUP($A35,BS!$A$1:$A$36,BS!B$1:B$36,"",0,1)/_xlfn.XLOOKUP($A35,BS!$A$1:$A$36,BS!C$1:C$36,"",0,1)-1,"")</f>
        <v/>
      </c>
      <c r="C35" s="15">
        <f>IFERROR(_xlfn.XLOOKUP($A35,BS!$A$1:$A$36,BS!C$1:C$36,"",0,1)/_xlfn.XLOOKUP($A35,BS!$A$1:$A$36,BS!D$1:D$36,"",0,1)-1,"")</f>
        <v/>
      </c>
      <c r="D35" s="15">
        <f>IFERROR(_xlfn.XLOOKUP($A35,BS!$A$1:$A$36,BS!D$1:D$36,"",0,1)/_xlfn.XLOOKUP($A35,BS!$A$1:$A$36,BS!E$1:E$36,"",0,1)-1,"")</f>
        <v/>
      </c>
      <c r="E35" s="15">
        <f>IFERROR(_xlfn.XLOOKUP($A35,BS!$A$1:$A$36,BS!E$1:E$36,"",0,1)/_xlfn.XLOOKUP($A35,BS!$A$1:$A$36,BS!F$1:F$36,"",0,1)-1,"")</f>
        <v/>
      </c>
    </row>
    <row r="36" ht="16" customHeight="1">
      <c r="A36" s="1">
        <f>BS!A36</f>
        <v/>
      </c>
      <c r="B36" s="15">
        <f>IFERROR(_xlfn.XLOOKUP($A36,BS!$A$1:$A$36,BS!B$1:B$36,"",0,1)/_xlfn.XLOOKUP($A36,BS!$A$1:$A$36,BS!C$1:C$36,"",0,1)-1,"")</f>
        <v/>
      </c>
      <c r="C36" s="15">
        <f>IFERROR(_xlfn.XLOOKUP($A36,BS!$A$1:$A$36,BS!C$1:C$36,"",0,1)/_xlfn.XLOOKUP($A36,BS!$A$1:$A$36,BS!D$1:D$36,"",0,1)-1,"")</f>
        <v/>
      </c>
      <c r="D36" s="15">
        <f>IFERROR(_xlfn.XLOOKUP($A36,BS!$A$1:$A$36,BS!D$1:D$36,"",0,1)/_xlfn.XLOOKUP($A36,BS!$A$1:$A$36,BS!E$1:E$36,"",0,1)-1,"")</f>
        <v/>
      </c>
      <c r="E36" s="15">
        <f>IFERROR(_xlfn.XLOOKUP($A36,BS!$A$1:$A$36,BS!E$1:E$36,"",0,1)/_xlfn.XLOOKUP($A36,BS!$A$1:$A$36,BS!F$1:F$36,"",0,1)-1,"")</f>
        <v/>
      </c>
    </row>
    <row r="37" ht="16" customHeight="1">
      <c r="A37" s="1" t="n"/>
      <c r="B37" s="15" t="n"/>
      <c r="C37" s="15" t="n"/>
      <c r="D37" s="15" t="n"/>
      <c r="E37" s="15" t="n"/>
    </row>
    <row r="38" ht="16" customHeight="1">
      <c r="A38" s="1" t="n"/>
      <c r="B38" s="15" t="n"/>
      <c r="C38" s="15" t="n"/>
      <c r="D38" s="15" t="n"/>
      <c r="E38" s="15" t="n"/>
    </row>
    <row r="39" ht="16" customHeight="1">
      <c r="A39" s="1" t="n"/>
      <c r="B39" s="15" t="n"/>
      <c r="C39" s="15" t="n"/>
      <c r="D39" s="15" t="n"/>
      <c r="E39" s="15" t="n"/>
    </row>
    <row r="40" ht="16" customHeight="1">
      <c r="A40" s="1" t="n"/>
      <c r="B40" s="15" t="n"/>
      <c r="C40" s="15" t="n"/>
      <c r="D40" s="15" t="n"/>
      <c r="E40" s="15" t="n"/>
    </row>
    <row r="41" ht="16" customHeight="1">
      <c r="A41" s="1" t="n"/>
      <c r="B41" s="15" t="n"/>
      <c r="C41" s="15" t="n"/>
      <c r="D41" s="15" t="n"/>
      <c r="E41" s="15" t="n"/>
    </row>
    <row r="42" ht="16" customHeight="1">
      <c r="A42" s="1" t="n"/>
      <c r="B42" s="15" t="n"/>
      <c r="C42" s="15" t="n"/>
      <c r="D42" s="15" t="n"/>
      <c r="E42" s="15" t="n"/>
    </row>
    <row r="43" ht="16" customHeight="1">
      <c r="A43" s="1" t="n"/>
      <c r="B43" s="15" t="n"/>
      <c r="C43" s="15" t="n"/>
      <c r="D43" s="15" t="n"/>
      <c r="E43" s="15" t="n"/>
    </row>
    <row r="44" ht="16" customHeight="1">
      <c r="A44" s="1" t="n"/>
      <c r="B44" s="15" t="n"/>
      <c r="C44" s="15" t="n"/>
      <c r="D44" s="15" t="n"/>
      <c r="E44" s="15" t="n"/>
    </row>
    <row r="45" ht="16" customHeight="1">
      <c r="A45" s="1" t="n"/>
      <c r="B45" s="15" t="n"/>
      <c r="C45" s="15" t="n"/>
      <c r="D45" s="15" t="n"/>
      <c r="E45" s="15" t="n"/>
    </row>
    <row r="46" ht="16" customHeight="1">
      <c r="A46" s="1" t="n"/>
      <c r="B46" s="15" t="n"/>
      <c r="C46" s="15" t="n"/>
      <c r="D46" s="15" t="n"/>
      <c r="E46" s="15" t="n"/>
    </row>
    <row r="47" ht="16" customHeight="1">
      <c r="A47" s="1" t="n"/>
      <c r="B47" s="15" t="n"/>
      <c r="C47" s="15" t="n"/>
      <c r="D47" s="15" t="n"/>
      <c r="E47" s="15" t="n"/>
    </row>
    <row r="48" ht="16" customHeight="1">
      <c r="A48" s="1" t="n"/>
      <c r="B48" s="15" t="n"/>
      <c r="C48" s="15" t="n"/>
      <c r="D48" s="15" t="n"/>
      <c r="E48" s="15" t="n"/>
    </row>
    <row r="49" ht="16" customHeight="1">
      <c r="A49" s="1" t="n"/>
      <c r="B49" s="15" t="n"/>
      <c r="C49" s="15" t="n"/>
      <c r="D49" s="15" t="n"/>
      <c r="E49" s="15" t="n"/>
    </row>
    <row r="50">
      <c r="A50" s="1" t="n"/>
    </row>
    <row r="51">
      <c r="A51" s="1" t="n"/>
    </row>
    <row r="52">
      <c r="A52" s="1" t="n"/>
    </row>
    <row r="53">
      <c r="A53" s="1" t="n"/>
    </row>
    <row r="54">
      <c r="A54" s="1" t="n"/>
    </row>
    <row r="55">
      <c r="A55" s="1" t="n"/>
    </row>
    <row r="56">
      <c r="A56" s="1" t="n"/>
    </row>
    <row r="57">
      <c r="A57" s="1" t="n"/>
    </row>
    <row r="58">
      <c r="A58" s="1" t="n"/>
    </row>
    <row r="59">
      <c r="A59" s="1" t="n"/>
    </row>
  </sheetData>
  <sheetProtection selectLockedCells="0" selectUnlockedCells="0" sheet="1" objects="1" insertRows="0" insertHyperlinks="1" autoFilter="0" scenarios="1" formatColumns="0" deleteColumns="0" insertColumns="0" pivotTables="0" deleteRows="0" formatCells="0" formatRows="0" sort="0" password="AE3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27"/>
  <sheetViews>
    <sheetView topLeftCell="A4" zoomScale="130" zoomScaleNormal="130" workbookViewId="0">
      <selection activeCell="B14" sqref="B14"/>
    </sheetView>
  </sheetViews>
  <sheetFormatPr baseColWidth="8" defaultRowHeight="14.5"/>
  <cols>
    <col width="57" customWidth="1" min="1" max="1"/>
    <col width="9.36328125" bestFit="1" customWidth="1" min="2" max="6"/>
  </cols>
  <sheetData>
    <row r="1">
      <c r="A1" s="1">
        <f>IS!A1</f>
        <v/>
      </c>
    </row>
    <row r="2">
      <c r="A2" s="1">
        <f>IS!A2</f>
        <v/>
      </c>
      <c r="B2" s="1">
        <f>IS!B2</f>
        <v/>
      </c>
      <c r="C2" s="1">
        <f>IS!C2</f>
        <v/>
      </c>
      <c r="D2" s="1">
        <f>IS!D2</f>
        <v/>
      </c>
      <c r="E2" s="1">
        <f>IS!E2</f>
        <v/>
      </c>
      <c r="F2" s="1">
        <f>IS!F2</f>
        <v/>
      </c>
    </row>
    <row r="3">
      <c r="A3">
        <f>IS!A3</f>
        <v/>
      </c>
    </row>
    <row r="4" ht="16" customHeight="1">
      <c r="A4">
        <f>IS!A4</f>
        <v/>
      </c>
      <c r="B4" s="15">
        <f>_xlfn.XLOOKUP($A4,IS!$A$2:$A$28,IS!B$2:B$28," ",0,1)/_xlfn.XLOOKUP($A$6,IS!$A$2:$A$28,IS!B$2:B$28," ",0,1)</f>
        <v/>
      </c>
      <c r="C4" s="15">
        <f>_xlfn.XLOOKUP($A4,IS!$A$2:$A$28,IS!C$2:C$28," ",0,1)/_xlfn.XLOOKUP($A$6,IS!$A$2:$A$28,IS!C$2:C$28," ",0,1)</f>
        <v/>
      </c>
      <c r="D4" s="15">
        <f>_xlfn.XLOOKUP($A4,IS!$A$2:$A$28,IS!D$2:D$28," ",0,1)/_xlfn.XLOOKUP($A$6,IS!$A$2:$A$28,IS!D$2:D$28," ",0,1)</f>
        <v/>
      </c>
      <c r="E4" s="15">
        <f>_xlfn.XLOOKUP($A4,IS!$A$2:$A$28,IS!E$2:E$28," ",0,1)/_xlfn.XLOOKUP($A$6,IS!$A$2:$A$28,IS!E$2:E$28," ",0,1)</f>
        <v/>
      </c>
      <c r="F4" s="15">
        <f>_xlfn.XLOOKUP($A4,IS!$A$2:$A$28,IS!F$2:F$28," ",0,1)/_xlfn.XLOOKUP($A$6,IS!$A$2:$A$28,IS!F$2:F$28," ",0,1)</f>
        <v/>
      </c>
    </row>
    <row r="5" ht="16" customHeight="1">
      <c r="A5">
        <f>IS!A5</f>
        <v/>
      </c>
      <c r="B5" s="15">
        <f>_xlfn.XLOOKUP($A5,IS!$A$2:$A$28,IS!B$2:B$28," ",0,1)/_xlfn.XLOOKUP($A$6,IS!$A$2:$A$28,IS!B$2:B$28," ",0,1)</f>
        <v/>
      </c>
      <c r="C5" s="15">
        <f>_xlfn.XLOOKUP($A5,IS!$A$2:$A$28,IS!C$2:C$28," ",0,1)/_xlfn.XLOOKUP($A$6,IS!$A$2:$A$28,IS!C$2:C$28," ",0,1)</f>
        <v/>
      </c>
      <c r="D5" s="15">
        <f>_xlfn.XLOOKUP($A5,IS!$A$2:$A$28,IS!D$2:D$28," ",0,1)/_xlfn.XLOOKUP($A$6,IS!$A$2:$A$28,IS!D$2:D$28," ",0,1)</f>
        <v/>
      </c>
      <c r="E5" s="15">
        <f>_xlfn.XLOOKUP($A5,IS!$A$2:$A$28,IS!E$2:E$28," ",0,1)/_xlfn.XLOOKUP($A$6,IS!$A$2:$A$28,IS!E$2:E$28," ",0,1)</f>
        <v/>
      </c>
      <c r="F5" s="15">
        <f>_xlfn.XLOOKUP($A5,IS!$A$2:$A$28,IS!F$2:F$28," ",0,1)/_xlfn.XLOOKUP($A$6,IS!$A$2:$A$28,IS!F$2:F$28," ",0,1)</f>
        <v/>
      </c>
    </row>
    <row r="6" ht="16" customHeight="1">
      <c r="A6" s="17">
        <f>IS!A6</f>
        <v/>
      </c>
      <c r="B6" s="18">
        <f>_xlfn.XLOOKUP($A6,IS!$A$2:$A$28,IS!B$2:B$28," ",0,1)/_xlfn.XLOOKUP($A$6,IS!$A$2:$A$28,IS!B$2:B$28," ",0,1)</f>
        <v/>
      </c>
      <c r="C6" s="18">
        <f>_xlfn.XLOOKUP($A6,IS!$A$2:$A$28,IS!C$2:C$28," ",0,1)/_xlfn.XLOOKUP($A$6,IS!$A$2:$A$28,IS!C$2:C$28," ",0,1)</f>
        <v/>
      </c>
      <c r="D6" s="18">
        <f>_xlfn.XLOOKUP($A6,IS!$A$2:$A$28,IS!D$2:D$28," ",0,1)/_xlfn.XLOOKUP($A$6,IS!$A$2:$A$28,IS!D$2:D$28," ",0,1)</f>
        <v/>
      </c>
      <c r="E6" s="18">
        <f>_xlfn.XLOOKUP($A6,IS!$A$2:$A$28,IS!E$2:E$28," ",0,1)/_xlfn.XLOOKUP($A$6,IS!$A$2:$A$28,IS!E$2:E$28," ",0,1)</f>
        <v/>
      </c>
      <c r="F6" s="18">
        <f>_xlfn.XLOOKUP($A6,IS!$A$2:$A$28,IS!F$2:F$28," ",0,1)/_xlfn.XLOOKUP($A$6,IS!$A$2:$A$28,IS!F$2:F$28," ",0,1)</f>
        <v/>
      </c>
    </row>
    <row r="7" ht="16" customHeight="1">
      <c r="A7">
        <f>IS!A7</f>
        <v/>
      </c>
      <c r="B7" s="15">
        <f>_xlfn.XLOOKUP($A7,IS!$A$2:$A$28,IS!B$2:B$28," ",0,1)/_xlfn.XLOOKUP($A$6,IS!$A$2:$A$28,IS!B$2:B$28," ",0,1)</f>
        <v/>
      </c>
      <c r="C7" s="15">
        <f>_xlfn.XLOOKUP($A7,IS!$A$2:$A$28,IS!C$2:C$28," ",0,1)/_xlfn.XLOOKUP($A$6,IS!$A$2:$A$28,IS!C$2:C$28," ",0,1)</f>
        <v/>
      </c>
      <c r="D7" s="15">
        <f>_xlfn.XLOOKUP($A7,IS!$A$2:$A$28,IS!D$2:D$28," ",0,1)/_xlfn.XLOOKUP($A$6,IS!$A$2:$A$28,IS!D$2:D$28," ",0,1)</f>
        <v/>
      </c>
      <c r="E7" s="15">
        <f>_xlfn.XLOOKUP($A7,IS!$A$2:$A$28,IS!E$2:E$28," ",0,1)/_xlfn.XLOOKUP($A$6,IS!$A$2:$A$28,IS!E$2:E$28," ",0,1)</f>
        <v/>
      </c>
      <c r="F7" s="15">
        <f>_xlfn.XLOOKUP($A7,IS!$A$2:$A$28,IS!F$2:F$28," ",0,1)/_xlfn.XLOOKUP($A$6,IS!$A$2:$A$28,IS!F$2:F$28," ",0,1)</f>
        <v/>
      </c>
    </row>
    <row r="8" ht="16" customHeight="1">
      <c r="A8">
        <f>IS!A8</f>
        <v/>
      </c>
      <c r="B8" s="15">
        <f>_xlfn.XLOOKUP($A8,IS!$A$2:$A$28,IS!B$2:B$28," ",0,1)/_xlfn.XLOOKUP($A$6,IS!$A$2:$A$28,IS!B$2:B$28," ",0,1)</f>
        <v/>
      </c>
      <c r="C8" s="15">
        <f>_xlfn.XLOOKUP($A8,IS!$A$2:$A$28,IS!C$2:C$28," ",0,1)/_xlfn.XLOOKUP($A$6,IS!$A$2:$A$28,IS!C$2:C$28," ",0,1)</f>
        <v/>
      </c>
      <c r="D8" s="15">
        <f>_xlfn.XLOOKUP($A8,IS!$A$2:$A$28,IS!D$2:D$28," ",0,1)/_xlfn.XLOOKUP($A$6,IS!$A$2:$A$28,IS!D$2:D$28," ",0,1)</f>
        <v/>
      </c>
      <c r="E8" s="15">
        <f>_xlfn.XLOOKUP($A8,IS!$A$2:$A$28,IS!E$2:E$28," ",0,1)/_xlfn.XLOOKUP($A$6,IS!$A$2:$A$28,IS!E$2:E$28," ",0,1)</f>
        <v/>
      </c>
      <c r="F8" s="15">
        <f>_xlfn.XLOOKUP($A8,IS!$A$2:$A$28,IS!F$2:F$28," ",0,1)/_xlfn.XLOOKUP($A$6,IS!$A$2:$A$28,IS!F$2:F$28," ",0,1)</f>
        <v/>
      </c>
    </row>
    <row r="9" ht="16" customHeight="1">
      <c r="A9">
        <f>IS!A9</f>
        <v/>
      </c>
      <c r="B9" s="15">
        <f>_xlfn.XLOOKUP($A9,IS!$A$2:$A$28,IS!B$2:B$28," ",0,1)/_xlfn.XLOOKUP($A$6,IS!$A$2:$A$28,IS!B$2:B$28," ",0,1)</f>
        <v/>
      </c>
      <c r="C9" s="15">
        <f>_xlfn.XLOOKUP($A9,IS!$A$2:$A$28,IS!C$2:C$28," ",0,1)/_xlfn.XLOOKUP($A$6,IS!$A$2:$A$28,IS!C$2:C$28," ",0,1)</f>
        <v/>
      </c>
      <c r="D9" s="15">
        <f>_xlfn.XLOOKUP($A9,IS!$A$2:$A$28,IS!D$2:D$28," ",0,1)/_xlfn.XLOOKUP($A$6,IS!$A$2:$A$28,IS!D$2:D$28," ",0,1)</f>
        <v/>
      </c>
      <c r="E9" s="15">
        <f>_xlfn.XLOOKUP($A9,IS!$A$2:$A$28,IS!E$2:E$28," ",0,1)/_xlfn.XLOOKUP($A$6,IS!$A$2:$A$28,IS!E$2:E$28," ",0,1)</f>
        <v/>
      </c>
      <c r="F9" s="15">
        <f>_xlfn.XLOOKUP($A9,IS!$A$2:$A$28,IS!F$2:F$28," ",0,1)/_xlfn.XLOOKUP($A$6,IS!$A$2:$A$28,IS!F$2:F$28," ",0,1)</f>
        <v/>
      </c>
    </row>
    <row r="10" ht="16" customHeight="1">
      <c r="A10">
        <f>IS!A10</f>
        <v/>
      </c>
      <c r="B10" s="15">
        <f>_xlfn.XLOOKUP($A10,IS!$A$2:$A$28,IS!B$2:B$28," ",0,1)/_xlfn.XLOOKUP($A$6,IS!$A$2:$A$28,IS!B$2:B$28," ",0,1)</f>
        <v/>
      </c>
      <c r="C10" s="15">
        <f>_xlfn.XLOOKUP($A10,IS!$A$2:$A$28,IS!C$2:C$28," ",0,1)/_xlfn.XLOOKUP($A$6,IS!$A$2:$A$28,IS!C$2:C$28," ",0,1)</f>
        <v/>
      </c>
      <c r="D10" s="15">
        <f>_xlfn.XLOOKUP($A10,IS!$A$2:$A$28,IS!D$2:D$28," ",0,1)/_xlfn.XLOOKUP($A$6,IS!$A$2:$A$28,IS!D$2:D$28," ",0,1)</f>
        <v/>
      </c>
      <c r="E10" s="15">
        <f>_xlfn.XLOOKUP($A10,IS!$A$2:$A$28,IS!E$2:E$28," ",0,1)/_xlfn.XLOOKUP($A$6,IS!$A$2:$A$28,IS!E$2:E$28," ",0,1)</f>
        <v/>
      </c>
      <c r="F10" s="15">
        <f>_xlfn.XLOOKUP($A10,IS!$A$2:$A$28,IS!F$2:F$28," ",0,1)/_xlfn.XLOOKUP($A$6,IS!$A$2:$A$28,IS!F$2:F$28," ",0,1)</f>
        <v/>
      </c>
    </row>
    <row r="11" ht="16" customHeight="1">
      <c r="A11">
        <f>IS!A11</f>
        <v/>
      </c>
      <c r="B11" s="15">
        <f>_xlfn.XLOOKUP($A11,IS!$A$2:$A$28,IS!B$2:B$28," ",0,1)/_xlfn.XLOOKUP($A$6,IS!$A$2:$A$28,IS!B$2:B$28," ",0,1)</f>
        <v/>
      </c>
      <c r="C11" s="15">
        <f>_xlfn.XLOOKUP($A11,IS!$A$2:$A$28,IS!C$2:C$28," ",0,1)/_xlfn.XLOOKUP($A$6,IS!$A$2:$A$28,IS!C$2:C$28," ",0,1)</f>
        <v/>
      </c>
      <c r="D11" s="15">
        <f>_xlfn.XLOOKUP($A11,IS!$A$2:$A$28,IS!D$2:D$28," ",0,1)/_xlfn.XLOOKUP($A$6,IS!$A$2:$A$28,IS!D$2:D$28," ",0,1)</f>
        <v/>
      </c>
      <c r="E11" s="15">
        <f>_xlfn.XLOOKUP($A11,IS!$A$2:$A$28,IS!E$2:E$28," ",0,1)/_xlfn.XLOOKUP($A$6,IS!$A$2:$A$28,IS!E$2:E$28," ",0,1)</f>
        <v/>
      </c>
      <c r="F11" s="15">
        <f>_xlfn.XLOOKUP($A11,IS!$A$2:$A$28,IS!F$2:F$28," ",0,1)/_xlfn.XLOOKUP($A$6,IS!$A$2:$A$28,IS!F$2:F$28," ",0,1)</f>
        <v/>
      </c>
    </row>
    <row r="12" ht="16" customHeight="1">
      <c r="A12">
        <f>IS!A12</f>
        <v/>
      </c>
      <c r="B12" s="15">
        <f>_xlfn.XLOOKUP($A12,IS!$A$2:$A$28,IS!B$2:B$28," ",0,1)/_xlfn.XLOOKUP($A$6,IS!$A$2:$A$28,IS!B$2:B$28," ",0,1)</f>
        <v/>
      </c>
      <c r="C12" s="15">
        <f>_xlfn.XLOOKUP($A12,IS!$A$2:$A$28,IS!C$2:C$28," ",0,1)/_xlfn.XLOOKUP($A$6,IS!$A$2:$A$28,IS!C$2:C$28," ",0,1)</f>
        <v/>
      </c>
      <c r="D12" s="15">
        <f>_xlfn.XLOOKUP($A12,IS!$A$2:$A$28,IS!D$2:D$28," ",0,1)/_xlfn.XLOOKUP($A$6,IS!$A$2:$A$28,IS!D$2:D$28," ",0,1)</f>
        <v/>
      </c>
      <c r="E12" s="15">
        <f>_xlfn.XLOOKUP($A12,IS!$A$2:$A$28,IS!E$2:E$28," ",0,1)/_xlfn.XLOOKUP($A$6,IS!$A$2:$A$28,IS!E$2:E$28," ",0,1)</f>
        <v/>
      </c>
      <c r="F12" s="15">
        <f>_xlfn.XLOOKUP($A12,IS!$A$2:$A$28,IS!F$2:F$28," ",0,1)/_xlfn.XLOOKUP($A$6,IS!$A$2:$A$28,IS!F$2:F$28," ",0,1)</f>
        <v/>
      </c>
    </row>
    <row r="13" ht="16" customHeight="1">
      <c r="A13">
        <f>IS!A13</f>
        <v/>
      </c>
      <c r="B13" s="15">
        <f>_xlfn.XLOOKUP($A13,IS!$A$2:$A$28,IS!B$2:B$28," ",0,1)/_xlfn.XLOOKUP($A$6,IS!$A$2:$A$28,IS!B$2:B$28," ",0,1)</f>
        <v/>
      </c>
      <c r="C13" s="15">
        <f>_xlfn.XLOOKUP($A13,IS!$A$2:$A$28,IS!C$2:C$28," ",0,1)/_xlfn.XLOOKUP($A$6,IS!$A$2:$A$28,IS!C$2:C$28," ",0,1)</f>
        <v/>
      </c>
      <c r="D13" s="15">
        <f>_xlfn.XLOOKUP($A13,IS!$A$2:$A$28,IS!D$2:D$28," ",0,1)/_xlfn.XLOOKUP($A$6,IS!$A$2:$A$28,IS!D$2:D$28," ",0,1)</f>
        <v/>
      </c>
      <c r="E13" s="15">
        <f>_xlfn.XLOOKUP($A13,IS!$A$2:$A$28,IS!E$2:E$28," ",0,1)/_xlfn.XLOOKUP($A$6,IS!$A$2:$A$28,IS!E$2:E$28," ",0,1)</f>
        <v/>
      </c>
      <c r="F13" s="15">
        <f>_xlfn.XLOOKUP($A13,IS!$A$2:$A$28,IS!F$2:F$28," ",0,1)/_xlfn.XLOOKUP($A$6,IS!$A$2:$A$28,IS!F$2:F$28," ",0,1)</f>
        <v/>
      </c>
    </row>
    <row r="14" ht="16" customHeight="1">
      <c r="A14">
        <f>IS!A14</f>
        <v/>
      </c>
      <c r="B14" s="15">
        <f>_xlfn.XLOOKUP($A14,IS!$A$2:$A$28,IS!B$2:B$28," ",0,1)/_xlfn.XLOOKUP($A$6,IS!$A$2:$A$28,IS!B$2:B$28," ",0,1)</f>
        <v/>
      </c>
      <c r="C14" s="15">
        <f>_xlfn.XLOOKUP($A14,IS!$A$2:$A$28,IS!C$2:C$28," ",0,1)/_xlfn.XLOOKUP($A$6,IS!$A$2:$A$28,IS!C$2:C$28," ",0,1)</f>
        <v/>
      </c>
      <c r="D14" s="15">
        <f>_xlfn.XLOOKUP($A14,IS!$A$2:$A$28,IS!D$2:D$28," ",0,1)/_xlfn.XLOOKUP($A$6,IS!$A$2:$A$28,IS!D$2:D$28," ",0,1)</f>
        <v/>
      </c>
      <c r="E14" s="15">
        <f>_xlfn.XLOOKUP($A14,IS!$A$2:$A$28,IS!E$2:E$28," ",0,1)/_xlfn.XLOOKUP($A$6,IS!$A$2:$A$28,IS!E$2:E$28," ",0,1)</f>
        <v/>
      </c>
      <c r="F14" s="15">
        <f>_xlfn.XLOOKUP($A14,IS!$A$2:$A$28,IS!F$2:F$28," ",0,1)/_xlfn.XLOOKUP($A$6,IS!$A$2:$A$28,IS!F$2:F$28," ",0,1)</f>
        <v/>
      </c>
    </row>
    <row r="15" ht="16" customHeight="1">
      <c r="A15">
        <f>IS!A15</f>
        <v/>
      </c>
      <c r="B15" s="15">
        <f>_xlfn.XLOOKUP($A15,IS!$A$2:$A$28,IS!B$2:B$28," ",0,1)/_xlfn.XLOOKUP($A$6,IS!$A$2:$A$28,IS!B$2:B$28," ",0,1)</f>
        <v/>
      </c>
      <c r="C15" s="15">
        <f>_xlfn.XLOOKUP($A15,IS!$A$2:$A$28,IS!C$2:C$28," ",0,1)/_xlfn.XLOOKUP($A$6,IS!$A$2:$A$28,IS!C$2:C$28," ",0,1)</f>
        <v/>
      </c>
      <c r="D15" s="15">
        <f>_xlfn.XLOOKUP($A15,IS!$A$2:$A$28,IS!D$2:D$28," ",0,1)/_xlfn.XLOOKUP($A$6,IS!$A$2:$A$28,IS!D$2:D$28," ",0,1)</f>
        <v/>
      </c>
      <c r="E15" s="15">
        <f>_xlfn.XLOOKUP($A15,IS!$A$2:$A$28,IS!E$2:E$28," ",0,1)/_xlfn.XLOOKUP($A$6,IS!$A$2:$A$28,IS!E$2:E$28," ",0,1)</f>
        <v/>
      </c>
      <c r="F15" s="15">
        <f>_xlfn.XLOOKUP($A15,IS!$A$2:$A$28,IS!F$2:F$28," ",0,1)/_xlfn.XLOOKUP($A$6,IS!$A$2:$A$28,IS!F$2:F$28," ",0,1)</f>
        <v/>
      </c>
    </row>
    <row r="16" ht="16" customHeight="1">
      <c r="A16">
        <f>IS!A16</f>
        <v/>
      </c>
      <c r="B16" s="15">
        <f>_xlfn.XLOOKUP($A16,IS!$A$2:$A$28,IS!B$2:B$28," ",0,1)/_xlfn.XLOOKUP($A$6,IS!$A$2:$A$28,IS!B$2:B$28," ",0,1)</f>
        <v/>
      </c>
      <c r="C16" s="15">
        <f>_xlfn.XLOOKUP($A16,IS!$A$2:$A$28,IS!C$2:C$28," ",0,1)/_xlfn.XLOOKUP($A$6,IS!$A$2:$A$28,IS!C$2:C$28," ",0,1)</f>
        <v/>
      </c>
      <c r="D16" s="15">
        <f>_xlfn.XLOOKUP($A16,IS!$A$2:$A$28,IS!D$2:D$28," ",0,1)/_xlfn.XLOOKUP($A$6,IS!$A$2:$A$28,IS!D$2:D$28," ",0,1)</f>
        <v/>
      </c>
      <c r="E16" s="15">
        <f>_xlfn.XLOOKUP($A16,IS!$A$2:$A$28,IS!E$2:E$28," ",0,1)/_xlfn.XLOOKUP($A$6,IS!$A$2:$A$28,IS!E$2:E$28," ",0,1)</f>
        <v/>
      </c>
      <c r="F16" s="15">
        <f>_xlfn.XLOOKUP($A16,IS!$A$2:$A$28,IS!F$2:F$28," ",0,1)/_xlfn.XLOOKUP($A$6,IS!$A$2:$A$28,IS!F$2:F$28," ",0,1)</f>
        <v/>
      </c>
    </row>
    <row r="17" ht="16" customHeight="1">
      <c r="A17">
        <f>IS!A17</f>
        <v/>
      </c>
      <c r="B17" s="15">
        <f>_xlfn.XLOOKUP($A17,IS!$A$2:$A$28,IS!B$2:B$28," ",0,1)/_xlfn.XLOOKUP($A$6,IS!$A$2:$A$28,IS!B$2:B$28," ",0,1)</f>
        <v/>
      </c>
      <c r="C17" s="15">
        <f>_xlfn.XLOOKUP($A17,IS!$A$2:$A$28,IS!C$2:C$28," ",0,1)/_xlfn.XLOOKUP($A$6,IS!$A$2:$A$28,IS!C$2:C$28," ",0,1)</f>
        <v/>
      </c>
      <c r="D17" s="15">
        <f>_xlfn.XLOOKUP($A17,IS!$A$2:$A$28,IS!D$2:D$28," ",0,1)/_xlfn.XLOOKUP($A$6,IS!$A$2:$A$28,IS!D$2:D$28," ",0,1)</f>
        <v/>
      </c>
      <c r="E17" s="15">
        <f>_xlfn.XLOOKUP($A17,IS!$A$2:$A$28,IS!E$2:E$28," ",0,1)/_xlfn.XLOOKUP($A$6,IS!$A$2:$A$28,IS!E$2:E$28," ",0,1)</f>
        <v/>
      </c>
      <c r="F17" s="15">
        <f>_xlfn.XLOOKUP($A17,IS!$A$2:$A$28,IS!F$2:F$28," ",0,1)/_xlfn.XLOOKUP($A$6,IS!$A$2:$A$28,IS!F$2:F$28," ",0,1)</f>
        <v/>
      </c>
    </row>
    <row r="18" ht="16" customHeight="1">
      <c r="A18">
        <f>IS!A18</f>
        <v/>
      </c>
      <c r="B18" s="15">
        <f>_xlfn.XLOOKUP($A18,IS!$A$2:$A$28,IS!B$2:B$28," ",0,1)/_xlfn.XLOOKUP($A$6,IS!$A$2:$A$28,IS!B$2:B$28," ",0,1)</f>
        <v/>
      </c>
      <c r="C18" s="15">
        <f>_xlfn.XLOOKUP($A18,IS!$A$2:$A$28,IS!C$2:C$28," ",0,1)/_xlfn.XLOOKUP($A$6,IS!$A$2:$A$28,IS!C$2:C$28," ",0,1)</f>
        <v/>
      </c>
      <c r="D18" s="15">
        <f>_xlfn.XLOOKUP($A18,IS!$A$2:$A$28,IS!D$2:D$28," ",0,1)/_xlfn.XLOOKUP($A$6,IS!$A$2:$A$28,IS!D$2:D$28," ",0,1)</f>
        <v/>
      </c>
      <c r="E18" s="15">
        <f>_xlfn.XLOOKUP($A18,IS!$A$2:$A$28,IS!E$2:E$28," ",0,1)/_xlfn.XLOOKUP($A$6,IS!$A$2:$A$28,IS!E$2:E$28," ",0,1)</f>
        <v/>
      </c>
      <c r="F18" s="15">
        <f>_xlfn.XLOOKUP($A18,IS!$A$2:$A$28,IS!F$2:F$28," ",0,1)/_xlfn.XLOOKUP($A$6,IS!$A$2:$A$28,IS!F$2:F$28," ",0,1)</f>
        <v/>
      </c>
    </row>
    <row r="19" ht="16" customHeight="1">
      <c r="A19">
        <f>IS!A19</f>
        <v/>
      </c>
      <c r="B19" s="15">
        <f>_xlfn.XLOOKUP($A19,IS!$A$2:$A$28,IS!B$2:B$28," ",0,1)/_xlfn.XLOOKUP($A$6,IS!$A$2:$A$28,IS!B$2:B$28," ",0,1)</f>
        <v/>
      </c>
      <c r="C19" s="15">
        <f>_xlfn.XLOOKUP($A19,IS!$A$2:$A$28,IS!C$2:C$28," ",0,1)/_xlfn.XLOOKUP($A$6,IS!$A$2:$A$28,IS!C$2:C$28," ",0,1)</f>
        <v/>
      </c>
      <c r="D19" s="15">
        <f>_xlfn.XLOOKUP($A19,IS!$A$2:$A$28,IS!D$2:D$28," ",0,1)/_xlfn.XLOOKUP($A$6,IS!$A$2:$A$28,IS!D$2:D$28," ",0,1)</f>
        <v/>
      </c>
      <c r="E19" s="15">
        <f>_xlfn.XLOOKUP($A19,IS!$A$2:$A$28,IS!E$2:E$28," ",0,1)/_xlfn.XLOOKUP($A$6,IS!$A$2:$A$28,IS!E$2:E$28," ",0,1)</f>
        <v/>
      </c>
      <c r="F19" s="15">
        <f>_xlfn.XLOOKUP($A19,IS!$A$2:$A$28,IS!F$2:F$28," ",0,1)/_xlfn.XLOOKUP($A$6,IS!$A$2:$A$28,IS!F$2:F$28," ",0,1)</f>
        <v/>
      </c>
    </row>
    <row r="20" ht="16" customHeight="1">
      <c r="A20">
        <f>IS!A20</f>
        <v/>
      </c>
      <c r="B20" s="15">
        <f>_xlfn.XLOOKUP($A20,IS!$A$2:$A$28,IS!B$2:B$28," ",0,1)/_xlfn.XLOOKUP($A$6,IS!$A$2:$A$28,IS!B$2:B$28," ",0,1)</f>
        <v/>
      </c>
      <c r="C20" s="15">
        <f>_xlfn.XLOOKUP($A20,IS!$A$2:$A$28,IS!C$2:C$28," ",0,1)/_xlfn.XLOOKUP($A$6,IS!$A$2:$A$28,IS!C$2:C$28," ",0,1)</f>
        <v/>
      </c>
      <c r="D20" s="15">
        <f>_xlfn.XLOOKUP($A20,IS!$A$2:$A$28,IS!D$2:D$28," ",0,1)/_xlfn.XLOOKUP($A$6,IS!$A$2:$A$28,IS!D$2:D$28," ",0,1)</f>
        <v/>
      </c>
      <c r="E20" s="15">
        <f>_xlfn.XLOOKUP($A20,IS!$A$2:$A$28,IS!E$2:E$28," ",0,1)/_xlfn.XLOOKUP($A$6,IS!$A$2:$A$28,IS!E$2:E$28," ",0,1)</f>
        <v/>
      </c>
      <c r="F20" s="15">
        <f>_xlfn.XLOOKUP($A20,IS!$A$2:$A$28,IS!F$2:F$28," ",0,1)/_xlfn.XLOOKUP($A$6,IS!$A$2:$A$28,IS!F$2:F$28," ",0,1)</f>
        <v/>
      </c>
    </row>
    <row r="21" ht="16" customHeight="1">
      <c r="A21">
        <f>IS!A21</f>
        <v/>
      </c>
      <c r="B21" s="15">
        <f>_xlfn.XLOOKUP($A21,IS!$A$2:$A$28,IS!B$2:B$28," ",0,1)/_xlfn.XLOOKUP($A$6,IS!$A$2:$A$28,IS!B$2:B$28," ",0,1)</f>
        <v/>
      </c>
      <c r="C21" s="15">
        <f>_xlfn.XLOOKUP($A21,IS!$A$2:$A$28,IS!C$2:C$28," ",0,1)/_xlfn.XLOOKUP($A$6,IS!$A$2:$A$28,IS!C$2:C$28," ",0,1)</f>
        <v/>
      </c>
      <c r="D21" s="15">
        <f>_xlfn.XLOOKUP($A21,IS!$A$2:$A$28,IS!D$2:D$28," ",0,1)/_xlfn.XLOOKUP($A$6,IS!$A$2:$A$28,IS!D$2:D$28," ",0,1)</f>
        <v/>
      </c>
      <c r="E21" s="15">
        <f>_xlfn.XLOOKUP($A21,IS!$A$2:$A$28,IS!E$2:E$28," ",0,1)/_xlfn.XLOOKUP($A$6,IS!$A$2:$A$28,IS!E$2:E$28," ",0,1)</f>
        <v/>
      </c>
      <c r="F21" s="15">
        <f>_xlfn.XLOOKUP($A21,IS!$A$2:$A$28,IS!F$2:F$28," ",0,1)/_xlfn.XLOOKUP($A$6,IS!$A$2:$A$28,IS!F$2:F$28," ",0,1)</f>
        <v/>
      </c>
    </row>
    <row r="22" ht="16" customHeight="1">
      <c r="A22">
        <f>IS!A22</f>
        <v/>
      </c>
      <c r="B22" s="15">
        <f>_xlfn.XLOOKUP($A22,IS!$A$2:$A$28,IS!B$2:B$28," ",0,1)/_xlfn.XLOOKUP($A$6,IS!$A$2:$A$28,IS!B$2:B$28," ",0,1)</f>
        <v/>
      </c>
      <c r="C22" s="15">
        <f>_xlfn.XLOOKUP($A22,IS!$A$2:$A$28,IS!C$2:C$28," ",0,1)/_xlfn.XLOOKUP($A$6,IS!$A$2:$A$28,IS!C$2:C$28," ",0,1)</f>
        <v/>
      </c>
      <c r="D22" s="15">
        <f>_xlfn.XLOOKUP($A22,IS!$A$2:$A$28,IS!D$2:D$28," ",0,1)/_xlfn.XLOOKUP($A$6,IS!$A$2:$A$28,IS!D$2:D$28," ",0,1)</f>
        <v/>
      </c>
      <c r="E22" s="15">
        <f>_xlfn.XLOOKUP($A22,IS!$A$2:$A$28,IS!E$2:E$28," ",0,1)/_xlfn.XLOOKUP($A$6,IS!$A$2:$A$28,IS!E$2:E$28," ",0,1)</f>
        <v/>
      </c>
      <c r="F22" s="15">
        <f>_xlfn.XLOOKUP($A22,IS!$A$2:$A$28,IS!F$2:F$28," ",0,1)/_xlfn.XLOOKUP($A$6,IS!$A$2:$A$28,IS!F$2:F$28," ",0,1)</f>
        <v/>
      </c>
    </row>
    <row r="23" ht="16" customHeight="1">
      <c r="A23">
        <f>IS!A23</f>
        <v/>
      </c>
      <c r="B23" s="15">
        <f>_xlfn.XLOOKUP($A23,IS!$A$2:$A$28,IS!B$2:B$28," ",0,1)/_xlfn.XLOOKUP($A$6,IS!$A$2:$A$28,IS!B$2:B$28," ",0,1)</f>
        <v/>
      </c>
      <c r="C23" s="15">
        <f>_xlfn.XLOOKUP($A23,IS!$A$2:$A$28,IS!C$2:C$28," ",0,1)/_xlfn.XLOOKUP($A$6,IS!$A$2:$A$28,IS!C$2:C$28," ",0,1)</f>
        <v/>
      </c>
      <c r="D23" s="15">
        <f>_xlfn.XLOOKUP($A23,IS!$A$2:$A$28,IS!D$2:D$28," ",0,1)/_xlfn.XLOOKUP($A$6,IS!$A$2:$A$28,IS!D$2:D$28," ",0,1)</f>
        <v/>
      </c>
      <c r="E23" s="15">
        <f>_xlfn.XLOOKUP($A23,IS!$A$2:$A$28,IS!E$2:E$28," ",0,1)/_xlfn.XLOOKUP($A$6,IS!$A$2:$A$28,IS!E$2:E$28," ",0,1)</f>
        <v/>
      </c>
      <c r="F23" s="15">
        <f>_xlfn.XLOOKUP($A23,IS!$A$2:$A$28,IS!F$2:F$28," ",0,1)/_xlfn.XLOOKUP($A$6,IS!$A$2:$A$28,IS!F$2:F$28," ",0,1)</f>
        <v/>
      </c>
    </row>
    <row r="24" ht="16" customHeight="1">
      <c r="A24">
        <f>IS!A24</f>
        <v/>
      </c>
      <c r="B24" s="15">
        <f>_xlfn.XLOOKUP($A24,IS!$A$2:$A$28,IS!B$2:B$28," ",0,1)/_xlfn.XLOOKUP($A$6,IS!$A$2:$A$28,IS!B$2:B$28," ",0,1)</f>
        <v/>
      </c>
      <c r="C24" s="15">
        <f>_xlfn.XLOOKUP($A24,IS!$A$2:$A$28,IS!C$2:C$28," ",0,1)/_xlfn.XLOOKUP($A$6,IS!$A$2:$A$28,IS!C$2:C$28," ",0,1)</f>
        <v/>
      </c>
      <c r="D24" s="15">
        <f>_xlfn.XLOOKUP($A24,IS!$A$2:$A$28,IS!D$2:D$28," ",0,1)/_xlfn.XLOOKUP($A$6,IS!$A$2:$A$28,IS!D$2:D$28," ",0,1)</f>
        <v/>
      </c>
      <c r="E24" s="15">
        <f>_xlfn.XLOOKUP($A24,IS!$A$2:$A$28,IS!E$2:E$28," ",0,1)/_xlfn.XLOOKUP($A$6,IS!$A$2:$A$28,IS!E$2:E$28," ",0,1)</f>
        <v/>
      </c>
      <c r="F24" s="15">
        <f>_xlfn.XLOOKUP($A24,IS!$A$2:$A$28,IS!F$2:F$28," ",0,1)/_xlfn.XLOOKUP($A$6,IS!$A$2:$A$28,IS!F$2:F$28," ",0,1)</f>
        <v/>
      </c>
    </row>
    <row r="25" ht="16" customHeight="1">
      <c r="A25">
        <f>IS!A25</f>
        <v/>
      </c>
      <c r="B25" s="15">
        <f>_xlfn.XLOOKUP($A25,IS!$A$2:$A$28,IS!B$2:B$28," ",0,1)/_xlfn.XLOOKUP($A$6,IS!$A$2:$A$28,IS!B$2:B$28," ",0,1)</f>
        <v/>
      </c>
      <c r="C25" s="15">
        <f>_xlfn.XLOOKUP($A25,IS!$A$2:$A$28,IS!C$2:C$28," ",0,1)/_xlfn.XLOOKUP($A$6,IS!$A$2:$A$28,IS!C$2:C$28," ",0,1)</f>
        <v/>
      </c>
      <c r="D25" s="15">
        <f>_xlfn.XLOOKUP($A25,IS!$A$2:$A$28,IS!D$2:D$28," ",0,1)/_xlfn.XLOOKUP($A$6,IS!$A$2:$A$28,IS!D$2:D$28," ",0,1)</f>
        <v/>
      </c>
      <c r="E25" s="15">
        <f>_xlfn.XLOOKUP($A25,IS!$A$2:$A$28,IS!E$2:E$28," ",0,1)/_xlfn.XLOOKUP($A$6,IS!$A$2:$A$28,IS!E$2:E$28," ",0,1)</f>
        <v/>
      </c>
      <c r="F25" s="15">
        <f>_xlfn.XLOOKUP($A25,IS!$A$2:$A$28,IS!F$2:F$28," ",0,1)/_xlfn.XLOOKUP($A$6,IS!$A$2:$A$28,IS!F$2:F$28," ",0,1)</f>
        <v/>
      </c>
    </row>
    <row r="26" ht="16" customHeight="1">
      <c r="A26">
        <f>IS!A26</f>
        <v/>
      </c>
      <c r="B26" s="15">
        <f>_xlfn.XLOOKUP($A26,IS!$A$2:$A$28,IS!B$2:B$28," ",0,1)/_xlfn.XLOOKUP($A$6,IS!$A$2:$A$28,IS!B$2:B$28," ",0,1)</f>
        <v/>
      </c>
      <c r="C26" s="15">
        <f>_xlfn.XLOOKUP($A26,IS!$A$2:$A$28,IS!C$2:C$28," ",0,1)/_xlfn.XLOOKUP($A$6,IS!$A$2:$A$28,IS!C$2:C$28," ",0,1)</f>
        <v/>
      </c>
      <c r="D26" s="15">
        <f>_xlfn.XLOOKUP($A26,IS!$A$2:$A$28,IS!D$2:D$28," ",0,1)/_xlfn.XLOOKUP($A$6,IS!$A$2:$A$28,IS!D$2:D$28," ",0,1)</f>
        <v/>
      </c>
      <c r="E26" s="15">
        <f>_xlfn.XLOOKUP($A26,IS!$A$2:$A$28,IS!E$2:E$28," ",0,1)/_xlfn.XLOOKUP($A$6,IS!$A$2:$A$28,IS!E$2:E$28," ",0,1)</f>
        <v/>
      </c>
      <c r="F26" s="15">
        <f>_xlfn.XLOOKUP($A26,IS!$A$2:$A$28,IS!F$2:F$28," ",0,1)/_xlfn.XLOOKUP($A$6,IS!$A$2:$A$28,IS!F$2:F$28," ",0,1)</f>
        <v/>
      </c>
    </row>
    <row r="27" ht="16" customHeight="1">
      <c r="A27">
        <f>IS!A27</f>
        <v/>
      </c>
      <c r="B27" s="15">
        <f>_xlfn.XLOOKUP($A27,IS!$A$2:$A$28,IS!B$2:B$28," ",0,1)/_xlfn.XLOOKUP($A$6,IS!$A$2:$A$28,IS!B$2:B$28," ",0,1)</f>
        <v/>
      </c>
      <c r="C27" s="15">
        <f>_xlfn.XLOOKUP($A27,IS!$A$2:$A$28,IS!C$2:C$28," ",0,1)/_xlfn.XLOOKUP($A$6,IS!$A$2:$A$28,IS!C$2:C$28," ",0,1)</f>
        <v/>
      </c>
      <c r="D27" s="15">
        <f>_xlfn.XLOOKUP($A27,IS!$A$2:$A$28,IS!D$2:D$28," ",0,1)/_xlfn.XLOOKUP($A$6,IS!$A$2:$A$28,IS!D$2:D$28," ",0,1)</f>
        <v/>
      </c>
      <c r="E27" s="15">
        <f>_xlfn.XLOOKUP($A27,IS!$A$2:$A$28,IS!E$2:E$28," ",0,1)/_xlfn.XLOOKUP($A$6,IS!$A$2:$A$28,IS!E$2:E$28," ",0,1)</f>
        <v/>
      </c>
      <c r="F27" s="15">
        <f>_xlfn.XLOOKUP($A27,IS!$A$2:$A$28,IS!F$2:F$28," ",0,1)/_xlfn.XLOOKUP($A$6,IS!$A$2:$A$28,IS!F$2:F$28," ",0,1)</f>
        <v/>
      </c>
    </row>
  </sheetData>
  <sheetProtection selectLockedCells="0" selectUnlockedCells="0" sheet="1" objects="1" insertRows="0" insertHyperlinks="1" autoFilter="0" scenarios="1" formatColumns="0" deleteColumns="0" insertColumns="0" pivotTables="0" deleteRows="0" formatCells="0" formatRows="0" sort="0" password="AE3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36"/>
  <sheetViews>
    <sheetView workbookViewId="0">
      <selection activeCell="B7" sqref="B7"/>
    </sheetView>
  </sheetViews>
  <sheetFormatPr baseColWidth="8" defaultRowHeight="14.5"/>
  <cols>
    <col width="66.453125" customWidth="1" min="1" max="1"/>
    <col width="20.81640625" customWidth="1" min="2" max="2"/>
    <col width="14.1796875" customWidth="1" min="3" max="3"/>
    <col width="14.90625" customWidth="1" min="4" max="4"/>
    <col width="13.81640625" customWidth="1" min="5" max="5"/>
    <col width="13.54296875" customWidth="1" min="6" max="6"/>
  </cols>
  <sheetData>
    <row r="1">
      <c r="A1" s="1">
        <f>BS!A1</f>
        <v/>
      </c>
    </row>
    <row r="2">
      <c r="A2" s="1">
        <f>BS!A2</f>
        <v/>
      </c>
      <c r="B2" s="1">
        <f>BS!B2</f>
        <v/>
      </c>
      <c r="C2" s="1">
        <f>BS!C2</f>
        <v/>
      </c>
      <c r="D2" s="1">
        <f>BS!D2</f>
        <v/>
      </c>
      <c r="E2" s="1">
        <f>BS!E2</f>
        <v/>
      </c>
      <c r="F2" s="1">
        <f>BS!F2</f>
        <v/>
      </c>
    </row>
    <row r="3">
      <c r="A3">
        <f>BS!A3</f>
        <v/>
      </c>
    </row>
    <row r="4" ht="16" customHeight="1">
      <c r="A4">
        <f>BS!A4</f>
        <v/>
      </c>
      <c r="B4" s="15">
        <f>_xlfn.XLOOKUP($A4,BS!$A$1:$A$36,BS!B$1:B$36,,0,1)/_xlfn.XLOOKUP($A$20,BS!$A$1:$A$36,BS!B$1:B$36,,0,1)</f>
        <v/>
      </c>
      <c r="C4" s="15">
        <f>_xlfn.XLOOKUP($A4,BS!$A$1:$A$36,BS!C$1:C$36,,0,1)/_xlfn.XLOOKUP($A$20,BS!$A$1:$A$36,BS!C$1:C$36,,0,1)</f>
        <v/>
      </c>
      <c r="D4" s="15">
        <f>_xlfn.XLOOKUP($A4,BS!$A$1:$A$36,BS!D$1:D$36,,0,1)/_xlfn.XLOOKUP($A$20,BS!$A$1:$A$36,BS!D$1:D$36,,0,1)</f>
        <v/>
      </c>
      <c r="E4" s="15">
        <f>_xlfn.XLOOKUP($A4,BS!$A$1:$A$36,BS!E$1:E$36,,0,1)/_xlfn.XLOOKUP($A$20,BS!$A$1:$A$36,BS!E$1:E$36,,0,1)</f>
        <v/>
      </c>
      <c r="F4" s="15">
        <f>_xlfn.XLOOKUP($A4,BS!$A$1:$A$36,BS!F$1:F$36,,0,1)/_xlfn.XLOOKUP($A$20,BS!$A$1:$A$36,BS!F$1:F$36,,0,1)</f>
        <v/>
      </c>
    </row>
    <row r="5" ht="16" customHeight="1">
      <c r="A5">
        <f>BS!A5</f>
        <v/>
      </c>
      <c r="B5" s="15">
        <f>_xlfn.XLOOKUP($A5,BS!$A$1:$A$36,BS!B$1:B$36,,0,1)/_xlfn.XLOOKUP($A$20,BS!$A$1:$A$36,BS!B$1:B$36,,0,1)</f>
        <v/>
      </c>
      <c r="C5" s="15">
        <f>_xlfn.XLOOKUP($A5,BS!$A$1:$A$36,BS!C$1:C$36,,0,1)/_xlfn.XLOOKUP($A$20,BS!$A$1:$A$36,BS!C$1:C$36,,0,1)</f>
        <v/>
      </c>
      <c r="D5" s="15">
        <f>_xlfn.XLOOKUP($A5,BS!$A$1:$A$36,BS!D$1:D$36,,0,1)/_xlfn.XLOOKUP($A$20,BS!$A$1:$A$36,BS!D$1:D$36,,0,1)</f>
        <v/>
      </c>
      <c r="E5" s="15">
        <f>_xlfn.XLOOKUP($A5,BS!$A$1:$A$36,BS!E$1:E$36,,0,1)/_xlfn.XLOOKUP($A$20,BS!$A$1:$A$36,BS!E$1:E$36,,0,1)</f>
        <v/>
      </c>
      <c r="F5" s="15">
        <f>_xlfn.XLOOKUP($A5,BS!$A$1:$A$36,BS!F$1:F$36,,0,1)/_xlfn.XLOOKUP($A$20,BS!$A$1:$A$36,BS!F$1:F$36,,0,1)</f>
        <v/>
      </c>
    </row>
    <row r="6" ht="16" customHeight="1">
      <c r="A6">
        <f>BS!A6</f>
        <v/>
      </c>
      <c r="B6" s="15">
        <f>_xlfn.XLOOKUP($A6,BS!$A$1:$A$36,BS!B$1:B$36,,0,1)/_xlfn.XLOOKUP($A$20,BS!$A$1:$A$36,BS!B$1:B$36,,0,1)</f>
        <v/>
      </c>
      <c r="C6" s="15">
        <f>_xlfn.XLOOKUP($A6,BS!$A$1:$A$36,BS!C$1:C$36,,0,1)/_xlfn.XLOOKUP($A$20,BS!$A$1:$A$36,BS!C$1:C$36,,0,1)</f>
        <v/>
      </c>
      <c r="D6" s="15">
        <f>_xlfn.XLOOKUP($A6,BS!$A$1:$A$36,BS!D$1:D$36,,0,1)/_xlfn.XLOOKUP($A$20,BS!$A$1:$A$36,BS!D$1:D$36,,0,1)</f>
        <v/>
      </c>
      <c r="E6" s="15">
        <f>_xlfn.XLOOKUP($A6,BS!$A$1:$A$36,BS!E$1:E$36,,0,1)/_xlfn.XLOOKUP($A$20,BS!$A$1:$A$36,BS!E$1:E$36,,0,1)</f>
        <v/>
      </c>
      <c r="F6" s="15">
        <f>_xlfn.XLOOKUP($A6,BS!$A$1:$A$36,BS!F$1:F$36,,0,1)/_xlfn.XLOOKUP($A$20,BS!$A$1:$A$36,BS!F$1:F$36,,0,1)</f>
        <v/>
      </c>
    </row>
    <row r="7" ht="16" customHeight="1">
      <c r="A7">
        <f>BS!A7</f>
        <v/>
      </c>
      <c r="B7" s="15">
        <f>_xlfn.XLOOKUP($A7,BS!$A$1:$A$36,BS!B$1:B$36,,0,1)/_xlfn.XLOOKUP($A$20,BS!$A$1:$A$36,BS!B$1:B$36,,0,1)</f>
        <v/>
      </c>
      <c r="C7" s="15">
        <f>_xlfn.XLOOKUP($A7,BS!$A$1:$A$36,BS!C$1:C$36,,0,1)/_xlfn.XLOOKUP($A$20,BS!$A$1:$A$36,BS!C$1:C$36,,0,1)</f>
        <v/>
      </c>
      <c r="D7" s="15">
        <f>_xlfn.XLOOKUP($A7,BS!$A$1:$A$36,BS!D$1:D$36,,0,1)/_xlfn.XLOOKUP($A$20,BS!$A$1:$A$36,BS!D$1:D$36,,0,1)</f>
        <v/>
      </c>
      <c r="E7" s="15">
        <f>_xlfn.XLOOKUP($A7,BS!$A$1:$A$36,BS!E$1:E$36,,0,1)/_xlfn.XLOOKUP($A$20,BS!$A$1:$A$36,BS!E$1:E$36,,0,1)</f>
        <v/>
      </c>
      <c r="F7" s="15">
        <f>_xlfn.XLOOKUP($A7,BS!$A$1:$A$36,BS!F$1:F$36,,0,1)/_xlfn.XLOOKUP($A$20,BS!$A$1:$A$36,BS!F$1:F$36,,0,1)</f>
        <v/>
      </c>
    </row>
    <row r="8" ht="16" customHeight="1">
      <c r="A8">
        <f>BS!A8</f>
        <v/>
      </c>
      <c r="B8" s="15">
        <f>_xlfn.XLOOKUP($A8,BS!$A$1:$A$36,BS!B$1:B$36,,0,1)/_xlfn.XLOOKUP($A$20,BS!$A$1:$A$36,BS!B$1:B$36,,0,1)</f>
        <v/>
      </c>
      <c r="C8" s="15">
        <f>_xlfn.XLOOKUP($A8,BS!$A$1:$A$36,BS!C$1:C$36,,0,1)/_xlfn.XLOOKUP($A$20,BS!$A$1:$A$36,BS!C$1:C$36,,0,1)</f>
        <v/>
      </c>
      <c r="D8" s="15">
        <f>_xlfn.XLOOKUP($A8,BS!$A$1:$A$36,BS!D$1:D$36,,0,1)/_xlfn.XLOOKUP($A$20,BS!$A$1:$A$36,BS!D$1:D$36,,0,1)</f>
        <v/>
      </c>
      <c r="E8" s="15">
        <f>_xlfn.XLOOKUP($A8,BS!$A$1:$A$36,BS!E$1:E$36,,0,1)/_xlfn.XLOOKUP($A$20,BS!$A$1:$A$36,BS!E$1:E$36,,0,1)</f>
        <v/>
      </c>
      <c r="F8" s="15">
        <f>_xlfn.XLOOKUP($A8,BS!$A$1:$A$36,BS!F$1:F$36,,0,1)/_xlfn.XLOOKUP($A$20,BS!$A$1:$A$36,BS!F$1:F$36,,0,1)</f>
        <v/>
      </c>
    </row>
    <row r="9" ht="16" customHeight="1">
      <c r="A9">
        <f>BS!A9</f>
        <v/>
      </c>
      <c r="B9" s="15">
        <f>_xlfn.XLOOKUP($A9,BS!$A$1:$A$36,BS!B$1:B$36,,0,1)/_xlfn.XLOOKUP($A$20,BS!$A$1:$A$36,BS!B$1:B$36,,0,1)</f>
        <v/>
      </c>
      <c r="C9" s="15">
        <f>_xlfn.XLOOKUP($A9,BS!$A$1:$A$36,BS!C$1:C$36,,0,1)/_xlfn.XLOOKUP($A$20,BS!$A$1:$A$36,BS!C$1:C$36,,0,1)</f>
        <v/>
      </c>
      <c r="D9" s="15">
        <f>_xlfn.XLOOKUP($A9,BS!$A$1:$A$36,BS!D$1:D$36,,0,1)/_xlfn.XLOOKUP($A$20,BS!$A$1:$A$36,BS!D$1:D$36,,0,1)</f>
        <v/>
      </c>
      <c r="E9" s="15">
        <f>_xlfn.XLOOKUP($A9,BS!$A$1:$A$36,BS!E$1:E$36,,0,1)/_xlfn.XLOOKUP($A$20,BS!$A$1:$A$36,BS!E$1:E$36,,0,1)</f>
        <v/>
      </c>
      <c r="F9" s="15">
        <f>_xlfn.XLOOKUP($A9,BS!$A$1:$A$36,BS!F$1:F$36,,0,1)/_xlfn.XLOOKUP($A$20,BS!$A$1:$A$36,BS!F$1:F$36,,0,1)</f>
        <v/>
      </c>
    </row>
    <row r="10" ht="16" customHeight="1">
      <c r="A10">
        <f>BS!A10</f>
        <v/>
      </c>
      <c r="B10" s="15">
        <f>_xlfn.XLOOKUP($A10,BS!$A$1:$A$36,BS!B$1:B$36,,0,1)/_xlfn.XLOOKUP($A$20,BS!$A$1:$A$36,BS!B$1:B$36,,0,1)</f>
        <v/>
      </c>
      <c r="C10" s="15">
        <f>_xlfn.XLOOKUP($A10,BS!$A$1:$A$36,BS!C$1:C$36,,0,1)/_xlfn.XLOOKUP($A$20,BS!$A$1:$A$36,BS!C$1:C$36,,0,1)</f>
        <v/>
      </c>
      <c r="D10" s="15">
        <f>_xlfn.XLOOKUP($A10,BS!$A$1:$A$36,BS!D$1:D$36,,0,1)/_xlfn.XLOOKUP($A$20,BS!$A$1:$A$36,BS!D$1:D$36,,0,1)</f>
        <v/>
      </c>
      <c r="E10" s="15">
        <f>_xlfn.XLOOKUP($A10,BS!$A$1:$A$36,BS!E$1:E$36,,0,1)/_xlfn.XLOOKUP($A$20,BS!$A$1:$A$36,BS!E$1:E$36,,0,1)</f>
        <v/>
      </c>
      <c r="F10" s="15">
        <f>_xlfn.XLOOKUP($A10,BS!$A$1:$A$36,BS!F$1:F$36,,0,1)/_xlfn.XLOOKUP($A$20,BS!$A$1:$A$36,BS!F$1:F$36,,0,1)</f>
        <v/>
      </c>
    </row>
    <row r="11" ht="16" customHeight="1">
      <c r="A11">
        <f>BS!A11</f>
        <v/>
      </c>
      <c r="B11" s="15">
        <f>_xlfn.XLOOKUP($A11,BS!$A$1:$A$36,BS!B$1:B$36,,0,1)/_xlfn.XLOOKUP($A$20,BS!$A$1:$A$36,BS!B$1:B$36,,0,1)</f>
        <v/>
      </c>
      <c r="C11" s="15">
        <f>_xlfn.XLOOKUP($A11,BS!$A$1:$A$36,BS!C$1:C$36,,0,1)/_xlfn.XLOOKUP($A$20,BS!$A$1:$A$36,BS!C$1:C$36,,0,1)</f>
        <v/>
      </c>
      <c r="D11" s="15">
        <f>_xlfn.XLOOKUP($A11,BS!$A$1:$A$36,BS!D$1:D$36,,0,1)/_xlfn.XLOOKUP($A$20,BS!$A$1:$A$36,BS!D$1:D$36,,0,1)</f>
        <v/>
      </c>
      <c r="E11" s="15">
        <f>_xlfn.XLOOKUP($A11,BS!$A$1:$A$36,BS!E$1:E$36,,0,1)/_xlfn.XLOOKUP($A$20,BS!$A$1:$A$36,BS!E$1:E$36,,0,1)</f>
        <v/>
      </c>
      <c r="F11" s="15">
        <f>_xlfn.XLOOKUP($A11,BS!$A$1:$A$36,BS!F$1:F$36,,0,1)/_xlfn.XLOOKUP($A$20,BS!$A$1:$A$36,BS!F$1:F$36,,0,1)</f>
        <v/>
      </c>
    </row>
    <row r="12" ht="16" customHeight="1">
      <c r="A12">
        <f>BS!A12</f>
        <v/>
      </c>
      <c r="B12" s="15">
        <f>_xlfn.XLOOKUP($A12,BS!$A$1:$A$36,BS!B$1:B$36,,0,1)/_xlfn.XLOOKUP($A$20,BS!$A$1:$A$36,BS!B$1:B$36,,0,1)</f>
        <v/>
      </c>
      <c r="C12" s="15">
        <f>_xlfn.XLOOKUP($A12,BS!$A$1:$A$36,BS!C$1:C$36,,0,1)/_xlfn.XLOOKUP($A$20,BS!$A$1:$A$36,BS!C$1:C$36,,0,1)</f>
        <v/>
      </c>
      <c r="D12" s="15">
        <f>_xlfn.XLOOKUP($A12,BS!$A$1:$A$36,BS!D$1:D$36,,0,1)/_xlfn.XLOOKUP($A$20,BS!$A$1:$A$36,BS!D$1:D$36,,0,1)</f>
        <v/>
      </c>
      <c r="E12" s="15">
        <f>_xlfn.XLOOKUP($A12,BS!$A$1:$A$36,BS!E$1:E$36,,0,1)/_xlfn.XLOOKUP($A$20,BS!$A$1:$A$36,BS!E$1:E$36,,0,1)</f>
        <v/>
      </c>
      <c r="F12" s="15">
        <f>_xlfn.XLOOKUP($A12,BS!$A$1:$A$36,BS!F$1:F$36,,0,1)/_xlfn.XLOOKUP($A$20,BS!$A$1:$A$36,BS!F$1:F$36,,0,1)</f>
        <v/>
      </c>
    </row>
    <row r="13" ht="16" customHeight="1">
      <c r="A13">
        <f>BS!A13</f>
        <v/>
      </c>
      <c r="B13" s="15">
        <f>_xlfn.XLOOKUP($A13,BS!$A$1:$A$36,BS!B$1:B$36,,0,1)/_xlfn.XLOOKUP($A$20,BS!$A$1:$A$36,BS!B$1:B$36,,0,1)</f>
        <v/>
      </c>
      <c r="C13" s="15">
        <f>_xlfn.XLOOKUP($A13,BS!$A$1:$A$36,BS!C$1:C$36,,0,1)/_xlfn.XLOOKUP($A$20,BS!$A$1:$A$36,BS!C$1:C$36,,0,1)</f>
        <v/>
      </c>
      <c r="D13" s="15">
        <f>_xlfn.XLOOKUP($A13,BS!$A$1:$A$36,BS!D$1:D$36,,0,1)/_xlfn.XLOOKUP($A$20,BS!$A$1:$A$36,BS!D$1:D$36,,0,1)</f>
        <v/>
      </c>
      <c r="E13" s="15">
        <f>_xlfn.XLOOKUP($A13,BS!$A$1:$A$36,BS!E$1:E$36,,0,1)/_xlfn.XLOOKUP($A$20,BS!$A$1:$A$36,BS!E$1:E$36,,0,1)</f>
        <v/>
      </c>
      <c r="F13" s="15">
        <f>_xlfn.XLOOKUP($A13,BS!$A$1:$A$36,BS!F$1:F$36,,0,1)/_xlfn.XLOOKUP($A$20,BS!$A$1:$A$36,BS!F$1:F$36,,0,1)</f>
        <v/>
      </c>
    </row>
    <row r="14" ht="16" customHeight="1">
      <c r="A14">
        <f>BS!A14</f>
        <v/>
      </c>
      <c r="B14" s="15">
        <f>_xlfn.XLOOKUP($A14,BS!$A$1:$A$36,BS!B$1:B$36,,0,1)/_xlfn.XLOOKUP($A$20,BS!$A$1:$A$36,BS!B$1:B$36,,0,1)</f>
        <v/>
      </c>
      <c r="C14" s="15">
        <f>_xlfn.XLOOKUP($A14,BS!$A$1:$A$36,BS!C$1:C$36,,0,1)/_xlfn.XLOOKUP($A$20,BS!$A$1:$A$36,BS!C$1:C$36,,0,1)</f>
        <v/>
      </c>
      <c r="D14" s="15">
        <f>_xlfn.XLOOKUP($A14,BS!$A$1:$A$36,BS!D$1:D$36,,0,1)/_xlfn.XLOOKUP($A$20,BS!$A$1:$A$36,BS!D$1:D$36,,0,1)</f>
        <v/>
      </c>
      <c r="E14" s="15">
        <f>_xlfn.XLOOKUP($A14,BS!$A$1:$A$36,BS!E$1:E$36,,0,1)/_xlfn.XLOOKUP($A$20,BS!$A$1:$A$36,BS!E$1:E$36,,0,1)</f>
        <v/>
      </c>
      <c r="F14" s="15">
        <f>_xlfn.XLOOKUP($A14,BS!$A$1:$A$36,BS!F$1:F$36,,0,1)/_xlfn.XLOOKUP($A$20,BS!$A$1:$A$36,BS!F$1:F$36,,0,1)</f>
        <v/>
      </c>
    </row>
    <row r="15" ht="16" customHeight="1">
      <c r="A15">
        <f>BS!A15</f>
        <v/>
      </c>
      <c r="B15" s="15">
        <f>_xlfn.XLOOKUP($A15,BS!$A$1:$A$36,BS!B$1:B$36,,0,1)/_xlfn.XLOOKUP($A$20,BS!$A$1:$A$36,BS!B$1:B$36,,0,1)</f>
        <v/>
      </c>
      <c r="C15" s="15">
        <f>_xlfn.XLOOKUP($A15,BS!$A$1:$A$36,BS!C$1:C$36,,0,1)/_xlfn.XLOOKUP($A$20,BS!$A$1:$A$36,BS!C$1:C$36,,0,1)</f>
        <v/>
      </c>
      <c r="D15" s="15">
        <f>_xlfn.XLOOKUP($A15,BS!$A$1:$A$36,BS!D$1:D$36,,0,1)/_xlfn.XLOOKUP($A$20,BS!$A$1:$A$36,BS!D$1:D$36,,0,1)</f>
        <v/>
      </c>
      <c r="E15" s="15">
        <f>_xlfn.XLOOKUP($A15,BS!$A$1:$A$36,BS!E$1:E$36,,0,1)/_xlfn.XLOOKUP($A$20,BS!$A$1:$A$36,BS!E$1:E$36,,0,1)</f>
        <v/>
      </c>
      <c r="F15" s="15">
        <f>_xlfn.XLOOKUP($A15,BS!$A$1:$A$36,BS!F$1:F$36,,0,1)/_xlfn.XLOOKUP($A$20,BS!$A$1:$A$36,BS!F$1:F$36,,0,1)</f>
        <v/>
      </c>
    </row>
    <row r="16" ht="16" customHeight="1">
      <c r="A16">
        <f>BS!A16</f>
        <v/>
      </c>
      <c r="B16" s="15">
        <f>_xlfn.XLOOKUP($A16,BS!$A$1:$A$36,BS!B$1:B$36,,0,1)/_xlfn.XLOOKUP($A$20,BS!$A$1:$A$36,BS!B$1:B$36,,0,1)</f>
        <v/>
      </c>
      <c r="C16" s="15">
        <f>_xlfn.XLOOKUP($A16,BS!$A$1:$A$36,BS!C$1:C$36,,0,1)/_xlfn.XLOOKUP($A$20,BS!$A$1:$A$36,BS!C$1:C$36,,0,1)</f>
        <v/>
      </c>
      <c r="D16" s="15">
        <f>_xlfn.XLOOKUP($A16,BS!$A$1:$A$36,BS!D$1:D$36,,0,1)/_xlfn.XLOOKUP($A$20,BS!$A$1:$A$36,BS!D$1:D$36,,0,1)</f>
        <v/>
      </c>
      <c r="E16" s="15">
        <f>_xlfn.XLOOKUP($A16,BS!$A$1:$A$36,BS!E$1:E$36,,0,1)/_xlfn.XLOOKUP($A$20,BS!$A$1:$A$36,BS!E$1:E$36,,0,1)</f>
        <v/>
      </c>
      <c r="F16" s="15">
        <f>_xlfn.XLOOKUP($A16,BS!$A$1:$A$36,BS!F$1:F$36,,0,1)/_xlfn.XLOOKUP($A$20,BS!$A$1:$A$36,BS!F$1:F$36,,0,1)</f>
        <v/>
      </c>
    </row>
    <row r="17" ht="16" customHeight="1">
      <c r="A17">
        <f>BS!A17</f>
        <v/>
      </c>
      <c r="B17" s="15">
        <f>_xlfn.XLOOKUP($A17,BS!$A$1:$A$36,BS!B$1:B$36,,0,1)/_xlfn.XLOOKUP($A$20,BS!$A$1:$A$36,BS!B$1:B$36,,0,1)</f>
        <v/>
      </c>
      <c r="C17" s="15">
        <f>_xlfn.XLOOKUP($A17,BS!$A$1:$A$36,BS!C$1:C$36,,0,1)/_xlfn.XLOOKUP($A$20,BS!$A$1:$A$36,BS!C$1:C$36,,0,1)</f>
        <v/>
      </c>
      <c r="D17" s="15">
        <f>_xlfn.XLOOKUP($A17,BS!$A$1:$A$36,BS!D$1:D$36,,0,1)/_xlfn.XLOOKUP($A$20,BS!$A$1:$A$36,BS!D$1:D$36,,0,1)</f>
        <v/>
      </c>
      <c r="E17" s="15">
        <f>_xlfn.XLOOKUP($A17,BS!$A$1:$A$36,BS!E$1:E$36,,0,1)/_xlfn.XLOOKUP($A$20,BS!$A$1:$A$36,BS!E$1:E$36,,0,1)</f>
        <v/>
      </c>
      <c r="F17" s="15">
        <f>_xlfn.XLOOKUP($A17,BS!$A$1:$A$36,BS!F$1:F$36,,0,1)/_xlfn.XLOOKUP($A$20,BS!$A$1:$A$36,BS!F$1:F$36,,0,1)</f>
        <v/>
      </c>
    </row>
    <row r="18" ht="16" customHeight="1">
      <c r="A18">
        <f>BS!A18</f>
        <v/>
      </c>
      <c r="B18" s="15">
        <f>_xlfn.XLOOKUP($A18,BS!$A$1:$A$36,BS!B$1:B$36,,0,1)/_xlfn.XLOOKUP($A$20,BS!$A$1:$A$36,BS!B$1:B$36,,0,1)</f>
        <v/>
      </c>
      <c r="C18" s="15">
        <f>_xlfn.XLOOKUP($A18,BS!$A$1:$A$36,BS!C$1:C$36,,0,1)/_xlfn.XLOOKUP($A$20,BS!$A$1:$A$36,BS!C$1:C$36,,0,1)</f>
        <v/>
      </c>
      <c r="D18" s="15">
        <f>_xlfn.XLOOKUP($A18,BS!$A$1:$A$36,BS!D$1:D$36,,0,1)/_xlfn.XLOOKUP($A$20,BS!$A$1:$A$36,BS!D$1:D$36,,0,1)</f>
        <v/>
      </c>
      <c r="E18" s="15">
        <f>_xlfn.XLOOKUP($A18,BS!$A$1:$A$36,BS!E$1:E$36,,0,1)/_xlfn.XLOOKUP($A$20,BS!$A$1:$A$36,BS!E$1:E$36,,0,1)</f>
        <v/>
      </c>
      <c r="F18" s="15">
        <f>_xlfn.XLOOKUP($A18,BS!$A$1:$A$36,BS!F$1:F$36,,0,1)/_xlfn.XLOOKUP($A$20,BS!$A$1:$A$36,BS!F$1:F$36,,0,1)</f>
        <v/>
      </c>
    </row>
    <row r="19" ht="16" customHeight="1">
      <c r="A19">
        <f>BS!A19</f>
        <v/>
      </c>
      <c r="B19" s="15">
        <f>_xlfn.XLOOKUP($A19,BS!$A$1:$A$36,BS!B$1:B$36,,0,1)/_xlfn.XLOOKUP($A$20,BS!$A$1:$A$36,BS!B$1:B$36,,0,1)</f>
        <v/>
      </c>
      <c r="C19" s="15">
        <f>_xlfn.XLOOKUP($A19,BS!$A$1:$A$36,BS!C$1:C$36,,0,1)/_xlfn.XLOOKUP($A$20,BS!$A$1:$A$36,BS!C$1:C$36,,0,1)</f>
        <v/>
      </c>
      <c r="D19" s="15">
        <f>_xlfn.XLOOKUP($A19,BS!$A$1:$A$36,BS!D$1:D$36,,0,1)/_xlfn.XLOOKUP($A$20,BS!$A$1:$A$36,BS!D$1:D$36,,0,1)</f>
        <v/>
      </c>
      <c r="E19" s="15">
        <f>_xlfn.XLOOKUP($A19,BS!$A$1:$A$36,BS!E$1:E$36,,0,1)/_xlfn.XLOOKUP($A$20,BS!$A$1:$A$36,BS!E$1:E$36,,0,1)</f>
        <v/>
      </c>
      <c r="F19" s="15">
        <f>_xlfn.XLOOKUP($A19,BS!$A$1:$A$36,BS!F$1:F$36,,0,1)/_xlfn.XLOOKUP($A$20,BS!$A$1:$A$36,BS!F$1:F$36,,0,1)</f>
        <v/>
      </c>
    </row>
    <row r="20" ht="16" customHeight="1">
      <c r="A20">
        <f>BS!A20</f>
        <v/>
      </c>
      <c r="B20" s="15">
        <f>_xlfn.XLOOKUP($A20,BS!$A$1:$A$36,BS!B$1:B$36,,0,1)/_xlfn.XLOOKUP($A$20,BS!$A$1:$A$36,BS!B$1:B$36,,0,1)</f>
        <v/>
      </c>
      <c r="C20" s="15">
        <f>_xlfn.XLOOKUP($A20,BS!$A$1:$A$36,BS!C$1:C$36,,0,1)/_xlfn.XLOOKUP($A$20,BS!$A$1:$A$36,BS!C$1:C$36,,0,1)</f>
        <v/>
      </c>
      <c r="D20" s="15">
        <f>_xlfn.XLOOKUP($A20,BS!$A$1:$A$36,BS!D$1:D$36,,0,1)/_xlfn.XLOOKUP($A$20,BS!$A$1:$A$36,BS!D$1:D$36,,0,1)</f>
        <v/>
      </c>
      <c r="E20" s="15">
        <f>_xlfn.XLOOKUP($A20,BS!$A$1:$A$36,BS!E$1:E$36,,0,1)/_xlfn.XLOOKUP($A$20,BS!$A$1:$A$36,BS!E$1:E$36,,0,1)</f>
        <v/>
      </c>
      <c r="F20" s="15">
        <f>_xlfn.XLOOKUP($A20,BS!$A$1:$A$36,BS!F$1:F$36,,0,1)/_xlfn.XLOOKUP($A$20,BS!$A$1:$A$36,BS!F$1:F$36,,0,1)</f>
        <v/>
      </c>
    </row>
    <row r="21" ht="16" customHeight="1">
      <c r="B21" s="15" t="n"/>
      <c r="C21" s="15" t="n"/>
      <c r="D21" s="15" t="n"/>
      <c r="E21" s="15" t="n"/>
      <c r="F21" s="15" t="n"/>
    </row>
    <row r="22" ht="16" customHeight="1">
      <c r="A22">
        <f>BS!A22</f>
        <v/>
      </c>
      <c r="B22" s="15" t="n"/>
      <c r="C22" s="15" t="n"/>
      <c r="D22" s="15" t="n"/>
      <c r="E22" s="15" t="n"/>
      <c r="F22" s="15" t="n"/>
    </row>
    <row r="23" ht="16" customHeight="1">
      <c r="A23">
        <f>BS!A23</f>
        <v/>
      </c>
      <c r="B23" s="15">
        <f>_xlfn.XLOOKUP($A23,BS!$A$1:$A$36,BS!B$1:B$36,,0,1)/_xlfn.XLOOKUP($A$20,BS!$A$1:$A$36,BS!B$1:B$36,,0,1)</f>
        <v/>
      </c>
      <c r="C23" s="15">
        <f>_xlfn.XLOOKUP($A23,BS!$A$1:$A$36,BS!C$1:C$36,,0,1)/_xlfn.XLOOKUP($A$20,BS!$A$1:$A$36,BS!C$1:C$36,,0,1)</f>
        <v/>
      </c>
      <c r="D23" s="15">
        <f>_xlfn.XLOOKUP($A23,BS!$A$1:$A$36,BS!D$1:D$36,,0,1)/_xlfn.XLOOKUP($A$20,BS!$A$1:$A$36,BS!D$1:D$36,,0,1)</f>
        <v/>
      </c>
      <c r="E23" s="15">
        <f>_xlfn.XLOOKUP($A23,BS!$A$1:$A$36,BS!E$1:E$36,,0,1)/_xlfn.XLOOKUP($A$20,BS!$A$1:$A$36,BS!E$1:E$36,,0,1)</f>
        <v/>
      </c>
      <c r="F23" s="15">
        <f>_xlfn.XLOOKUP($A23,BS!$A$1:$A$36,BS!F$1:F$36,,0,1)/_xlfn.XLOOKUP($A$20,BS!$A$1:$A$36,BS!F$1:F$36,,0,1)</f>
        <v/>
      </c>
    </row>
    <row r="24" ht="16" customHeight="1">
      <c r="A24">
        <f>BS!A24</f>
        <v/>
      </c>
      <c r="B24" s="15">
        <f>_xlfn.XLOOKUP($A24,BS!$A$1:$A$36,BS!B$1:B$36,,0,1)/_xlfn.XLOOKUP($A$20,BS!$A$1:$A$36,BS!B$1:B$36,,0,1)</f>
        <v/>
      </c>
      <c r="C24" s="15">
        <f>_xlfn.XLOOKUP($A24,BS!$A$1:$A$36,BS!C$1:C$36,,0,1)/_xlfn.XLOOKUP($A$20,BS!$A$1:$A$36,BS!C$1:C$36,,0,1)</f>
        <v/>
      </c>
      <c r="D24" s="15">
        <f>_xlfn.XLOOKUP($A24,BS!$A$1:$A$36,BS!D$1:D$36,,0,1)/_xlfn.XLOOKUP($A$20,BS!$A$1:$A$36,BS!D$1:D$36,,0,1)</f>
        <v/>
      </c>
      <c r="E24" s="15">
        <f>_xlfn.XLOOKUP($A24,BS!$A$1:$A$36,BS!E$1:E$36,,0,1)/_xlfn.XLOOKUP($A$20,BS!$A$1:$A$36,BS!E$1:E$36,,0,1)</f>
        <v/>
      </c>
      <c r="F24" s="15">
        <f>_xlfn.XLOOKUP($A24,BS!$A$1:$A$36,BS!F$1:F$36,,0,1)/_xlfn.XLOOKUP($A$20,BS!$A$1:$A$36,BS!F$1:F$36,,0,1)</f>
        <v/>
      </c>
    </row>
    <row r="25" ht="16" customHeight="1">
      <c r="A25">
        <f>BS!A25</f>
        <v/>
      </c>
      <c r="B25" s="15">
        <f>_xlfn.XLOOKUP($A25,BS!$A$1:$A$36,BS!B$1:B$36,,0,1)/_xlfn.XLOOKUP($A$20,BS!$A$1:$A$36,BS!B$1:B$36,,0,1)</f>
        <v/>
      </c>
      <c r="C25" s="15">
        <f>_xlfn.XLOOKUP($A25,BS!$A$1:$A$36,BS!C$1:C$36,,0,1)/_xlfn.XLOOKUP($A$20,BS!$A$1:$A$36,BS!C$1:C$36,,0,1)</f>
        <v/>
      </c>
      <c r="D25" s="15">
        <f>_xlfn.XLOOKUP($A25,BS!$A$1:$A$36,BS!D$1:D$36,,0,1)/_xlfn.XLOOKUP($A$20,BS!$A$1:$A$36,BS!D$1:D$36,,0,1)</f>
        <v/>
      </c>
      <c r="E25" s="15">
        <f>_xlfn.XLOOKUP($A25,BS!$A$1:$A$36,BS!E$1:E$36,,0,1)/_xlfn.XLOOKUP($A$20,BS!$A$1:$A$36,BS!E$1:E$36,,0,1)</f>
        <v/>
      </c>
      <c r="F25" s="15">
        <f>_xlfn.XLOOKUP($A25,BS!$A$1:$A$36,BS!F$1:F$36,,0,1)/_xlfn.XLOOKUP($A$20,BS!$A$1:$A$36,BS!F$1:F$36,,0,1)</f>
        <v/>
      </c>
    </row>
    <row r="26" ht="16" customHeight="1">
      <c r="A26">
        <f>BS!A26</f>
        <v/>
      </c>
      <c r="B26" s="15">
        <f>_xlfn.XLOOKUP($A26,BS!$A$1:$A$36,BS!B$1:B$36,,0,1)/_xlfn.XLOOKUP($A$20,BS!$A$1:$A$36,BS!B$1:B$36,,0,1)</f>
        <v/>
      </c>
      <c r="C26" s="15">
        <f>_xlfn.XLOOKUP($A26,BS!$A$1:$A$36,BS!C$1:C$36,,0,1)/_xlfn.XLOOKUP($A$20,BS!$A$1:$A$36,BS!C$1:C$36,,0,1)</f>
        <v/>
      </c>
      <c r="D26" s="15">
        <f>_xlfn.XLOOKUP($A26,BS!$A$1:$A$36,BS!D$1:D$36,,0,1)/_xlfn.XLOOKUP($A$20,BS!$A$1:$A$36,BS!D$1:D$36,,0,1)</f>
        <v/>
      </c>
      <c r="E26" s="15">
        <f>_xlfn.XLOOKUP($A26,BS!$A$1:$A$36,BS!E$1:E$36,,0,1)/_xlfn.XLOOKUP($A$20,BS!$A$1:$A$36,BS!E$1:E$36,,0,1)</f>
        <v/>
      </c>
      <c r="F26" s="15">
        <f>_xlfn.XLOOKUP($A26,BS!$A$1:$A$36,BS!F$1:F$36,,0,1)/_xlfn.XLOOKUP($A$20,BS!$A$1:$A$36,BS!F$1:F$36,,0,1)</f>
        <v/>
      </c>
    </row>
    <row r="27" ht="16" customHeight="1">
      <c r="A27">
        <f>BS!A27</f>
        <v/>
      </c>
      <c r="B27" s="15">
        <f>_xlfn.XLOOKUP($A27,BS!$A$1:$A$36,BS!B$1:B$36,,0,1)/_xlfn.XLOOKUP($A$20,BS!$A$1:$A$36,BS!B$1:B$36,,0,1)</f>
        <v/>
      </c>
      <c r="C27" s="15">
        <f>_xlfn.XLOOKUP($A27,BS!$A$1:$A$36,BS!C$1:C$36,,0,1)/_xlfn.XLOOKUP($A$20,BS!$A$1:$A$36,BS!C$1:C$36,,0,1)</f>
        <v/>
      </c>
      <c r="D27" s="15">
        <f>_xlfn.XLOOKUP($A27,BS!$A$1:$A$36,BS!D$1:D$36,,0,1)/_xlfn.XLOOKUP($A$20,BS!$A$1:$A$36,BS!D$1:D$36,,0,1)</f>
        <v/>
      </c>
      <c r="E27" s="15">
        <f>_xlfn.XLOOKUP($A27,BS!$A$1:$A$36,BS!E$1:E$36,,0,1)/_xlfn.XLOOKUP($A$20,BS!$A$1:$A$36,BS!E$1:E$36,,0,1)</f>
        <v/>
      </c>
      <c r="F27" s="15">
        <f>_xlfn.XLOOKUP($A27,BS!$A$1:$A$36,BS!F$1:F$36,,0,1)/_xlfn.XLOOKUP($A$20,BS!$A$1:$A$36,BS!F$1:F$36,,0,1)</f>
        <v/>
      </c>
    </row>
    <row r="28" ht="16" customHeight="1">
      <c r="A28">
        <f>BS!A28</f>
        <v/>
      </c>
      <c r="B28" s="15">
        <f>_xlfn.XLOOKUP($A28,BS!$A$1:$A$36,BS!B$1:B$36,,0,1)/_xlfn.XLOOKUP($A$20,BS!$A$1:$A$36,BS!B$1:B$36,,0,1)</f>
        <v/>
      </c>
      <c r="C28" s="15">
        <f>_xlfn.XLOOKUP($A28,BS!$A$1:$A$36,BS!C$1:C$36,,0,1)/_xlfn.XLOOKUP($A$20,BS!$A$1:$A$36,BS!C$1:C$36,,0,1)</f>
        <v/>
      </c>
      <c r="D28" s="15">
        <f>_xlfn.XLOOKUP($A28,BS!$A$1:$A$36,BS!D$1:D$36,,0,1)/_xlfn.XLOOKUP($A$20,BS!$A$1:$A$36,BS!D$1:D$36,,0,1)</f>
        <v/>
      </c>
      <c r="E28" s="15">
        <f>_xlfn.XLOOKUP($A28,BS!$A$1:$A$36,BS!E$1:E$36,,0,1)/_xlfn.XLOOKUP($A$20,BS!$A$1:$A$36,BS!E$1:E$36,,0,1)</f>
        <v/>
      </c>
      <c r="F28" s="15">
        <f>_xlfn.XLOOKUP($A28,BS!$A$1:$A$36,BS!F$1:F$36,,0,1)/_xlfn.XLOOKUP($A$20,BS!$A$1:$A$36,BS!F$1:F$36,,0,1)</f>
        <v/>
      </c>
    </row>
    <row r="29" ht="16" customHeight="1">
      <c r="A29">
        <f>BS!A29</f>
        <v/>
      </c>
      <c r="B29" s="15">
        <f>_xlfn.XLOOKUP($A29,BS!$A$1:$A$36,BS!B$1:B$36,,0,1)/_xlfn.XLOOKUP($A$20,BS!$A$1:$A$36,BS!B$1:B$36,,0,1)</f>
        <v/>
      </c>
      <c r="C29" s="15">
        <f>_xlfn.XLOOKUP($A29,BS!$A$1:$A$36,BS!C$1:C$36,,0,1)/_xlfn.XLOOKUP($A$20,BS!$A$1:$A$36,BS!C$1:C$36,,0,1)</f>
        <v/>
      </c>
      <c r="D29" s="15">
        <f>_xlfn.XLOOKUP($A29,BS!$A$1:$A$36,BS!D$1:D$36,,0,1)/_xlfn.XLOOKUP($A$20,BS!$A$1:$A$36,BS!D$1:D$36,,0,1)</f>
        <v/>
      </c>
      <c r="E29" s="15">
        <f>_xlfn.XLOOKUP($A29,BS!$A$1:$A$36,BS!E$1:E$36,,0,1)/_xlfn.XLOOKUP($A$20,BS!$A$1:$A$36,BS!E$1:E$36,,0,1)</f>
        <v/>
      </c>
      <c r="F29" s="15">
        <f>_xlfn.XLOOKUP($A29,BS!$A$1:$A$36,BS!F$1:F$36,,0,1)/_xlfn.XLOOKUP($A$20,BS!$A$1:$A$36,BS!F$1:F$36,,0,1)</f>
        <v/>
      </c>
    </row>
    <row r="30" ht="16" customHeight="1">
      <c r="A30">
        <f>BS!A30</f>
        <v/>
      </c>
      <c r="B30" s="15">
        <f>_xlfn.XLOOKUP($A30,BS!$A$1:$A$36,BS!B$1:B$36,,0,1)/_xlfn.XLOOKUP($A$20,BS!$A$1:$A$36,BS!B$1:B$36,,0,1)</f>
        <v/>
      </c>
      <c r="C30" s="15">
        <f>_xlfn.XLOOKUP($A30,BS!$A$1:$A$36,BS!C$1:C$36,,0,1)/_xlfn.XLOOKUP($A$20,BS!$A$1:$A$36,BS!C$1:C$36,,0,1)</f>
        <v/>
      </c>
      <c r="D30" s="15">
        <f>_xlfn.XLOOKUP($A30,BS!$A$1:$A$36,BS!D$1:D$36,,0,1)/_xlfn.XLOOKUP($A$20,BS!$A$1:$A$36,BS!D$1:D$36,,0,1)</f>
        <v/>
      </c>
      <c r="E30" s="15">
        <f>_xlfn.XLOOKUP($A30,BS!$A$1:$A$36,BS!E$1:E$36,,0,1)/_xlfn.XLOOKUP($A$20,BS!$A$1:$A$36,BS!E$1:E$36,,0,1)</f>
        <v/>
      </c>
      <c r="F30" s="15">
        <f>_xlfn.XLOOKUP($A30,BS!$A$1:$A$36,BS!F$1:F$36,,0,1)/_xlfn.XLOOKUP($A$20,BS!$A$1:$A$36,BS!F$1:F$36,,0,1)</f>
        <v/>
      </c>
    </row>
    <row r="31" ht="16" customHeight="1">
      <c r="A31">
        <f>BS!A31</f>
        <v/>
      </c>
      <c r="B31" s="15">
        <f>_xlfn.XLOOKUP($A31,BS!$A$1:$A$36,BS!B$1:B$36,,0,1)/_xlfn.XLOOKUP($A$20,BS!$A$1:$A$36,BS!B$1:B$36,,0,1)</f>
        <v/>
      </c>
      <c r="C31" s="15">
        <f>_xlfn.XLOOKUP($A31,BS!$A$1:$A$36,BS!C$1:C$36,,0,1)/_xlfn.XLOOKUP($A$20,BS!$A$1:$A$36,BS!C$1:C$36,,0,1)</f>
        <v/>
      </c>
      <c r="D31" s="15">
        <f>_xlfn.XLOOKUP($A31,BS!$A$1:$A$36,BS!D$1:D$36,,0,1)/_xlfn.XLOOKUP($A$20,BS!$A$1:$A$36,BS!D$1:D$36,,0,1)</f>
        <v/>
      </c>
      <c r="E31" s="15">
        <f>_xlfn.XLOOKUP($A31,BS!$A$1:$A$36,BS!E$1:E$36,,0,1)/_xlfn.XLOOKUP($A$20,BS!$A$1:$A$36,BS!E$1:E$36,,0,1)</f>
        <v/>
      </c>
      <c r="F31" s="15">
        <f>_xlfn.XLOOKUP($A31,BS!$A$1:$A$36,BS!F$1:F$36,,0,1)/_xlfn.XLOOKUP($A$20,BS!$A$1:$A$36,BS!F$1:F$36,,0,1)</f>
        <v/>
      </c>
    </row>
    <row r="32" ht="16" customHeight="1">
      <c r="A32">
        <f>BS!A32</f>
        <v/>
      </c>
      <c r="B32" s="15">
        <f>_xlfn.XLOOKUP($A32,BS!$A$1:$A$36,BS!B$1:B$36,,0,1)/_xlfn.XLOOKUP($A$20,BS!$A$1:$A$36,BS!B$1:B$36,,0,1)</f>
        <v/>
      </c>
      <c r="C32" s="15">
        <f>_xlfn.XLOOKUP($A32,BS!$A$1:$A$36,BS!C$1:C$36,,0,1)/_xlfn.XLOOKUP($A$20,BS!$A$1:$A$36,BS!C$1:C$36,,0,1)</f>
        <v/>
      </c>
      <c r="D32" s="15">
        <f>_xlfn.XLOOKUP($A32,BS!$A$1:$A$36,BS!D$1:D$36,,0,1)/_xlfn.XLOOKUP($A$20,BS!$A$1:$A$36,BS!D$1:D$36,,0,1)</f>
        <v/>
      </c>
      <c r="E32" s="15">
        <f>_xlfn.XLOOKUP($A32,BS!$A$1:$A$36,BS!E$1:E$36,,0,1)/_xlfn.XLOOKUP($A$20,BS!$A$1:$A$36,BS!E$1:E$36,,0,1)</f>
        <v/>
      </c>
      <c r="F32" s="15">
        <f>_xlfn.XLOOKUP($A32,BS!$A$1:$A$36,BS!F$1:F$36,,0,1)/_xlfn.XLOOKUP($A$20,BS!$A$1:$A$36,BS!F$1:F$36,,0,1)</f>
        <v/>
      </c>
    </row>
    <row r="33" ht="16" customHeight="1">
      <c r="A33">
        <f>BS!A33</f>
        <v/>
      </c>
      <c r="B33" s="15">
        <f>_xlfn.XLOOKUP($A33,BS!$A$1:$A$36,BS!B$1:B$36,,0,1)/_xlfn.XLOOKUP($A$20,BS!$A$1:$A$36,BS!B$1:B$36,,0,1)</f>
        <v/>
      </c>
      <c r="C33" s="15">
        <f>_xlfn.XLOOKUP($A33,BS!$A$1:$A$36,BS!C$1:C$36,,0,1)/_xlfn.XLOOKUP($A$20,BS!$A$1:$A$36,BS!C$1:C$36,,0,1)</f>
        <v/>
      </c>
      <c r="D33" s="15">
        <f>_xlfn.XLOOKUP($A33,BS!$A$1:$A$36,BS!D$1:D$36,,0,1)/_xlfn.XLOOKUP($A$20,BS!$A$1:$A$36,BS!D$1:D$36,,0,1)</f>
        <v/>
      </c>
      <c r="E33" s="15">
        <f>_xlfn.XLOOKUP($A33,BS!$A$1:$A$36,BS!E$1:E$36,,0,1)/_xlfn.XLOOKUP($A$20,BS!$A$1:$A$36,BS!E$1:E$36,,0,1)</f>
        <v/>
      </c>
      <c r="F33" s="15">
        <f>_xlfn.XLOOKUP($A33,BS!$A$1:$A$36,BS!F$1:F$36,,0,1)/_xlfn.XLOOKUP($A$20,BS!$A$1:$A$36,BS!F$1:F$36,,0,1)</f>
        <v/>
      </c>
    </row>
    <row r="34" ht="16" customHeight="1">
      <c r="A34">
        <f>BS!A34</f>
        <v/>
      </c>
      <c r="B34" s="15">
        <f>_xlfn.XLOOKUP($A34,BS!$A$1:$A$36,BS!B$1:B$36,,0,1)/_xlfn.XLOOKUP($A$20,BS!$A$1:$A$36,BS!B$1:B$36,,0,1)</f>
        <v/>
      </c>
      <c r="C34" s="15">
        <f>_xlfn.XLOOKUP($A34,BS!$A$1:$A$36,BS!C$1:C$36,,0,1)/_xlfn.XLOOKUP($A$20,BS!$A$1:$A$36,BS!C$1:C$36,,0,1)</f>
        <v/>
      </c>
      <c r="D34" s="15">
        <f>_xlfn.XLOOKUP($A34,BS!$A$1:$A$36,BS!D$1:D$36,,0,1)/_xlfn.XLOOKUP($A$20,BS!$A$1:$A$36,BS!D$1:D$36,,0,1)</f>
        <v/>
      </c>
      <c r="E34" s="15">
        <f>_xlfn.XLOOKUP($A34,BS!$A$1:$A$36,BS!E$1:E$36,,0,1)/_xlfn.XLOOKUP($A$20,BS!$A$1:$A$36,BS!E$1:E$36,,0,1)</f>
        <v/>
      </c>
      <c r="F34" s="15">
        <f>_xlfn.XLOOKUP($A34,BS!$A$1:$A$36,BS!F$1:F$36,,0,1)/_xlfn.XLOOKUP($A$20,BS!$A$1:$A$36,BS!F$1:F$36,,0,1)</f>
        <v/>
      </c>
    </row>
    <row r="35" ht="16" customHeight="1">
      <c r="A35">
        <f>BS!A35</f>
        <v/>
      </c>
      <c r="B35" s="15">
        <f>_xlfn.XLOOKUP($A35,BS!$A$1:$A$36,BS!B$1:B$36,,0,1)/_xlfn.XLOOKUP($A$20,BS!$A$1:$A$36,BS!B$1:B$36,,0,1)</f>
        <v/>
      </c>
      <c r="C35" s="15">
        <f>_xlfn.XLOOKUP($A35,BS!$A$1:$A$36,BS!C$1:C$36,,0,1)/_xlfn.XLOOKUP($A$20,BS!$A$1:$A$36,BS!C$1:C$36,,0,1)</f>
        <v/>
      </c>
      <c r="D35" s="15">
        <f>_xlfn.XLOOKUP($A35,BS!$A$1:$A$36,BS!D$1:D$36,,0,1)/_xlfn.XLOOKUP($A$20,BS!$A$1:$A$36,BS!D$1:D$36,,0,1)</f>
        <v/>
      </c>
      <c r="E35" s="15">
        <f>_xlfn.XLOOKUP($A35,BS!$A$1:$A$36,BS!E$1:E$36,,0,1)/_xlfn.XLOOKUP($A$20,BS!$A$1:$A$36,BS!E$1:E$36,,0,1)</f>
        <v/>
      </c>
      <c r="F35" s="15">
        <f>_xlfn.XLOOKUP($A35,BS!$A$1:$A$36,BS!F$1:F$36,,0,1)/_xlfn.XLOOKUP($A$20,BS!$A$1:$A$36,BS!F$1:F$36,,0,1)</f>
        <v/>
      </c>
    </row>
    <row r="36" ht="16" customHeight="1">
      <c r="A36">
        <f>BS!A36</f>
        <v/>
      </c>
      <c r="B36" s="15">
        <f>_xlfn.XLOOKUP($A36,BS!$A$1:$A$36,BS!B$1:B$36,,0,1)/_xlfn.XLOOKUP($A$20,BS!$A$1:$A$36,BS!B$1:B$36,,0,1)</f>
        <v/>
      </c>
      <c r="C36" s="15">
        <f>_xlfn.XLOOKUP($A36,BS!$A$1:$A$36,BS!C$1:C$36,,0,1)/_xlfn.XLOOKUP($A$20,BS!$A$1:$A$36,BS!C$1:C$36,,0,1)</f>
        <v/>
      </c>
      <c r="D36" s="15">
        <f>_xlfn.XLOOKUP($A36,BS!$A$1:$A$36,BS!D$1:D$36,,0,1)/_xlfn.XLOOKUP($A$20,BS!$A$1:$A$36,BS!D$1:D$36,,0,1)</f>
        <v/>
      </c>
      <c r="E36" s="15">
        <f>_xlfn.XLOOKUP($A36,BS!$A$1:$A$36,BS!E$1:E$36,,0,1)/_xlfn.XLOOKUP($A$20,BS!$A$1:$A$36,BS!E$1:E$36,,0,1)</f>
        <v/>
      </c>
      <c r="F36" s="15">
        <f>_xlfn.XLOOKUP($A36,BS!$A$1:$A$36,BS!F$1:F$36,,0,1)/_xlfn.XLOOKUP($A$20,BS!$A$1:$A$36,BS!F$1:F$36,,0,1)</f>
        <v/>
      </c>
    </row>
  </sheetData>
  <sheetProtection selectLockedCells="0" selectUnlockedCells="0" sheet="1" objects="1" insertRows="0" insertHyperlinks="1" autoFilter="0" scenarios="1" formatColumns="0" deleteColumns="0" insertColumns="0" pivotTables="0" deleteRows="0" formatCells="0" formatRows="0" sort="0" password="AE3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srikanth potharla</dc:creator>
  <dcterms:created xmlns:dcterms="http://purl.org/dc/terms/" xmlns:xsi="http://www.w3.org/2001/XMLSchema-instance" xsi:type="dcterms:W3CDTF">2025-11-19T08:24:03Z</dcterms:created>
  <dcterms:modified xmlns:dcterms="http://purl.org/dc/terms/" xmlns:xsi="http://www.w3.org/2001/XMLSchema-instance" xsi:type="dcterms:W3CDTF">2026-01-01T18:28:25Z</dcterms:modified>
  <cp:lastModifiedBy>srikanthyadav444p</cp:lastModifiedBy>
</cp:coreProperties>
</file>