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01MBA-FINANCIAL MODELLING\01TOPIC-WISE RESOURCES\04_Financial Statement Forecasting\"/>
    </mc:Choice>
  </mc:AlternateContent>
  <xr:revisionPtr revIDLastSave="0" documentId="13_ncr:1_{2722F3AB-2890-490C-9101-358563E41E5A}" xr6:coauthVersionLast="47" xr6:coauthVersionMax="47" xr10:uidLastSave="{00000000-0000-0000-0000-000000000000}"/>
  <bookViews>
    <workbookView xWindow="-110" yWindow="-110" windowWidth="19420" windowHeight="10300" firstSheet="1" activeTab="6" xr2:uid="{00000000-000D-0000-FFFF-FFFF00000000}"/>
  </bookViews>
  <sheets>
    <sheet name="P&amp;L source" sheetId="18" r:id="rId1"/>
    <sheet name="BS source" sheetId="19" r:id="rId2"/>
    <sheet name="P&amp;L assumptions" sheetId="3" r:id="rId3"/>
    <sheet name="BS assumptions" sheetId="4" r:id="rId4"/>
    <sheet name="P&amp;L" sheetId="6" r:id="rId5"/>
    <sheet name="BS" sheetId="7" r:id="rId6"/>
    <sheet name="Cash Flow" sheetId="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5" roundtripDataChecksum="ivLX6YbNqbIgfJxx7nuf6zXJyhRz6VE7ekdqj5FDvAg="/>
    </ext>
  </extLst>
</workbook>
</file>

<file path=xl/calcChain.xml><?xml version="1.0" encoding="utf-8"?>
<calcChain xmlns="http://schemas.openxmlformats.org/spreadsheetml/2006/main">
  <c r="J27" i="19" l="1"/>
  <c r="J28" i="19" s="1"/>
  <c r="I27" i="19"/>
  <c r="I28" i="19" s="1"/>
  <c r="H27" i="19"/>
  <c r="C25" i="19"/>
  <c r="E24" i="19"/>
  <c r="D24" i="19"/>
  <c r="C24" i="19"/>
  <c r="J18" i="19"/>
  <c r="I18" i="19"/>
  <c r="H18" i="19"/>
  <c r="H28" i="19" s="1"/>
  <c r="E15" i="19"/>
  <c r="E25" i="19" s="1"/>
  <c r="D15" i="19"/>
  <c r="D25" i="19" s="1"/>
  <c r="J10" i="19"/>
  <c r="J29" i="19" s="1"/>
  <c r="I10" i="19"/>
  <c r="H10" i="19"/>
  <c r="H29" i="19" s="1"/>
  <c r="E10" i="18"/>
  <c r="E9" i="18"/>
  <c r="D9" i="18"/>
  <c r="D10" i="18" s="1"/>
  <c r="C9" i="18"/>
  <c r="C10" i="18" s="1"/>
  <c r="E6" i="18"/>
  <c r="D6" i="18"/>
  <c r="C6" i="18"/>
  <c r="E16" i="18" l="1"/>
  <c r="E11" i="18"/>
  <c r="C11" i="18"/>
  <c r="C16" i="18"/>
  <c r="D11" i="18"/>
  <c r="D16" i="18"/>
  <c r="I29" i="19"/>
  <c r="C30" i="18" l="1"/>
  <c r="C22" i="18"/>
  <c r="C25" i="18" s="1"/>
  <c r="C26" i="18" s="1"/>
  <c r="D30" i="18"/>
  <c r="D22" i="18"/>
  <c r="D25" i="18" s="1"/>
  <c r="D26" i="18" s="1"/>
  <c r="E22" i="18"/>
  <c r="E25" i="18" s="1"/>
  <c r="E26" i="18" s="1"/>
  <c r="E30" i="18"/>
  <c r="D31" i="18" l="1"/>
  <c r="D28" i="18"/>
  <c r="D29" i="18" s="1"/>
  <c r="C31" i="18"/>
  <c r="C28" i="18"/>
  <c r="C29" i="18" s="1"/>
  <c r="E28" i="18"/>
  <c r="E29" i="18" s="1"/>
  <c r="E31" i="18"/>
</calcChain>
</file>

<file path=xl/sharedStrings.xml><?xml version="1.0" encoding="utf-8"?>
<sst xmlns="http://schemas.openxmlformats.org/spreadsheetml/2006/main" count="282" uniqueCount="167">
  <si>
    <t>P&amp;L assumptions</t>
  </si>
  <si>
    <t>Scenarios</t>
  </si>
  <si>
    <t>Selected Case</t>
  </si>
  <si>
    <t>Case 1</t>
  </si>
  <si>
    <t>Optimistic case</t>
  </si>
  <si>
    <t>Case 2</t>
  </si>
  <si>
    <t>Base Case</t>
  </si>
  <si>
    <t>Case 3</t>
  </si>
  <si>
    <t>Worst Case</t>
  </si>
  <si>
    <t xml:space="preserve"> INR In Millions</t>
  </si>
  <si>
    <t>FY22
Actual</t>
  </si>
  <si>
    <t>FY23
Actual</t>
  </si>
  <si>
    <t>FY24
Actual</t>
  </si>
  <si>
    <t>FY25
Forecast</t>
  </si>
  <si>
    <t>FY26
Forecast</t>
  </si>
  <si>
    <t>FY27
Forecast</t>
  </si>
  <si>
    <t>FY28
Forecast</t>
  </si>
  <si>
    <t>FY29
Forecast</t>
  </si>
  <si>
    <t>FY30
Forecast</t>
  </si>
  <si>
    <t>FY31
Forecast</t>
  </si>
  <si>
    <t>FY32
Forecast</t>
  </si>
  <si>
    <t>FY33
Forecast</t>
  </si>
  <si>
    <t>FY34
Forecast</t>
  </si>
  <si>
    <t>Revenues</t>
  </si>
  <si>
    <t>y-o-y growth %</t>
  </si>
  <si>
    <t>Other revenues</t>
  </si>
  <si>
    <t>Cost of goods sold</t>
  </si>
  <si>
    <t>% of revenues</t>
  </si>
  <si>
    <t>Operating expenses</t>
  </si>
  <si>
    <t>D&amp;A</t>
  </si>
  <si>
    <t>Interest expense</t>
  </si>
  <si>
    <t>Extraordinary income</t>
  </si>
  <si>
    <t>BS assumptions</t>
  </si>
  <si>
    <t>INR In Millions</t>
  </si>
  <si>
    <t xml:space="preserve">Trade receivable </t>
  </si>
  <si>
    <t xml:space="preserve">Days receivable </t>
  </si>
  <si>
    <t xml:space="preserve">Inventory </t>
  </si>
  <si>
    <t xml:space="preserve">Days Inventory </t>
  </si>
  <si>
    <t xml:space="preserve">Trade payables </t>
  </si>
  <si>
    <t xml:space="preserve">Days payable </t>
  </si>
  <si>
    <t xml:space="preserve">PP&amp;E </t>
  </si>
  <si>
    <t xml:space="preserve">as a % of revenue </t>
  </si>
  <si>
    <t xml:space="preserve">Other assets </t>
  </si>
  <si>
    <t>Other liabilities</t>
  </si>
  <si>
    <t>P&amp;L</t>
  </si>
  <si>
    <t>Note</t>
  </si>
  <si>
    <t>Taxes are assumed as NIL</t>
  </si>
  <si>
    <t xml:space="preserve">Total revenue </t>
  </si>
  <si>
    <t xml:space="preserve">Gross margin </t>
  </si>
  <si>
    <t xml:space="preserve">EBITDA </t>
  </si>
  <si>
    <t xml:space="preserve">EBIT </t>
  </si>
  <si>
    <t xml:space="preserve">EBT </t>
  </si>
  <si>
    <t>Tax Rate</t>
  </si>
  <si>
    <t>Taxes</t>
  </si>
  <si>
    <t xml:space="preserve">Net income </t>
  </si>
  <si>
    <t>Balance Sheet</t>
  </si>
  <si>
    <t>Intangible assets</t>
  </si>
  <si>
    <t>Flat</t>
  </si>
  <si>
    <t>Financial assets</t>
  </si>
  <si>
    <t>Cash and equivalents</t>
  </si>
  <si>
    <t>Total Assets</t>
  </si>
  <si>
    <t>Financial liabilities</t>
  </si>
  <si>
    <t>Shareholders' equity</t>
  </si>
  <si>
    <t>Last year equity + Net Income</t>
  </si>
  <si>
    <t>Total Liabilities &amp; Equities</t>
  </si>
  <si>
    <t>Check</t>
  </si>
  <si>
    <t>Cash Flow</t>
  </si>
  <si>
    <t>Note:Here we will prepare an unlevered cash flow</t>
  </si>
  <si>
    <t>EBIT</t>
  </si>
  <si>
    <t>Operating taxes</t>
  </si>
  <si>
    <t xml:space="preserve">Ignore taxes and tax rate </t>
  </si>
  <si>
    <t>Operating tax rate</t>
  </si>
  <si>
    <t>NOPAT</t>
  </si>
  <si>
    <t>Add-back D&amp;A</t>
  </si>
  <si>
    <t>Gross Cash Flow</t>
  </si>
  <si>
    <t>1)</t>
  </si>
  <si>
    <t>Inventory</t>
  </si>
  <si>
    <t>Trade receivables</t>
  </si>
  <si>
    <t>Trade payables</t>
  </si>
  <si>
    <t>Investments in working capital</t>
  </si>
  <si>
    <t>2)</t>
  </si>
  <si>
    <t>Investments in other assets/liabilities</t>
  </si>
  <si>
    <t>3)</t>
  </si>
  <si>
    <t>Capex</t>
  </si>
  <si>
    <t>4)</t>
  </si>
  <si>
    <t>Investments (other)</t>
  </si>
  <si>
    <t>5)</t>
  </si>
  <si>
    <t>Extraordinary items</t>
  </si>
  <si>
    <t>6)</t>
  </si>
  <si>
    <t>UFCF</t>
  </si>
  <si>
    <t>1)+2)+3)+4)+5)+6)</t>
  </si>
  <si>
    <t>Interest Expenses</t>
  </si>
  <si>
    <t>Delta Financial Liabilities</t>
  </si>
  <si>
    <t>Delta Equity(incl dividends)</t>
  </si>
  <si>
    <t>Net Cash Flow</t>
  </si>
  <si>
    <t>Opening cash</t>
  </si>
  <si>
    <t>Closing cash</t>
  </si>
  <si>
    <t>INR in Millions</t>
  </si>
  <si>
    <t>EBITDA</t>
  </si>
  <si>
    <t>P&amp;L source</t>
  </si>
  <si>
    <t xml:space="preserve"> YEAR 2022</t>
  </si>
  <si>
    <t xml:space="preserve"> YEAR 2023</t>
  </si>
  <si>
    <t xml:space="preserve"> YEAR 2024</t>
  </si>
  <si>
    <t>Revenues from Operations</t>
  </si>
  <si>
    <t>Other Income</t>
  </si>
  <si>
    <t>Total Revenues</t>
  </si>
  <si>
    <t>Cost of Good Sold</t>
  </si>
  <si>
    <t>Delivery and related charges</t>
  </si>
  <si>
    <t>Total COGS</t>
  </si>
  <si>
    <t>Gross Profit</t>
  </si>
  <si>
    <t>Gross Margin</t>
  </si>
  <si>
    <t>Advertising and sales promotion</t>
  </si>
  <si>
    <t>Other Expenses</t>
  </si>
  <si>
    <t>Employee benefits expense</t>
  </si>
  <si>
    <t>Depreciation and amortisation expense</t>
  </si>
  <si>
    <t>Finance costs</t>
  </si>
  <si>
    <t>Share in net loss of an associate</t>
  </si>
  <si>
    <t>Exceptional items</t>
  </si>
  <si>
    <t>Income before tax</t>
  </si>
  <si>
    <t>Income tax expense</t>
  </si>
  <si>
    <t>Net income for the year</t>
  </si>
  <si>
    <t>NI Margin</t>
  </si>
  <si>
    <t>Margin</t>
  </si>
  <si>
    <t>BS source</t>
  </si>
  <si>
    <t>31ST DEC 22</t>
  </si>
  <si>
    <t>31ST DEC 23</t>
  </si>
  <si>
    <t>31ST DEC 24</t>
  </si>
  <si>
    <t>INR IN Millions</t>
  </si>
  <si>
    <t>31ST  DEC 24</t>
  </si>
  <si>
    <t>ASSETS</t>
  </si>
  <si>
    <t>EQUITY AND LIABILITIES</t>
  </si>
  <si>
    <t>Non-current asets</t>
  </si>
  <si>
    <t>Equity</t>
  </si>
  <si>
    <t>Property, plant and equipment</t>
  </si>
  <si>
    <t>Equity share capital</t>
  </si>
  <si>
    <t>Right-of-use assets</t>
  </si>
  <si>
    <t>Additional Paid up Capital (Share Premium)</t>
  </si>
  <si>
    <t>Goodwill</t>
  </si>
  <si>
    <t>Instruments entirely equity in nature</t>
  </si>
  <si>
    <t>Other intangible assets</t>
  </si>
  <si>
    <t>Other equity</t>
  </si>
  <si>
    <t>Investment in associates</t>
  </si>
  <si>
    <t>Total equity</t>
  </si>
  <si>
    <t>Investments</t>
  </si>
  <si>
    <t>Other financial assets</t>
  </si>
  <si>
    <t>Non-current liabilities</t>
  </si>
  <si>
    <t>Income tax assets</t>
  </si>
  <si>
    <t>Borrowings</t>
  </si>
  <si>
    <t>Other assets</t>
  </si>
  <si>
    <t>Lease Liabilties</t>
  </si>
  <si>
    <t>Total non-current assets</t>
  </si>
  <si>
    <t>Other Financial Liabilties</t>
  </si>
  <si>
    <t>Current assets</t>
  </si>
  <si>
    <t>Contracts Liabilities</t>
  </si>
  <si>
    <t>Inventories</t>
  </si>
  <si>
    <t>Provisons</t>
  </si>
  <si>
    <t>Total non-current liabilities</t>
  </si>
  <si>
    <t>Current liabilities</t>
  </si>
  <si>
    <t>Cash and cash equivalents</t>
  </si>
  <si>
    <t>Bank balances other than cash and equivalents</t>
  </si>
  <si>
    <t>Trade Payables</t>
  </si>
  <si>
    <t>Total current assets</t>
  </si>
  <si>
    <t>TOTAL ASSETS</t>
  </si>
  <si>
    <t>Other Liabilties</t>
  </si>
  <si>
    <t>Total current liabilities</t>
  </si>
  <si>
    <t>Total liabilities</t>
  </si>
  <si>
    <t>Total shareholders’ equity and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</si>
</sst>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* #,##0.0_);_(* \(#,##0.0\);_(* &quot;-&quot;?_);@_)"/>
    <numFmt numFmtId="165" formatCode="_(* #,##0_);_(* \(#,##0\);_(* &quot;-&quot;?_);@_)"/>
    <numFmt numFmtId="166" formatCode="0.0%"/>
    <numFmt numFmtId="167" formatCode="_(* #,##0_);_(* \(#,##0\);_(* &quot;-&quot;??_);_(@_)"/>
    <numFmt numFmtId="168" formatCode="_(* #,##0.0_);_(* \(#,##0.0\);_(* &quot;-&quot;?_);@_l"/>
    <numFmt numFmtId="169" formatCode="_(* #,##0_);_(* \(#,##0\);_(* &quot;-&quot;?_);@_l"/>
    <numFmt numFmtId="170" formatCode="_(* #,##0.00_);_(* \(#,##0.00\);_(* &quot;-&quot;?_);@_)"/>
  </numFmts>
  <fonts count="15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16"/>
      <color rgb="FF002060"/>
      <name val="Arial"/>
      <family val="2"/>
    </font>
    <font>
      <b/>
      <sz val="22"/>
      <color rgb="FF002060"/>
      <name val="Arial"/>
      <family val="2"/>
    </font>
    <font>
      <sz val="14"/>
      <color theme="1"/>
      <name val="Arial"/>
      <family val="2"/>
    </font>
    <font>
      <b/>
      <sz val="14"/>
      <color rgb="FF002060"/>
      <name val="Arial"/>
      <family val="2"/>
    </font>
    <font>
      <b/>
      <sz val="14"/>
      <color theme="0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rgb="FF002060"/>
      <name val="Arial"/>
      <family val="2"/>
    </font>
    <font>
      <i/>
      <sz val="8"/>
      <color theme="1"/>
      <name val="Arial"/>
      <family val="2"/>
    </font>
    <font>
      <sz val="9"/>
      <color rgb="FF002060"/>
      <name val="Arial"/>
      <family val="2"/>
    </font>
    <font>
      <b/>
      <sz val="9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002060"/>
        <bgColor rgb="FF002060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78">
    <xf numFmtId="0" fontId="0" fillId="0" borderId="0" xfId="0"/>
    <xf numFmtId="164" fontId="2" fillId="2" borderId="1" xfId="0" applyNumberFormat="1" applyFont="1" applyFill="1" applyBorder="1"/>
    <xf numFmtId="164" fontId="10" fillId="2" borderId="1" xfId="0" applyNumberFormat="1" applyFont="1" applyFill="1" applyBorder="1"/>
    <xf numFmtId="164" fontId="11" fillId="2" borderId="2" xfId="0" applyNumberFormat="1" applyFont="1" applyFill="1" applyBorder="1" applyAlignment="1">
      <alignment horizontal="right" wrapText="1"/>
    </xf>
    <xf numFmtId="164" fontId="11" fillId="3" borderId="2" xfId="0" applyNumberFormat="1" applyFont="1" applyFill="1" applyBorder="1" applyAlignment="1">
      <alignment horizontal="right" wrapText="1"/>
    </xf>
    <xf numFmtId="165" fontId="2" fillId="2" borderId="1" xfId="0" applyNumberFormat="1" applyFont="1" applyFill="1" applyBorder="1"/>
    <xf numFmtId="165" fontId="2" fillId="3" borderId="1" xfId="0" applyNumberFormat="1" applyFont="1" applyFill="1" applyBorder="1"/>
    <xf numFmtId="164" fontId="3" fillId="2" borderId="1" xfId="0" applyNumberFormat="1" applyFont="1" applyFill="1" applyBorder="1"/>
    <xf numFmtId="164" fontId="11" fillId="2" borderId="2" xfId="0" applyNumberFormat="1" applyFont="1" applyFill="1" applyBorder="1"/>
    <xf numFmtId="164" fontId="12" fillId="2" borderId="1" xfId="0" applyNumberFormat="1" applyFont="1" applyFill="1" applyBorder="1"/>
    <xf numFmtId="164" fontId="12" fillId="3" borderId="1" xfId="0" applyNumberFormat="1" applyFont="1" applyFill="1" applyBorder="1"/>
    <xf numFmtId="164" fontId="2" fillId="3" borderId="1" xfId="0" applyNumberFormat="1" applyFont="1" applyFill="1" applyBorder="1"/>
    <xf numFmtId="166" fontId="12" fillId="2" borderId="1" xfId="0" applyNumberFormat="1" applyFont="1" applyFill="1" applyBorder="1"/>
    <xf numFmtId="166" fontId="12" fillId="3" borderId="1" xfId="0" applyNumberFormat="1" applyFont="1" applyFill="1" applyBorder="1"/>
    <xf numFmtId="164" fontId="11" fillId="2" borderId="2" xfId="0" applyNumberFormat="1" applyFont="1" applyFill="1" applyBorder="1" applyAlignment="1">
      <alignment wrapText="1"/>
    </xf>
    <xf numFmtId="165" fontId="2" fillId="4" borderId="1" xfId="0" applyNumberFormat="1" applyFont="1" applyFill="1" applyBorder="1"/>
    <xf numFmtId="164" fontId="11" fillId="2" borderId="3" xfId="0" applyNumberFormat="1" applyFont="1" applyFill="1" applyBorder="1"/>
    <xf numFmtId="165" fontId="11" fillId="2" borderId="3" xfId="0" applyNumberFormat="1" applyFont="1" applyFill="1" applyBorder="1"/>
    <xf numFmtId="164" fontId="11" fillId="2" borderId="1" xfId="0" applyNumberFormat="1" applyFont="1" applyFill="1" applyBorder="1"/>
    <xf numFmtId="165" fontId="11" fillId="2" borderId="1" xfId="0" applyNumberFormat="1" applyFont="1" applyFill="1" applyBorder="1"/>
    <xf numFmtId="165" fontId="13" fillId="2" borderId="1" xfId="0" applyNumberFormat="1" applyFont="1" applyFill="1" applyBorder="1"/>
    <xf numFmtId="164" fontId="2" fillId="4" borderId="1" xfId="0" applyNumberFormat="1" applyFont="1" applyFill="1" applyBorder="1"/>
    <xf numFmtId="167" fontId="2" fillId="2" borderId="1" xfId="0" applyNumberFormat="1" applyFont="1" applyFill="1" applyBorder="1"/>
    <xf numFmtId="167" fontId="2" fillId="4" borderId="1" xfId="0" applyNumberFormat="1" applyFont="1" applyFill="1" applyBorder="1"/>
    <xf numFmtId="2" fontId="2" fillId="2" borderId="1" xfId="0" applyNumberFormat="1" applyFont="1" applyFill="1" applyBorder="1"/>
    <xf numFmtId="2" fontId="2" fillId="4" borderId="1" xfId="0" applyNumberFormat="1" applyFont="1" applyFill="1" applyBorder="1"/>
    <xf numFmtId="164" fontId="14" fillId="5" borderId="1" xfId="0" applyNumberFormat="1" applyFont="1" applyFill="1" applyBorder="1"/>
    <xf numFmtId="165" fontId="14" fillId="5" borderId="1" xfId="0" applyNumberFormat="1" applyFont="1" applyFill="1" applyBorder="1"/>
    <xf numFmtId="164" fontId="11" fillId="2" borderId="4" xfId="0" applyNumberFormat="1" applyFont="1" applyFill="1" applyBorder="1"/>
    <xf numFmtId="165" fontId="11" fillId="2" borderId="4" xfId="0" applyNumberFormat="1" applyFont="1" applyFill="1" applyBorder="1"/>
    <xf numFmtId="168" fontId="2" fillId="2" borderId="1" xfId="0" applyNumberFormat="1" applyFont="1" applyFill="1" applyBorder="1"/>
    <xf numFmtId="168" fontId="3" fillId="2" borderId="1" xfId="0" applyNumberFormat="1" applyFont="1" applyFill="1" applyBorder="1"/>
    <xf numFmtId="168" fontId="13" fillId="2" borderId="1" xfId="0" applyNumberFormat="1" applyFont="1" applyFill="1" applyBorder="1"/>
    <xf numFmtId="169" fontId="2" fillId="3" borderId="1" xfId="0" applyNumberFormat="1" applyFont="1" applyFill="1" applyBorder="1"/>
    <xf numFmtId="168" fontId="2" fillId="2" borderId="3" xfId="0" applyNumberFormat="1" applyFont="1" applyFill="1" applyBorder="1"/>
    <xf numFmtId="165" fontId="13" fillId="3" borderId="3" xfId="0" applyNumberFormat="1" applyFont="1" applyFill="1" applyBorder="1"/>
    <xf numFmtId="165" fontId="11" fillId="3" borderId="3" xfId="0" applyNumberFormat="1" applyFont="1" applyFill="1" applyBorder="1"/>
    <xf numFmtId="165" fontId="2" fillId="3" borderId="3" xfId="0" applyNumberFormat="1" applyFont="1" applyFill="1" applyBorder="1"/>
    <xf numFmtId="165" fontId="11" fillId="3" borderId="1" xfId="0" applyNumberFormat="1" applyFont="1" applyFill="1" applyBorder="1"/>
    <xf numFmtId="165" fontId="13" fillId="3" borderId="1" xfId="0" applyNumberFormat="1" applyFont="1" applyFill="1" applyBorder="1"/>
    <xf numFmtId="168" fontId="11" fillId="2" borderId="1" xfId="0" applyNumberFormat="1" applyFont="1" applyFill="1" applyBorder="1"/>
    <xf numFmtId="168" fontId="2" fillId="3" borderId="1" xfId="0" applyNumberFormat="1" applyFont="1" applyFill="1" applyBorder="1"/>
    <xf numFmtId="165" fontId="14" fillId="3" borderId="1" xfId="0" applyNumberFormat="1" applyFont="1" applyFill="1" applyBorder="1"/>
    <xf numFmtId="165" fontId="10" fillId="3" borderId="1" xfId="0" applyNumberFormat="1" applyFont="1" applyFill="1" applyBorder="1"/>
    <xf numFmtId="164" fontId="10" fillId="2" borderId="5" xfId="0" applyNumberFormat="1" applyFont="1" applyFill="1" applyBorder="1"/>
    <xf numFmtId="165" fontId="10" fillId="2" borderId="5" xfId="0" applyNumberFormat="1" applyFont="1" applyFill="1" applyBorder="1"/>
    <xf numFmtId="165" fontId="10" fillId="2" borderId="5" xfId="0" applyNumberFormat="1" applyFont="1" applyFill="1" applyBorder="1" applyAlignment="1">
      <alignment horizontal="right" wrapText="1"/>
    </xf>
    <xf numFmtId="164" fontId="10" fillId="2" borderId="5" xfId="0" applyNumberFormat="1" applyFont="1" applyFill="1" applyBorder="1" applyAlignment="1">
      <alignment horizontal="right" wrapText="1"/>
    </xf>
    <xf numFmtId="170" fontId="2" fillId="2" borderId="1" xfId="0" applyNumberFormat="1" applyFont="1" applyFill="1" applyBorder="1"/>
    <xf numFmtId="164" fontId="10" fillId="2" borderId="3" xfId="0" applyNumberFormat="1" applyFont="1" applyFill="1" applyBorder="1"/>
    <xf numFmtId="165" fontId="10" fillId="2" borderId="3" xfId="0" applyNumberFormat="1" applyFont="1" applyFill="1" applyBorder="1"/>
    <xf numFmtId="164" fontId="10" fillId="2" borderId="6" xfId="0" applyNumberFormat="1" applyFont="1" applyFill="1" applyBorder="1"/>
    <xf numFmtId="165" fontId="10" fillId="2" borderId="6" xfId="0" applyNumberFormat="1" applyFont="1" applyFill="1" applyBorder="1"/>
    <xf numFmtId="164" fontId="2" fillId="2" borderId="6" xfId="0" applyNumberFormat="1" applyFont="1" applyFill="1" applyBorder="1"/>
    <xf numFmtId="165" fontId="2" fillId="2" borderId="6" xfId="0" applyNumberFormat="1" applyFont="1" applyFill="1" applyBorder="1"/>
    <xf numFmtId="165" fontId="10" fillId="2" borderId="1" xfId="0" applyNumberFormat="1" applyFont="1" applyFill="1" applyBorder="1"/>
    <xf numFmtId="164" fontId="2" fillId="2" borderId="5" xfId="0" applyNumberFormat="1" applyFont="1" applyFill="1" applyBorder="1"/>
    <xf numFmtId="164" fontId="2" fillId="0" borderId="1" xfId="0" applyNumberFormat="1" applyFont="1" applyFill="1" applyBorder="1"/>
    <xf numFmtId="164" fontId="4" fillId="0" borderId="1" xfId="0" applyNumberFormat="1" applyFont="1" applyFill="1" applyBorder="1"/>
    <xf numFmtId="0" fontId="0" fillId="0" borderId="0" xfId="0" applyFill="1"/>
    <xf numFmtId="164" fontId="5" fillId="0" borderId="1" xfId="0" applyNumberFormat="1" applyFont="1" applyFill="1" applyBorder="1"/>
    <xf numFmtId="164" fontId="6" fillId="0" borderId="1" xfId="0" applyNumberFormat="1" applyFont="1" applyFill="1" applyBorder="1"/>
    <xf numFmtId="164" fontId="7" fillId="0" borderId="1" xfId="0" applyNumberFormat="1" applyFont="1" applyFill="1" applyBorder="1"/>
    <xf numFmtId="165" fontId="8" fillId="0" borderId="1" xfId="0" applyNumberFormat="1" applyFont="1" applyFill="1" applyBorder="1" applyAlignment="1">
      <alignment horizontal="center"/>
    </xf>
    <xf numFmtId="164" fontId="9" fillId="0" borderId="1" xfId="0" applyNumberFormat="1" applyFont="1" applyFill="1" applyBorder="1"/>
    <xf numFmtId="164" fontId="10" fillId="0" borderId="1" xfId="0" applyNumberFormat="1" applyFont="1" applyFill="1" applyBorder="1"/>
    <xf numFmtId="165" fontId="8" fillId="0" borderId="1" xfId="0" applyNumberFormat="1" applyFont="1" applyFill="1" applyBorder="1"/>
    <xf numFmtId="164" fontId="3" fillId="0" borderId="2" xfId="0" applyNumberFormat="1" applyFont="1" applyFill="1" applyBorder="1"/>
    <xf numFmtId="164" fontId="11" fillId="0" borderId="2" xfId="0" applyNumberFormat="1" applyFont="1" applyFill="1" applyBorder="1" applyAlignment="1">
      <alignment horizontal="right" wrapText="1"/>
    </xf>
    <xf numFmtId="165" fontId="10" fillId="0" borderId="1" xfId="0" applyNumberFormat="1" applyFont="1" applyFill="1" applyBorder="1" applyAlignment="1">
      <alignment horizontal="right"/>
    </xf>
    <xf numFmtId="1" fontId="2" fillId="0" borderId="1" xfId="0" applyNumberFormat="1" applyFont="1" applyFill="1" applyBorder="1"/>
    <xf numFmtId="9" fontId="2" fillId="0" borderId="1" xfId="0" applyNumberFormat="1" applyFont="1" applyFill="1" applyBorder="1"/>
    <xf numFmtId="165" fontId="2" fillId="0" borderId="1" xfId="0" applyNumberFormat="1" applyFont="1" applyFill="1" applyBorder="1"/>
    <xf numFmtId="10" fontId="2" fillId="0" borderId="1" xfId="0" applyNumberFormat="1" applyFont="1" applyFill="1" applyBorder="1"/>
    <xf numFmtId="166" fontId="2" fillId="0" borderId="1" xfId="0" applyNumberFormat="1" applyFont="1" applyFill="1" applyBorder="1"/>
    <xf numFmtId="10" fontId="2" fillId="0" borderId="1" xfId="0" applyNumberFormat="1" applyFont="1" applyFill="1" applyBorder="1" applyAlignment="1">
      <alignment horizontal="right"/>
    </xf>
    <xf numFmtId="10" fontId="1" fillId="0" borderId="1" xfId="0" applyNumberFormat="1" applyFont="1" applyFill="1" applyBorder="1"/>
    <xf numFmtId="0" fontId="1" fillId="0" borderId="1" xfId="0" applyFont="1" applyFill="1" applyBorder="1"/>
  </cellXfs>
  <cellStyles count="1">
    <cellStyle name="Normal" xfId="0" builtinId="0"/>
  </cellStyles>
  <dxfs count="15"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DCF results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DCF results-style 2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CF results-style 3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Sensitivity Analysi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Sensitivity Analysis-style 2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2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" width="33" customWidth="1"/>
    <col min="3" max="6" width="10.54296875" customWidth="1"/>
    <col min="7" max="26" width="9.08984375" customWidth="1"/>
  </cols>
  <sheetData>
    <row r="1" spans="1:26" ht="11.25" customHeight="1" x14ac:dyDescent="0.35">
      <c r="A1" s="1"/>
      <c r="B1" s="7" t="s">
        <v>99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44" t="s">
        <v>97</v>
      </c>
      <c r="C3" s="45" t="s">
        <v>100</v>
      </c>
      <c r="D3" s="46" t="s">
        <v>101</v>
      </c>
      <c r="E3" s="46" t="s">
        <v>102</v>
      </c>
      <c r="F3" s="47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103</v>
      </c>
      <c r="C4" s="1">
        <v>57048.97</v>
      </c>
      <c r="D4" s="5">
        <v>82645.960000000006</v>
      </c>
      <c r="E4" s="5">
        <v>112473.9</v>
      </c>
      <c r="F4" s="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104</v>
      </c>
      <c r="C5" s="1">
        <v>4148.8</v>
      </c>
      <c r="D5" s="5">
        <v>4498.57</v>
      </c>
      <c r="E5" s="5">
        <v>3869.59</v>
      </c>
      <c r="F5" s="5"/>
      <c r="G5" s="1"/>
      <c r="H5" s="1"/>
      <c r="I5" s="1"/>
      <c r="J5" s="48"/>
      <c r="K5" s="48"/>
      <c r="L5" s="48"/>
      <c r="M5" s="4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49" t="s">
        <v>105</v>
      </c>
      <c r="C6" s="49">
        <f t="shared" ref="C6:E6" si="0">SUM(C4:C5)</f>
        <v>61197.770000000004</v>
      </c>
      <c r="D6" s="50">
        <f t="shared" si="0"/>
        <v>87144.53</v>
      </c>
      <c r="E6" s="50">
        <f t="shared" si="0"/>
        <v>116343.48999999999</v>
      </c>
      <c r="F6" s="50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 t="s">
        <v>106</v>
      </c>
      <c r="C7" s="1">
        <v>-22680.46</v>
      </c>
      <c r="D7" s="5">
        <v>-33808.730000000003</v>
      </c>
      <c r="E7" s="5">
        <v>-46041.99</v>
      </c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107</v>
      </c>
      <c r="C8" s="1">
        <v>-20688.13</v>
      </c>
      <c r="D8" s="5">
        <v>-23348.44</v>
      </c>
      <c r="E8" s="5">
        <v>-33510.589999999997</v>
      </c>
      <c r="F8" s="5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108</v>
      </c>
      <c r="C9" s="1">
        <f t="shared" ref="C9:E9" si="1">SUM(C7:C8)</f>
        <v>-43368.59</v>
      </c>
      <c r="D9" s="5">
        <f t="shared" si="1"/>
        <v>-57157.17</v>
      </c>
      <c r="E9" s="5">
        <f t="shared" si="1"/>
        <v>-79552.579999999987</v>
      </c>
      <c r="F9" s="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109</v>
      </c>
      <c r="C10" s="1">
        <f t="shared" ref="C10:E10" si="2">SUM(C9,C6)</f>
        <v>17829.180000000008</v>
      </c>
      <c r="D10" s="5">
        <f t="shared" si="2"/>
        <v>29987.360000000001</v>
      </c>
      <c r="E10" s="5">
        <f t="shared" si="2"/>
        <v>36790.910000000003</v>
      </c>
      <c r="F10" s="5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110</v>
      </c>
      <c r="C11" s="1">
        <f t="shared" ref="C11:E11" si="3">C10/C6</f>
        <v>0.2913370863023278</v>
      </c>
      <c r="D11" s="5">
        <f t="shared" si="3"/>
        <v>0.34411064010558096</v>
      </c>
      <c r="E11" s="5">
        <f t="shared" si="3"/>
        <v>0.31622663201868884</v>
      </c>
      <c r="F11" s="5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/>
      <c r="C12" s="1"/>
      <c r="D12" s="5"/>
      <c r="E12" s="5"/>
      <c r="F12" s="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111</v>
      </c>
      <c r="C13" s="1">
        <v>-20050.73</v>
      </c>
      <c r="D13" s="5">
        <v>-25011.599999999999</v>
      </c>
      <c r="E13" s="5">
        <v>-18507.990000000002</v>
      </c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49" t="s">
        <v>112</v>
      </c>
      <c r="C14" s="49">
        <v>-13055.63</v>
      </c>
      <c r="D14" s="50">
        <v>-16936.240000000002</v>
      </c>
      <c r="E14" s="50">
        <v>-16371.75</v>
      </c>
      <c r="F14" s="5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 t="s">
        <v>113</v>
      </c>
      <c r="C15" s="1">
        <v>-17084.900000000001</v>
      </c>
      <c r="D15" s="5">
        <v>-21298.2</v>
      </c>
      <c r="E15" s="5">
        <v>-20121.64</v>
      </c>
      <c r="F15" s="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98</v>
      </c>
      <c r="C16" s="1">
        <f t="shared" ref="C16:E16" si="4">C10+SUM(C13:C15)</f>
        <v>-32362.079999999994</v>
      </c>
      <c r="D16" s="5">
        <f t="shared" si="4"/>
        <v>-33258.679999999993</v>
      </c>
      <c r="E16" s="5">
        <f t="shared" si="4"/>
        <v>-18210.47</v>
      </c>
      <c r="F16" s="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/>
      <c r="C17" s="1"/>
      <c r="D17" s="5"/>
      <c r="E17" s="5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49" t="s">
        <v>114</v>
      </c>
      <c r="C18" s="49">
        <v>-1700.3</v>
      </c>
      <c r="D18" s="50">
        <v>-2857.85</v>
      </c>
      <c r="E18" s="50">
        <v>-4205.8500000000004</v>
      </c>
      <c r="F18" s="5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115</v>
      </c>
      <c r="C19" s="1">
        <v>-483.76</v>
      </c>
      <c r="D19" s="5">
        <v>-581.91999999999996</v>
      </c>
      <c r="E19" s="5">
        <v>-714.03</v>
      </c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116</v>
      </c>
      <c r="C20" s="1">
        <v>-10.16</v>
      </c>
      <c r="D20" s="5">
        <v>-1.03</v>
      </c>
      <c r="E20" s="5">
        <v>-66.14</v>
      </c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117</v>
      </c>
      <c r="C21" s="1">
        <v>-1732.04</v>
      </c>
      <c r="D21" s="5">
        <v>-92.56</v>
      </c>
      <c r="E21" s="5">
        <v>-305.94</v>
      </c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118</v>
      </c>
      <c r="C22" s="1">
        <f t="shared" ref="C22:E22" si="5">SUM(C16,C18:C21)</f>
        <v>-36288.340000000004</v>
      </c>
      <c r="D22" s="5">
        <f t="shared" si="5"/>
        <v>-36792.039999999986</v>
      </c>
      <c r="E22" s="5">
        <f t="shared" si="5"/>
        <v>-23502.429999999997</v>
      </c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49"/>
      <c r="C23" s="49"/>
      <c r="D23" s="50"/>
      <c r="E23" s="50"/>
      <c r="F23" s="5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 t="s">
        <v>119</v>
      </c>
      <c r="C24" s="1">
        <v>0</v>
      </c>
      <c r="D24" s="5">
        <v>0</v>
      </c>
      <c r="E24" s="5">
        <v>0</v>
      </c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120</v>
      </c>
      <c r="C25" s="1">
        <f t="shared" ref="C25:E25" si="6">C22+C24</f>
        <v>-36288.340000000004</v>
      </c>
      <c r="D25" s="5">
        <f t="shared" si="6"/>
        <v>-36792.039999999986</v>
      </c>
      <c r="E25" s="5">
        <f t="shared" si="6"/>
        <v>-23502.429999999997</v>
      </c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 t="s">
        <v>121</v>
      </c>
      <c r="C26" s="1">
        <f t="shared" ref="C26:E26" si="7">C25/C4</f>
        <v>-0.6360910635196394</v>
      </c>
      <c r="D26" s="5">
        <f t="shared" si="7"/>
        <v>-0.44517650953537213</v>
      </c>
      <c r="E26" s="5">
        <f t="shared" si="7"/>
        <v>-0.20895896736931854</v>
      </c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51"/>
      <c r="C27" s="51"/>
      <c r="D27" s="52"/>
      <c r="E27" s="52"/>
      <c r="F27" s="5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 t="s">
        <v>68</v>
      </c>
      <c r="C28" s="1">
        <f t="shared" ref="C28:E28" si="8">C30+C18</f>
        <v>-34062.379999999997</v>
      </c>
      <c r="D28" s="1">
        <f t="shared" si="8"/>
        <v>-36116.529999999992</v>
      </c>
      <c r="E28" s="1">
        <f t="shared" si="8"/>
        <v>-22416.32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 t="s">
        <v>122</v>
      </c>
      <c r="C29" s="1">
        <f t="shared" ref="C29:E29" si="9">C28/C4</f>
        <v>-0.5970726552994734</v>
      </c>
      <c r="D29" s="1">
        <f t="shared" si="9"/>
        <v>-0.43700297026013113</v>
      </c>
      <c r="E29" s="1">
        <f t="shared" si="9"/>
        <v>-0.19930241593827547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 t="s">
        <v>98</v>
      </c>
      <c r="C30" s="1">
        <f t="shared" ref="C30:E30" si="10">C16</f>
        <v>-32362.079999999994</v>
      </c>
      <c r="D30" s="1">
        <f t="shared" si="10"/>
        <v>-33258.679999999993</v>
      </c>
      <c r="E30" s="1">
        <f t="shared" si="10"/>
        <v>-18210.47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 t="s">
        <v>122</v>
      </c>
      <c r="C31" s="1">
        <f t="shared" ref="C31:E31" si="11">C30/C4</f>
        <v>-0.56726843622242429</v>
      </c>
      <c r="D31" s="1">
        <f t="shared" si="11"/>
        <v>-0.40242354254218826</v>
      </c>
      <c r="E31" s="1">
        <f t="shared" si="11"/>
        <v>-0.16190840719491367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" width="36.26953125" customWidth="1"/>
    <col min="3" max="4" width="9.54296875" customWidth="1"/>
    <col min="5" max="5" width="10" customWidth="1"/>
    <col min="6" max="6" width="9.08984375" customWidth="1"/>
    <col min="7" max="7" width="33.08984375" customWidth="1"/>
    <col min="8" max="9" width="9.54296875" customWidth="1"/>
    <col min="10" max="10" width="10.81640625" customWidth="1"/>
    <col min="11" max="26" width="9.08984375" customWidth="1"/>
  </cols>
  <sheetData>
    <row r="1" spans="1:26" ht="11.25" customHeight="1" x14ac:dyDescent="0.35">
      <c r="A1" s="1"/>
      <c r="B1" s="7" t="s">
        <v>123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44" t="s">
        <v>33</v>
      </c>
      <c r="C3" s="47" t="s">
        <v>124</v>
      </c>
      <c r="D3" s="47" t="s">
        <v>125</v>
      </c>
      <c r="E3" s="47" t="s">
        <v>126</v>
      </c>
      <c r="F3" s="1"/>
      <c r="G3" s="44" t="s">
        <v>127</v>
      </c>
      <c r="H3" s="47" t="s">
        <v>124</v>
      </c>
      <c r="I3" s="47" t="s">
        <v>125</v>
      </c>
      <c r="J3" s="47" t="s">
        <v>128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129</v>
      </c>
      <c r="C4" s="5"/>
      <c r="D4" s="5"/>
      <c r="E4" s="5"/>
      <c r="F4" s="5"/>
      <c r="G4" s="5" t="s">
        <v>130</v>
      </c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131</v>
      </c>
      <c r="C5" s="5"/>
      <c r="D5" s="5"/>
      <c r="E5" s="5"/>
      <c r="F5" s="5"/>
      <c r="G5" s="5" t="s">
        <v>132</v>
      </c>
      <c r="H5" s="5"/>
      <c r="I5" s="5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1" t="s">
        <v>133</v>
      </c>
      <c r="C6" s="1">
        <v>3116</v>
      </c>
      <c r="D6" s="1">
        <v>3137.49</v>
      </c>
      <c r="E6" s="5">
        <v>4527.8500000000004</v>
      </c>
      <c r="F6" s="5"/>
      <c r="G6" s="5" t="s">
        <v>134</v>
      </c>
      <c r="H6" s="5">
        <v>8.56</v>
      </c>
      <c r="I6" s="5">
        <v>26.57</v>
      </c>
      <c r="J6" s="5">
        <v>30.06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 t="s">
        <v>135</v>
      </c>
      <c r="C7" s="1">
        <v>4622</v>
      </c>
      <c r="D7" s="1">
        <v>5458.25</v>
      </c>
      <c r="E7" s="5">
        <v>5877.99</v>
      </c>
      <c r="F7" s="5"/>
      <c r="G7" s="5" t="s">
        <v>136</v>
      </c>
      <c r="H7" s="5">
        <v>0</v>
      </c>
      <c r="I7" s="5">
        <v>0</v>
      </c>
      <c r="J7" s="5"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51" t="s">
        <v>137</v>
      </c>
      <c r="C8" s="53">
        <v>109.15</v>
      </c>
      <c r="D8" s="51">
        <v>3257.74</v>
      </c>
      <c r="E8" s="52">
        <v>6964.67</v>
      </c>
      <c r="F8" s="5"/>
      <c r="G8" s="52" t="s">
        <v>138</v>
      </c>
      <c r="H8" s="54">
        <v>155625.42000000001</v>
      </c>
      <c r="I8" s="52">
        <v>155625.42000000001</v>
      </c>
      <c r="J8" s="52">
        <v>155732.64000000001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139</v>
      </c>
      <c r="C9" s="1">
        <v>163</v>
      </c>
      <c r="D9" s="1">
        <v>3197.38</v>
      </c>
      <c r="E9" s="5">
        <v>3043.11</v>
      </c>
      <c r="F9" s="5"/>
      <c r="G9" s="5" t="s">
        <v>140</v>
      </c>
      <c r="H9" s="1">
        <v>-32964.18</v>
      </c>
      <c r="I9" s="1">
        <v>-65085.87</v>
      </c>
      <c r="J9" s="1">
        <v>-77848.09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141</v>
      </c>
      <c r="C10" s="1">
        <v>0</v>
      </c>
      <c r="D10" s="1">
        <v>669.72</v>
      </c>
      <c r="E10" s="5">
        <v>603.58000000000004</v>
      </c>
      <c r="F10" s="5"/>
      <c r="G10" s="5" t="s">
        <v>142</v>
      </c>
      <c r="H10" s="1">
        <f t="shared" ref="H10:J10" si="0">SUM(H6:H9)</f>
        <v>122669.80000000002</v>
      </c>
      <c r="I10" s="1">
        <f t="shared" si="0"/>
        <v>90566.120000000024</v>
      </c>
      <c r="J10" s="1">
        <f t="shared" si="0"/>
        <v>77914.610000000015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143</v>
      </c>
      <c r="C11" s="1">
        <v>12800.19</v>
      </c>
      <c r="D11" s="1">
        <v>16164.02</v>
      </c>
      <c r="E11" s="5">
        <v>13822.84</v>
      </c>
      <c r="F11" s="5"/>
      <c r="G11" s="5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 t="s">
        <v>144</v>
      </c>
      <c r="C12" s="1">
        <v>573.01</v>
      </c>
      <c r="D12" s="1">
        <v>805.45</v>
      </c>
      <c r="E12" s="5">
        <v>948.89</v>
      </c>
      <c r="F12" s="5"/>
      <c r="G12" s="5" t="s">
        <v>145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146</v>
      </c>
      <c r="C13" s="48">
        <v>1091.68</v>
      </c>
      <c r="D13" s="1">
        <v>1574.51</v>
      </c>
      <c r="E13" s="5">
        <v>1603.01</v>
      </c>
      <c r="F13" s="5"/>
      <c r="G13" s="5" t="s">
        <v>147</v>
      </c>
      <c r="H13" s="1">
        <v>0</v>
      </c>
      <c r="I13" s="1">
        <v>0</v>
      </c>
      <c r="J13" s="1">
        <v>959.77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148</v>
      </c>
      <c r="C14" s="1">
        <v>246.36</v>
      </c>
      <c r="D14" s="1">
        <v>314.92</v>
      </c>
      <c r="E14" s="5">
        <v>535.99</v>
      </c>
      <c r="F14" s="5"/>
      <c r="G14" s="5" t="s">
        <v>149</v>
      </c>
      <c r="H14" s="1">
        <v>4086.67</v>
      </c>
      <c r="I14" s="1">
        <v>4445.7700000000004</v>
      </c>
      <c r="J14" s="1">
        <v>4670.59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51" t="s">
        <v>150</v>
      </c>
      <c r="C15" s="53"/>
      <c r="D15" s="51">
        <f t="shared" ref="D15:E15" si="1">SUM(D6:D14)</f>
        <v>34579.479999999996</v>
      </c>
      <c r="E15" s="52">
        <f t="shared" si="1"/>
        <v>37927.930000000008</v>
      </c>
      <c r="F15" s="5"/>
      <c r="G15" s="5" t="s">
        <v>151</v>
      </c>
      <c r="H15" s="1">
        <v>185.9</v>
      </c>
      <c r="I15" s="1">
        <v>374.37</v>
      </c>
      <c r="J15" s="1">
        <v>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152</v>
      </c>
      <c r="C16" s="1"/>
      <c r="D16" s="1"/>
      <c r="E16" s="5"/>
      <c r="F16" s="5"/>
      <c r="G16" s="5" t="s">
        <v>153</v>
      </c>
      <c r="H16" s="1">
        <v>0</v>
      </c>
      <c r="I16" s="1">
        <v>0</v>
      </c>
      <c r="J16" s="1">
        <v>290.12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154</v>
      </c>
      <c r="C17" s="48">
        <v>177.4</v>
      </c>
      <c r="D17" s="48">
        <v>106.41</v>
      </c>
      <c r="E17" s="48">
        <v>486.9</v>
      </c>
      <c r="F17" s="5"/>
      <c r="G17" s="55" t="s">
        <v>155</v>
      </c>
      <c r="H17" s="1">
        <v>277.2</v>
      </c>
      <c r="I17" s="2">
        <v>384.94</v>
      </c>
      <c r="J17" s="2">
        <v>391.1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1" t="s">
        <v>143</v>
      </c>
      <c r="C18" s="1">
        <v>90679.83</v>
      </c>
      <c r="D18" s="1">
        <v>48571.519999999997</v>
      </c>
      <c r="E18" s="5">
        <v>37284.699999999997</v>
      </c>
      <c r="F18" s="5"/>
      <c r="G18" s="5" t="s">
        <v>156</v>
      </c>
      <c r="H18" s="1">
        <f t="shared" ref="H18:J18" si="2">(SUM(H13:H17))</f>
        <v>4549.7699999999995</v>
      </c>
      <c r="I18" s="1">
        <f t="shared" si="2"/>
        <v>5205.08</v>
      </c>
      <c r="J18" s="1">
        <f t="shared" si="2"/>
        <v>6311.5800000000008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2" t="s">
        <v>77</v>
      </c>
      <c r="C19" s="1">
        <v>11119.32</v>
      </c>
      <c r="D19" s="2">
        <v>10623.49</v>
      </c>
      <c r="E19" s="55">
        <v>9638.5</v>
      </c>
      <c r="F19" s="5"/>
      <c r="G19" s="52" t="s">
        <v>157</v>
      </c>
      <c r="H19" s="53"/>
      <c r="I19" s="51"/>
      <c r="J19" s="5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158</v>
      </c>
      <c r="C20" s="1">
        <v>10961.31</v>
      </c>
      <c r="D20" s="1">
        <v>8325.2099999999991</v>
      </c>
      <c r="E20" s="1">
        <v>8870.51</v>
      </c>
      <c r="F20" s="1"/>
      <c r="G20" s="1" t="s">
        <v>147</v>
      </c>
      <c r="H20" s="1">
        <v>0</v>
      </c>
      <c r="I20" s="1">
        <v>0</v>
      </c>
      <c r="J20" s="1">
        <v>1152.0899999999999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159</v>
      </c>
      <c r="C21" s="1">
        <v>77.099999999999994</v>
      </c>
      <c r="D21" s="1">
        <v>313.97000000000003</v>
      </c>
      <c r="E21" s="1">
        <v>38</v>
      </c>
      <c r="F21" s="1"/>
      <c r="G21" s="1" t="s">
        <v>149</v>
      </c>
      <c r="H21" s="1">
        <v>995.43</v>
      </c>
      <c r="I21" s="1">
        <v>1550.23</v>
      </c>
      <c r="J21" s="1">
        <v>1859.45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144</v>
      </c>
      <c r="C22" s="1">
        <v>3198.51</v>
      </c>
      <c r="D22" s="1">
        <v>6518.66</v>
      </c>
      <c r="E22" s="1">
        <v>8268</v>
      </c>
      <c r="F22" s="1"/>
      <c r="G22" s="1" t="s">
        <v>160</v>
      </c>
      <c r="H22" s="1">
        <v>9561.42</v>
      </c>
      <c r="I22" s="1">
        <v>8731.74</v>
      </c>
      <c r="J22" s="1">
        <v>8808.98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" t="s">
        <v>148</v>
      </c>
      <c r="C23" s="1">
        <v>5122.51</v>
      </c>
      <c r="D23" s="1">
        <v>3767.71</v>
      </c>
      <c r="E23" s="1">
        <v>2779.67</v>
      </c>
      <c r="F23" s="1"/>
      <c r="G23" s="1" t="s">
        <v>151</v>
      </c>
      <c r="H23" s="1">
        <v>3826.63</v>
      </c>
      <c r="I23" s="1">
        <v>3916.56</v>
      </c>
      <c r="J23" s="1">
        <v>6394.16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56" t="s">
        <v>161</v>
      </c>
      <c r="C24" s="56">
        <f t="shared" ref="C24:E24" si="3">SUM(C17:C23)</f>
        <v>121335.97999999998</v>
      </c>
      <c r="D24" s="56">
        <f t="shared" si="3"/>
        <v>78226.970000000016</v>
      </c>
      <c r="E24" s="56">
        <f t="shared" si="3"/>
        <v>67366.28</v>
      </c>
      <c r="F24" s="1"/>
      <c r="G24" s="1" t="s">
        <v>153</v>
      </c>
      <c r="H24" s="1">
        <v>226.86</v>
      </c>
      <c r="I24" s="1">
        <v>350.41</v>
      </c>
      <c r="J24" s="1">
        <v>209.35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162</v>
      </c>
      <c r="C25" s="1">
        <f t="shared" ref="C25:E25" si="4">SUM(C24,C15)</f>
        <v>121335.97999999998</v>
      </c>
      <c r="D25" s="1">
        <f t="shared" si="4"/>
        <v>112806.45000000001</v>
      </c>
      <c r="E25" s="1">
        <f t="shared" si="4"/>
        <v>105294.21</v>
      </c>
      <c r="F25" s="1"/>
      <c r="G25" s="1" t="s">
        <v>163</v>
      </c>
      <c r="H25" s="1">
        <v>1622.2</v>
      </c>
      <c r="I25" s="1">
        <v>1666.94</v>
      </c>
      <c r="J25" s="1">
        <v>1856.74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"/>
      <c r="G26" s="1" t="s">
        <v>155</v>
      </c>
      <c r="H26" s="1">
        <v>605.24999999997783</v>
      </c>
      <c r="I26" s="1">
        <v>819.37</v>
      </c>
      <c r="J26" s="1">
        <v>787.25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 t="s">
        <v>164</v>
      </c>
      <c r="H27" s="1">
        <f t="shared" ref="H27:J27" si="5">SUM(H20:H26)</f>
        <v>16837.789999999979</v>
      </c>
      <c r="I27" s="1">
        <f t="shared" si="5"/>
        <v>17035.25</v>
      </c>
      <c r="J27" s="1">
        <f t="shared" si="5"/>
        <v>21068.02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 t="s">
        <v>165</v>
      </c>
      <c r="H28" s="1">
        <f t="shared" ref="H28:J28" si="6">SUM(H27,H18)</f>
        <v>21387.559999999979</v>
      </c>
      <c r="I28" s="1">
        <f t="shared" si="6"/>
        <v>22240.33</v>
      </c>
      <c r="J28" s="1">
        <f t="shared" si="6"/>
        <v>27379.600000000002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 t="s">
        <v>166</v>
      </c>
      <c r="H29" s="1">
        <f t="shared" ref="H29:J29" si="7">H10+H28</f>
        <v>144057.35999999999</v>
      </c>
      <c r="I29" s="1">
        <f t="shared" si="7"/>
        <v>112806.45000000003</v>
      </c>
      <c r="J29" s="1">
        <f t="shared" si="7"/>
        <v>105294.21000000002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topLeftCell="A2" zoomScale="115" zoomScaleNormal="115" workbookViewId="0">
      <selection activeCell="F14" sqref="F14"/>
    </sheetView>
  </sheetViews>
  <sheetFormatPr defaultColWidth="14.453125" defaultRowHeight="15" customHeight="1" x14ac:dyDescent="0.35"/>
  <cols>
    <col min="1" max="1" width="2" style="59" customWidth="1"/>
    <col min="2" max="2" width="21.81640625" style="59" customWidth="1"/>
    <col min="3" max="3" width="10.54296875" style="59" customWidth="1"/>
    <col min="4" max="5" width="9.08984375" style="59" customWidth="1"/>
    <col min="6" max="6" width="13.54296875" style="59" customWidth="1"/>
    <col min="7" max="11" width="12.54296875" style="59" customWidth="1"/>
    <col min="12" max="15" width="13.54296875" style="59" customWidth="1"/>
    <col min="16" max="26" width="9.08984375" style="59" customWidth="1"/>
    <col min="27" max="16384" width="14.453125" style="59"/>
  </cols>
  <sheetData>
    <row r="1" spans="1:26" ht="11.25" customHeight="1" x14ac:dyDescent="0.4">
      <c r="A1" s="57"/>
      <c r="B1" s="58" t="s">
        <v>0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</row>
    <row r="2" spans="1:26" ht="19.5" customHeight="1" x14ac:dyDescent="0.6">
      <c r="A2" s="57"/>
      <c r="B2" s="60"/>
      <c r="C2" s="57"/>
      <c r="D2" s="57"/>
      <c r="E2" s="57"/>
      <c r="F2" s="61" t="s">
        <v>1</v>
      </c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1:26" ht="31" customHeight="1" x14ac:dyDescent="0.4">
      <c r="A3" s="57"/>
      <c r="B3" s="62" t="s">
        <v>2</v>
      </c>
      <c r="C3" s="63">
        <v>1</v>
      </c>
      <c r="D3" s="57"/>
      <c r="E3" s="57"/>
      <c r="F3" s="64" t="s">
        <v>3</v>
      </c>
      <c r="G3" s="65" t="s">
        <v>4</v>
      </c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</row>
    <row r="4" spans="1:26" ht="11.25" customHeight="1" x14ac:dyDescent="0.4">
      <c r="A4" s="57"/>
      <c r="B4" s="62"/>
      <c r="C4" s="66">
        <v>3</v>
      </c>
      <c r="D4" s="57"/>
      <c r="E4" s="57"/>
      <c r="F4" s="64" t="s">
        <v>5</v>
      </c>
      <c r="G4" s="65" t="s">
        <v>6</v>
      </c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</row>
    <row r="5" spans="1:26" ht="11.25" customHeight="1" x14ac:dyDescent="0.4">
      <c r="A5" s="57"/>
      <c r="B5" s="62"/>
      <c r="C5" s="66"/>
      <c r="D5" s="57"/>
      <c r="E5" s="57"/>
      <c r="F5" s="64" t="s">
        <v>7</v>
      </c>
      <c r="G5" s="65" t="s">
        <v>8</v>
      </c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</row>
    <row r="6" spans="1:26" ht="21" customHeight="1" x14ac:dyDescent="0.3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</row>
    <row r="7" spans="1:26" ht="11.25" customHeight="1" x14ac:dyDescent="0.35">
      <c r="A7" s="57"/>
      <c r="B7" s="67" t="s">
        <v>9</v>
      </c>
      <c r="C7" s="68" t="s">
        <v>10</v>
      </c>
      <c r="D7" s="68" t="s">
        <v>11</v>
      </c>
      <c r="E7" s="68" t="s">
        <v>12</v>
      </c>
      <c r="F7" s="68" t="s">
        <v>13</v>
      </c>
      <c r="G7" s="68" t="s">
        <v>14</v>
      </c>
      <c r="H7" s="68" t="s">
        <v>15</v>
      </c>
      <c r="I7" s="68" t="s">
        <v>16</v>
      </c>
      <c r="J7" s="68" t="s">
        <v>17</v>
      </c>
      <c r="K7" s="68" t="s">
        <v>18</v>
      </c>
      <c r="L7" s="68" t="s">
        <v>19</v>
      </c>
      <c r="M7" s="68" t="s">
        <v>20</v>
      </c>
      <c r="N7" s="68" t="s">
        <v>21</v>
      </c>
      <c r="O7" s="68" t="s">
        <v>22</v>
      </c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</row>
    <row r="8" spans="1:26" ht="11.25" customHeight="1" x14ac:dyDescent="0.35">
      <c r="A8" s="57"/>
      <c r="B8" s="65" t="s">
        <v>23</v>
      </c>
      <c r="C8" s="69"/>
      <c r="D8" s="69"/>
      <c r="E8" s="69"/>
      <c r="F8" s="70"/>
      <c r="G8" s="70"/>
      <c r="H8" s="70"/>
      <c r="I8" s="70"/>
      <c r="J8" s="70"/>
      <c r="K8" s="70"/>
      <c r="L8" s="70"/>
      <c r="M8" s="70"/>
      <c r="N8" s="70"/>
      <c r="O8" s="70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</row>
    <row r="9" spans="1:26" ht="11.25" customHeight="1" x14ac:dyDescent="0.35">
      <c r="A9" s="57"/>
      <c r="B9" s="57" t="s">
        <v>24</v>
      </c>
      <c r="C9" s="57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</row>
    <row r="10" spans="1:26" ht="11.25" customHeight="1" x14ac:dyDescent="0.35">
      <c r="A10" s="57"/>
      <c r="B10" s="57" t="s">
        <v>3</v>
      </c>
      <c r="C10" s="57"/>
      <c r="D10" s="57"/>
      <c r="E10" s="57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</row>
    <row r="11" spans="1:26" ht="11.25" customHeight="1" x14ac:dyDescent="0.35">
      <c r="A11" s="57"/>
      <c r="B11" s="57" t="s">
        <v>5</v>
      </c>
      <c r="C11" s="57"/>
      <c r="D11" s="57"/>
      <c r="E11" s="57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</row>
    <row r="12" spans="1:26" ht="11.25" customHeight="1" x14ac:dyDescent="0.35">
      <c r="A12" s="57"/>
      <c r="B12" s="57" t="s">
        <v>7</v>
      </c>
      <c r="C12" s="57"/>
      <c r="D12" s="57"/>
      <c r="E12" s="57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</row>
    <row r="13" spans="1:26" ht="11.25" customHeight="1" x14ac:dyDescent="0.35">
      <c r="A13" s="57"/>
      <c r="B13" s="57" t="s">
        <v>25</v>
      </c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</row>
    <row r="14" spans="1:26" ht="11.25" customHeight="1" x14ac:dyDescent="0.35">
      <c r="A14" s="57"/>
      <c r="B14" s="57" t="s">
        <v>24</v>
      </c>
      <c r="C14" s="72"/>
      <c r="D14" s="73"/>
      <c r="E14" s="73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</row>
    <row r="15" spans="1:26" ht="11.25" customHeight="1" x14ac:dyDescent="0.35">
      <c r="A15" s="57"/>
      <c r="B15" s="57" t="s">
        <v>3</v>
      </c>
      <c r="C15" s="57"/>
      <c r="D15" s="57"/>
      <c r="E15" s="57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</row>
    <row r="16" spans="1:26" ht="11.25" customHeight="1" x14ac:dyDescent="0.35">
      <c r="A16" s="57"/>
      <c r="B16" s="57" t="s">
        <v>5</v>
      </c>
      <c r="C16" s="57"/>
      <c r="D16" s="57"/>
      <c r="E16" s="57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</row>
    <row r="17" spans="1:26" ht="11.25" customHeight="1" x14ac:dyDescent="0.35">
      <c r="A17" s="57"/>
      <c r="B17" s="57" t="s">
        <v>7</v>
      </c>
      <c r="C17" s="57"/>
      <c r="D17" s="57"/>
      <c r="E17" s="57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</row>
    <row r="18" spans="1:26" ht="3.75" customHeight="1" x14ac:dyDescent="0.35">
      <c r="A18" s="57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</row>
    <row r="19" spans="1:26" ht="11.25" customHeight="1" x14ac:dyDescent="0.35">
      <c r="A19" s="57"/>
      <c r="B19" s="57" t="s">
        <v>26</v>
      </c>
      <c r="C19" s="72"/>
      <c r="D19" s="72"/>
      <c r="E19" s="72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</row>
    <row r="20" spans="1:26" ht="11.25" customHeight="1" x14ac:dyDescent="0.35">
      <c r="A20" s="57"/>
      <c r="B20" s="57" t="s">
        <v>27</v>
      </c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</row>
    <row r="21" spans="1:26" ht="11.25" customHeight="1" x14ac:dyDescent="0.35">
      <c r="A21" s="57"/>
      <c r="B21" s="57" t="s">
        <v>3</v>
      </c>
      <c r="C21" s="57"/>
      <c r="D21" s="57"/>
      <c r="E21" s="57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</row>
    <row r="22" spans="1:26" ht="11.25" customHeight="1" x14ac:dyDescent="0.35">
      <c r="A22" s="57"/>
      <c r="B22" s="57" t="s">
        <v>5</v>
      </c>
      <c r="C22" s="57"/>
      <c r="D22" s="57"/>
      <c r="E22" s="57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</row>
    <row r="23" spans="1:26" ht="12" customHeight="1" x14ac:dyDescent="0.35">
      <c r="A23" s="57"/>
      <c r="B23" s="57" t="s">
        <v>7</v>
      </c>
      <c r="C23" s="57"/>
      <c r="D23" s="57"/>
      <c r="E23" s="57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</row>
    <row r="24" spans="1:26" ht="3.75" customHeight="1" x14ac:dyDescent="0.35">
      <c r="A24" s="57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</row>
    <row r="25" spans="1:26" ht="12" customHeight="1" x14ac:dyDescent="0.35">
      <c r="A25" s="57"/>
      <c r="B25" s="57" t="s">
        <v>28</v>
      </c>
      <c r="C25" s="72"/>
      <c r="D25" s="72"/>
      <c r="E25" s="72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</row>
    <row r="26" spans="1:26" ht="12" customHeight="1" x14ac:dyDescent="0.35">
      <c r="A26" s="57"/>
      <c r="B26" s="57" t="s">
        <v>27</v>
      </c>
      <c r="C26" s="73"/>
      <c r="D26" s="73"/>
      <c r="E26" s="73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</row>
    <row r="27" spans="1:26" ht="11.25" customHeight="1" x14ac:dyDescent="0.35">
      <c r="A27" s="57"/>
      <c r="B27" s="57" t="s">
        <v>3</v>
      </c>
      <c r="C27" s="57"/>
      <c r="D27" s="57"/>
      <c r="E27" s="57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</row>
    <row r="28" spans="1:26" ht="11.25" customHeight="1" x14ac:dyDescent="0.35">
      <c r="A28" s="57"/>
      <c r="B28" s="57" t="s">
        <v>5</v>
      </c>
      <c r="C28" s="57"/>
      <c r="D28" s="57"/>
      <c r="E28" s="57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</row>
    <row r="29" spans="1:26" ht="11.25" customHeight="1" x14ac:dyDescent="0.35">
      <c r="A29" s="57"/>
      <c r="B29" s="57" t="s">
        <v>7</v>
      </c>
      <c r="C29" s="57"/>
      <c r="D29" s="57"/>
      <c r="E29" s="57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</row>
    <row r="30" spans="1:26" ht="11.25" customHeight="1" x14ac:dyDescent="0.35">
      <c r="A30" s="57"/>
      <c r="C30" s="72"/>
      <c r="D30" s="72"/>
      <c r="E30" s="72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1:26" ht="11.25" customHeight="1" x14ac:dyDescent="0.35">
      <c r="A31" s="57"/>
      <c r="B31" s="57" t="s">
        <v>29</v>
      </c>
      <c r="C31" s="72"/>
      <c r="D31" s="72"/>
      <c r="E31" s="72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</row>
    <row r="32" spans="1:26" ht="11.25" customHeight="1" x14ac:dyDescent="0.35">
      <c r="A32" s="57"/>
      <c r="B32" s="57" t="s">
        <v>27</v>
      </c>
      <c r="C32" s="73"/>
      <c r="D32" s="73"/>
      <c r="E32" s="73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</row>
    <row r="33" spans="1:26" ht="11.25" customHeight="1" x14ac:dyDescent="0.35">
      <c r="A33" s="57"/>
      <c r="B33" s="57" t="s">
        <v>3</v>
      </c>
      <c r="C33" s="57"/>
      <c r="D33" s="57"/>
      <c r="E33" s="57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</row>
    <row r="34" spans="1:26" ht="11.25" customHeight="1" x14ac:dyDescent="0.35">
      <c r="A34" s="57"/>
      <c r="B34" s="57" t="s">
        <v>5</v>
      </c>
      <c r="C34" s="57"/>
      <c r="D34" s="57"/>
      <c r="E34" s="57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</row>
    <row r="35" spans="1:26" ht="11.25" customHeight="1" x14ac:dyDescent="0.35">
      <c r="A35" s="57"/>
      <c r="B35" s="57" t="s">
        <v>7</v>
      </c>
      <c r="C35" s="57"/>
      <c r="D35" s="57"/>
      <c r="E35" s="57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</row>
    <row r="36" spans="1:26" ht="11.25" customHeight="1" x14ac:dyDescent="0.35">
      <c r="A36" s="57"/>
      <c r="C36" s="72"/>
      <c r="D36" s="72"/>
      <c r="E36" s="72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</row>
    <row r="37" spans="1:26" ht="11.25" customHeight="1" x14ac:dyDescent="0.35">
      <c r="A37" s="57"/>
      <c r="B37" s="57" t="s">
        <v>30</v>
      </c>
      <c r="C37" s="72"/>
      <c r="D37" s="72"/>
      <c r="E37" s="72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</row>
    <row r="38" spans="1:26" ht="11.25" customHeight="1" x14ac:dyDescent="0.35">
      <c r="A38" s="57"/>
      <c r="B38" s="57" t="s">
        <v>24</v>
      </c>
      <c r="C38" s="75"/>
      <c r="D38" s="75"/>
      <c r="E38" s="7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</row>
    <row r="39" spans="1:26" ht="11.25" customHeight="1" x14ac:dyDescent="0.35">
      <c r="A39" s="57"/>
      <c r="B39" s="57" t="s">
        <v>3</v>
      </c>
      <c r="C39" s="57"/>
      <c r="D39" s="57"/>
      <c r="E39" s="57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</row>
    <row r="40" spans="1:26" ht="11.25" customHeight="1" x14ac:dyDescent="0.35">
      <c r="A40" s="57"/>
      <c r="B40" s="57" t="s">
        <v>5</v>
      </c>
      <c r="C40" s="57"/>
      <c r="D40" s="57"/>
      <c r="E40" s="57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</row>
    <row r="41" spans="1:26" ht="11.25" customHeight="1" x14ac:dyDescent="0.35">
      <c r="A41" s="57"/>
      <c r="B41" s="57" t="s">
        <v>7</v>
      </c>
      <c r="C41" s="57"/>
      <c r="D41" s="57"/>
      <c r="E41" s="57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</row>
    <row r="42" spans="1:26" ht="11.25" customHeight="1" x14ac:dyDescent="0.35">
      <c r="A42" s="57"/>
      <c r="C42" s="72"/>
      <c r="D42" s="72"/>
      <c r="E42" s="72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26" ht="11.25" customHeight="1" x14ac:dyDescent="0.35">
      <c r="A43" s="57"/>
      <c r="B43" s="57" t="s">
        <v>31</v>
      </c>
      <c r="C43" s="72"/>
      <c r="D43" s="72"/>
      <c r="E43" s="72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</row>
    <row r="44" spans="1:26" ht="11.25" customHeight="1" x14ac:dyDescent="0.35">
      <c r="A44" s="57"/>
      <c r="B44" s="57" t="s">
        <v>24</v>
      </c>
      <c r="C44" s="73"/>
      <c r="D44" s="73"/>
      <c r="E44" s="73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</row>
    <row r="45" spans="1:26" ht="11.25" customHeight="1" x14ac:dyDescent="0.35">
      <c r="A45" s="57"/>
      <c r="B45" s="57" t="s">
        <v>3</v>
      </c>
      <c r="C45" s="57"/>
      <c r="D45" s="57"/>
      <c r="E45" s="57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</row>
    <row r="46" spans="1:26" ht="11.25" customHeight="1" x14ac:dyDescent="0.35">
      <c r="A46" s="57"/>
      <c r="B46" s="57" t="s">
        <v>5</v>
      </c>
      <c r="C46" s="57"/>
      <c r="D46" s="57"/>
      <c r="E46" s="57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</row>
    <row r="47" spans="1:26" ht="11.25" customHeight="1" x14ac:dyDescent="0.35">
      <c r="A47" s="57"/>
      <c r="B47" s="57" t="s">
        <v>7</v>
      </c>
      <c r="C47" s="57"/>
      <c r="D47" s="57"/>
      <c r="E47" s="57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</row>
    <row r="48" spans="1:26" ht="11.25" customHeight="1" x14ac:dyDescent="0.35">
      <c r="A48" s="57"/>
      <c r="C48" s="72"/>
      <c r="D48" s="72"/>
      <c r="E48" s="72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</row>
    <row r="49" spans="1:26" ht="11.25" customHeight="1" x14ac:dyDescent="0.35">
      <c r="A49" s="57"/>
      <c r="B49" s="57"/>
      <c r="C49" s="72"/>
      <c r="D49" s="72"/>
      <c r="E49" s="72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</row>
    <row r="50" spans="1:26" ht="11.25" customHeight="1" x14ac:dyDescent="0.35">
      <c r="A50" s="57"/>
      <c r="B50" s="57"/>
      <c r="C50" s="76"/>
      <c r="D50" s="76"/>
      <c r="E50" s="76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</row>
    <row r="51" spans="1:26" ht="11.25" customHeight="1" x14ac:dyDescent="0.35">
      <c r="A51" s="57"/>
      <c r="B51" s="57"/>
      <c r="C51" s="77"/>
      <c r="D51" s="77"/>
      <c r="E51" s="77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</row>
    <row r="52" spans="1:26" ht="11.25" customHeight="1" x14ac:dyDescent="0.35">
      <c r="A52" s="57"/>
      <c r="B52" s="57"/>
      <c r="C52" s="77"/>
      <c r="D52" s="77"/>
      <c r="E52" s="77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</row>
    <row r="53" spans="1:26" ht="11.25" customHeight="1" x14ac:dyDescent="0.35">
      <c r="A53" s="57"/>
      <c r="B53" s="57"/>
      <c r="C53" s="77"/>
      <c r="D53" s="77"/>
      <c r="E53" s="7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</row>
    <row r="54" spans="1:26" ht="11.25" customHeight="1" x14ac:dyDescent="0.3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</row>
    <row r="55" spans="1:26" ht="11.25" customHeight="1" x14ac:dyDescent="0.3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</row>
    <row r="56" spans="1:26" ht="11.25" customHeight="1" x14ac:dyDescent="0.3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</row>
    <row r="57" spans="1:26" ht="11.25" customHeight="1" x14ac:dyDescent="0.3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</row>
    <row r="58" spans="1:26" ht="11.25" customHeight="1" x14ac:dyDescent="0.3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</row>
    <row r="59" spans="1:26" ht="11.25" customHeight="1" x14ac:dyDescent="0.3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</row>
    <row r="60" spans="1:26" ht="11.25" customHeight="1" x14ac:dyDescent="0.3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</row>
    <row r="61" spans="1:26" ht="11.25" customHeight="1" x14ac:dyDescent="0.3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</row>
    <row r="62" spans="1:26" ht="11.25" customHeight="1" x14ac:dyDescent="0.3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</row>
    <row r="63" spans="1:26" ht="11.25" customHeight="1" x14ac:dyDescent="0.3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</row>
    <row r="64" spans="1:26" ht="11.25" customHeight="1" x14ac:dyDescent="0.3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</row>
    <row r="65" spans="1:26" ht="11.25" customHeight="1" x14ac:dyDescent="0.3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</row>
    <row r="66" spans="1:26" ht="11.25" customHeight="1" x14ac:dyDescent="0.3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</row>
    <row r="67" spans="1:26" ht="11.25" customHeight="1" x14ac:dyDescent="0.3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</row>
    <row r="68" spans="1:26" ht="11.25" customHeight="1" x14ac:dyDescent="0.3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</row>
    <row r="69" spans="1:26" ht="11.25" customHeight="1" x14ac:dyDescent="0.3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</row>
    <row r="70" spans="1:26" ht="11.25" customHeight="1" x14ac:dyDescent="0.3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</row>
    <row r="71" spans="1:26" ht="11.25" customHeight="1" x14ac:dyDescent="0.3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</row>
    <row r="72" spans="1:26" ht="11.25" customHeight="1" x14ac:dyDescent="0.3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</row>
    <row r="73" spans="1:26" ht="11.25" customHeight="1" x14ac:dyDescent="0.3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</row>
    <row r="74" spans="1:26" ht="11.25" customHeight="1" x14ac:dyDescent="0.3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</row>
    <row r="75" spans="1:26" ht="11.25" customHeight="1" x14ac:dyDescent="0.3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</row>
    <row r="76" spans="1:26" ht="11.25" customHeight="1" x14ac:dyDescent="0.3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</row>
    <row r="77" spans="1:26" ht="11.25" customHeight="1" x14ac:dyDescent="0.3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</row>
    <row r="78" spans="1:26" ht="11.25" customHeight="1" x14ac:dyDescent="0.3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</row>
    <row r="79" spans="1:26" ht="11.25" customHeight="1" x14ac:dyDescent="0.3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</row>
    <row r="80" spans="1:26" ht="11.25" customHeight="1" x14ac:dyDescent="0.3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</row>
    <row r="81" spans="1:26" ht="11.25" customHeight="1" x14ac:dyDescent="0.3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</row>
    <row r="82" spans="1:26" ht="11.25" customHeight="1" x14ac:dyDescent="0.3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26" ht="11.25" customHeight="1" x14ac:dyDescent="0.3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</row>
    <row r="84" spans="1:26" ht="11.25" customHeight="1" x14ac:dyDescent="0.3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1:26" ht="11.25" customHeight="1" x14ac:dyDescent="0.3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1:26" ht="11.25" customHeight="1" x14ac:dyDescent="0.3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1:26" ht="11.25" customHeight="1" x14ac:dyDescent="0.3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1:26" ht="11.25" customHeight="1" x14ac:dyDescent="0.3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1:26" ht="11.25" customHeight="1" x14ac:dyDescent="0.3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1:26" ht="11.25" customHeight="1" x14ac:dyDescent="0.3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1:26" ht="11.25" customHeight="1" x14ac:dyDescent="0.3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1:26" ht="11.25" customHeight="1" x14ac:dyDescent="0.3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1:26" ht="11.25" customHeight="1" x14ac:dyDescent="0.3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1:26" ht="11.25" customHeight="1" x14ac:dyDescent="0.3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1:26" ht="11.25" customHeight="1" x14ac:dyDescent="0.3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1:26" ht="11.25" customHeight="1" x14ac:dyDescent="0.3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:26" ht="11.25" customHeight="1" x14ac:dyDescent="0.3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:26" ht="11.25" customHeight="1" x14ac:dyDescent="0.3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</row>
    <row r="99" spans="1:26" ht="11.25" customHeight="1" x14ac:dyDescent="0.3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</row>
    <row r="100" spans="1:26" ht="11.25" customHeight="1" x14ac:dyDescent="0.3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</row>
    <row r="101" spans="1:26" ht="11.25" customHeight="1" x14ac:dyDescent="0.3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</row>
    <row r="102" spans="1:26" ht="11.25" customHeight="1" x14ac:dyDescent="0.3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</row>
    <row r="103" spans="1:26" ht="11.25" customHeight="1" x14ac:dyDescent="0.3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</row>
    <row r="104" spans="1:26" ht="11.25" customHeight="1" x14ac:dyDescent="0.3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</row>
    <row r="105" spans="1:26" ht="11.25" customHeight="1" x14ac:dyDescent="0.3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</row>
    <row r="106" spans="1:26" ht="11.25" customHeight="1" x14ac:dyDescent="0.3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</row>
    <row r="107" spans="1:26" ht="11.25" customHeight="1" x14ac:dyDescent="0.3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</row>
    <row r="108" spans="1:26" ht="11.25" customHeight="1" x14ac:dyDescent="0.3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</row>
    <row r="109" spans="1:26" ht="11.25" customHeight="1" x14ac:dyDescent="0.3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</row>
    <row r="110" spans="1:26" ht="11.25" customHeight="1" x14ac:dyDescent="0.3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</row>
    <row r="111" spans="1:26" ht="11.25" customHeight="1" x14ac:dyDescent="0.3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</row>
    <row r="112" spans="1:26" ht="11.25" customHeight="1" x14ac:dyDescent="0.3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</row>
    <row r="113" spans="1:26" ht="11.25" customHeight="1" x14ac:dyDescent="0.3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</row>
    <row r="114" spans="1:26" ht="11.25" customHeight="1" x14ac:dyDescent="0.3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</row>
    <row r="115" spans="1:26" ht="11.25" customHeight="1" x14ac:dyDescent="0.3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</row>
    <row r="116" spans="1:26" ht="11.25" customHeight="1" x14ac:dyDescent="0.3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</row>
    <row r="117" spans="1:26" ht="11.25" customHeight="1" x14ac:dyDescent="0.3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</row>
    <row r="118" spans="1:26" ht="11.25" customHeight="1" x14ac:dyDescent="0.3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</row>
    <row r="119" spans="1:26" ht="11.25" customHeight="1" x14ac:dyDescent="0.3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</row>
    <row r="120" spans="1:26" ht="11.25" customHeight="1" x14ac:dyDescent="0.3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</row>
    <row r="121" spans="1:26" ht="11.25" customHeight="1" x14ac:dyDescent="0.3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</row>
    <row r="122" spans="1:26" ht="11.25" customHeight="1" x14ac:dyDescent="0.3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26" ht="11.25" customHeight="1" x14ac:dyDescent="0.3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</row>
    <row r="124" spans="1:26" ht="11.25" customHeight="1" x14ac:dyDescent="0.3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</row>
    <row r="125" spans="1:26" ht="11.25" customHeight="1" x14ac:dyDescent="0.3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</row>
    <row r="126" spans="1:26" ht="11.25" customHeight="1" x14ac:dyDescent="0.3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</row>
    <row r="127" spans="1:26" ht="11.25" customHeight="1" x14ac:dyDescent="0.3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</row>
    <row r="128" spans="1:26" ht="11.25" customHeight="1" x14ac:dyDescent="0.3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</row>
    <row r="129" spans="1:26" ht="11.25" customHeight="1" x14ac:dyDescent="0.3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</row>
    <row r="130" spans="1:26" ht="11.25" customHeight="1" x14ac:dyDescent="0.3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</row>
    <row r="131" spans="1:26" ht="11.25" customHeight="1" x14ac:dyDescent="0.3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</row>
    <row r="132" spans="1:26" ht="11.25" customHeight="1" x14ac:dyDescent="0.3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</row>
    <row r="133" spans="1:26" ht="11.25" customHeight="1" x14ac:dyDescent="0.3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</row>
    <row r="134" spans="1:26" ht="11.25" customHeight="1" x14ac:dyDescent="0.3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</row>
    <row r="135" spans="1:26" ht="11.25" customHeight="1" x14ac:dyDescent="0.3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</row>
    <row r="136" spans="1:26" ht="11.25" customHeight="1" x14ac:dyDescent="0.3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</row>
    <row r="137" spans="1:26" ht="11.25" customHeight="1" x14ac:dyDescent="0.3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</row>
    <row r="138" spans="1:26" ht="11.25" customHeight="1" x14ac:dyDescent="0.3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</row>
    <row r="139" spans="1:26" ht="11.25" customHeight="1" x14ac:dyDescent="0.3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</row>
    <row r="140" spans="1:26" ht="11.25" customHeight="1" x14ac:dyDescent="0.3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</row>
    <row r="141" spans="1:26" ht="11.25" customHeight="1" x14ac:dyDescent="0.3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</row>
    <row r="142" spans="1:26" ht="11.25" customHeight="1" x14ac:dyDescent="0.3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</row>
    <row r="143" spans="1:26" ht="11.25" customHeight="1" x14ac:dyDescent="0.3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</row>
    <row r="144" spans="1:26" ht="11.25" customHeight="1" x14ac:dyDescent="0.3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</row>
    <row r="145" spans="1:26" ht="11.25" customHeight="1" x14ac:dyDescent="0.3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</row>
    <row r="146" spans="1:26" ht="11.25" customHeight="1" x14ac:dyDescent="0.3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</row>
    <row r="147" spans="1:26" ht="11.25" customHeight="1" x14ac:dyDescent="0.3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</row>
    <row r="148" spans="1:26" ht="11.25" customHeight="1" x14ac:dyDescent="0.3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</row>
    <row r="149" spans="1:26" ht="11.25" customHeight="1" x14ac:dyDescent="0.3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</row>
    <row r="150" spans="1:26" ht="11.25" customHeight="1" x14ac:dyDescent="0.3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</row>
    <row r="151" spans="1:26" ht="11.25" customHeight="1" x14ac:dyDescent="0.3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</row>
    <row r="152" spans="1:26" ht="11.25" customHeight="1" x14ac:dyDescent="0.3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</row>
    <row r="153" spans="1:26" ht="11.25" customHeight="1" x14ac:dyDescent="0.3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</row>
    <row r="154" spans="1:26" ht="11.25" customHeight="1" x14ac:dyDescent="0.3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</row>
    <row r="155" spans="1:26" ht="11.25" customHeight="1" x14ac:dyDescent="0.3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</row>
    <row r="156" spans="1:26" ht="11.25" customHeight="1" x14ac:dyDescent="0.3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</row>
    <row r="157" spans="1:26" ht="11.25" customHeight="1" x14ac:dyDescent="0.3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</row>
    <row r="158" spans="1:26" ht="11.25" customHeight="1" x14ac:dyDescent="0.3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</row>
    <row r="159" spans="1:26" ht="11.25" customHeight="1" x14ac:dyDescent="0.3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</row>
    <row r="160" spans="1:26" ht="11.25" customHeight="1" x14ac:dyDescent="0.3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</row>
    <row r="161" spans="1:26" ht="11.25" customHeight="1" x14ac:dyDescent="0.3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</row>
    <row r="162" spans="1:26" ht="11.25" customHeight="1" x14ac:dyDescent="0.3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</row>
    <row r="163" spans="1:26" ht="11.25" customHeight="1" x14ac:dyDescent="0.3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</row>
    <row r="164" spans="1:26" ht="11.25" customHeight="1" x14ac:dyDescent="0.3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</row>
    <row r="165" spans="1:26" ht="11.25" customHeight="1" x14ac:dyDescent="0.3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</row>
    <row r="166" spans="1:26" ht="11.25" customHeight="1" x14ac:dyDescent="0.3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</row>
    <row r="167" spans="1:26" ht="11.25" customHeight="1" x14ac:dyDescent="0.3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</row>
    <row r="168" spans="1:26" ht="11.25" customHeight="1" x14ac:dyDescent="0.3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</row>
    <row r="169" spans="1:26" ht="11.25" customHeight="1" x14ac:dyDescent="0.3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</row>
    <row r="170" spans="1:26" ht="11.25" customHeight="1" x14ac:dyDescent="0.3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</row>
    <row r="171" spans="1:26" ht="11.25" customHeight="1" x14ac:dyDescent="0.3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</row>
    <row r="172" spans="1:26" ht="11.25" customHeight="1" x14ac:dyDescent="0.3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</row>
    <row r="173" spans="1:26" ht="11.25" customHeight="1" x14ac:dyDescent="0.3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</row>
    <row r="174" spans="1:26" ht="11.25" customHeight="1" x14ac:dyDescent="0.3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</row>
    <row r="175" spans="1:26" ht="11.25" customHeight="1" x14ac:dyDescent="0.3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</row>
    <row r="176" spans="1:26" ht="11.25" customHeight="1" x14ac:dyDescent="0.3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</row>
    <row r="177" spans="1:26" ht="11.25" customHeight="1" x14ac:dyDescent="0.3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</row>
    <row r="178" spans="1:26" ht="11.25" customHeight="1" x14ac:dyDescent="0.3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</row>
    <row r="179" spans="1:26" ht="11.25" customHeight="1" x14ac:dyDescent="0.3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</row>
    <row r="180" spans="1:26" ht="11.25" customHeight="1" x14ac:dyDescent="0.3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</row>
    <row r="181" spans="1:26" ht="11.25" customHeight="1" x14ac:dyDescent="0.3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</row>
    <row r="182" spans="1:26" ht="11.25" customHeight="1" x14ac:dyDescent="0.3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</row>
    <row r="183" spans="1:26" ht="11.25" customHeight="1" x14ac:dyDescent="0.3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</row>
    <row r="184" spans="1:26" ht="11.25" customHeight="1" x14ac:dyDescent="0.3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</row>
    <row r="185" spans="1:26" ht="11.25" customHeight="1" x14ac:dyDescent="0.3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</row>
    <row r="186" spans="1:26" ht="11.25" customHeight="1" x14ac:dyDescent="0.3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</row>
    <row r="187" spans="1:26" ht="11.25" customHeight="1" x14ac:dyDescent="0.3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</row>
    <row r="188" spans="1:26" ht="11.25" customHeight="1" x14ac:dyDescent="0.3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</row>
    <row r="189" spans="1:26" ht="11.25" customHeight="1" x14ac:dyDescent="0.3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</row>
    <row r="190" spans="1:26" ht="11.25" customHeight="1" x14ac:dyDescent="0.3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</row>
    <row r="191" spans="1:26" ht="11.25" customHeight="1" x14ac:dyDescent="0.3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</row>
    <row r="192" spans="1:26" ht="11.25" customHeight="1" x14ac:dyDescent="0.3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</row>
    <row r="193" spans="1:26" ht="11.25" customHeight="1" x14ac:dyDescent="0.3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</row>
    <row r="194" spans="1:26" ht="11.25" customHeight="1" x14ac:dyDescent="0.3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</row>
    <row r="195" spans="1:26" ht="11.25" customHeight="1" x14ac:dyDescent="0.3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</row>
    <row r="196" spans="1:26" ht="11.25" customHeight="1" x14ac:dyDescent="0.3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</row>
    <row r="197" spans="1:26" ht="11.25" customHeight="1" x14ac:dyDescent="0.3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</row>
    <row r="198" spans="1:26" ht="11.25" customHeight="1" x14ac:dyDescent="0.3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</row>
    <row r="199" spans="1:26" ht="11.25" customHeight="1" x14ac:dyDescent="0.3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</row>
    <row r="200" spans="1:26" ht="11.25" customHeight="1" x14ac:dyDescent="0.3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</row>
    <row r="201" spans="1:26" ht="11.25" customHeight="1" x14ac:dyDescent="0.3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</row>
    <row r="202" spans="1:26" ht="11.25" customHeight="1" x14ac:dyDescent="0.3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</row>
    <row r="203" spans="1:26" ht="11.25" customHeight="1" x14ac:dyDescent="0.3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</row>
    <row r="204" spans="1:26" ht="11.25" customHeight="1" x14ac:dyDescent="0.3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</row>
    <row r="205" spans="1:26" ht="11.25" customHeight="1" x14ac:dyDescent="0.3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</row>
    <row r="206" spans="1:26" ht="11.25" customHeight="1" x14ac:dyDescent="0.3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</row>
    <row r="207" spans="1:26" ht="11.25" customHeight="1" x14ac:dyDescent="0.3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</row>
    <row r="208" spans="1:26" ht="11.25" customHeight="1" x14ac:dyDescent="0.3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</row>
    <row r="209" spans="1:26" ht="11.25" customHeight="1" x14ac:dyDescent="0.3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</row>
    <row r="210" spans="1:26" ht="11.25" customHeight="1" x14ac:dyDescent="0.3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</row>
    <row r="211" spans="1:26" ht="11.25" customHeight="1" x14ac:dyDescent="0.3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</row>
    <row r="212" spans="1:26" ht="11.25" customHeight="1" x14ac:dyDescent="0.3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</row>
    <row r="213" spans="1:26" ht="11.25" customHeight="1" x14ac:dyDescent="0.3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</row>
    <row r="214" spans="1:26" ht="11.25" customHeight="1" x14ac:dyDescent="0.3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</row>
    <row r="215" spans="1:26" ht="11.25" customHeight="1" x14ac:dyDescent="0.3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</row>
    <row r="216" spans="1:26" ht="11.25" customHeight="1" x14ac:dyDescent="0.3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</row>
    <row r="217" spans="1:26" ht="11.25" customHeight="1" x14ac:dyDescent="0.3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</row>
    <row r="218" spans="1:26" ht="11.25" customHeight="1" x14ac:dyDescent="0.3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</row>
    <row r="219" spans="1:26" ht="11.25" customHeight="1" x14ac:dyDescent="0.3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</row>
    <row r="220" spans="1:26" ht="11.25" customHeight="1" x14ac:dyDescent="0.3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</row>
    <row r="221" spans="1:26" ht="11.25" customHeight="1" x14ac:dyDescent="0.3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</row>
    <row r="222" spans="1:26" ht="11.25" customHeight="1" x14ac:dyDescent="0.3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</row>
    <row r="223" spans="1:26" ht="11.25" customHeight="1" x14ac:dyDescent="0.3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</row>
    <row r="224" spans="1:26" ht="11.25" customHeight="1" x14ac:dyDescent="0.3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</row>
    <row r="225" spans="1:26" ht="11.25" customHeight="1" x14ac:dyDescent="0.3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</row>
    <row r="226" spans="1:26" ht="11.25" customHeight="1" x14ac:dyDescent="0.3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</row>
    <row r="227" spans="1:26" ht="11.25" customHeight="1" x14ac:dyDescent="0.3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</row>
    <row r="228" spans="1:26" ht="11.25" customHeight="1" x14ac:dyDescent="0.3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</row>
    <row r="229" spans="1:26" ht="11.25" customHeight="1" x14ac:dyDescent="0.3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</row>
    <row r="230" spans="1:26" ht="11.25" customHeight="1" x14ac:dyDescent="0.3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</row>
    <row r="231" spans="1:26" ht="11.25" customHeight="1" x14ac:dyDescent="0.3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</row>
    <row r="232" spans="1:26" ht="11.25" customHeight="1" x14ac:dyDescent="0.3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</row>
    <row r="233" spans="1:26" ht="11.25" customHeight="1" x14ac:dyDescent="0.3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</row>
    <row r="234" spans="1:26" ht="11.25" customHeight="1" x14ac:dyDescent="0.3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</row>
    <row r="235" spans="1:26" ht="11.25" customHeight="1" x14ac:dyDescent="0.3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</row>
    <row r="236" spans="1:26" ht="11.25" customHeight="1" x14ac:dyDescent="0.3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</row>
    <row r="237" spans="1:26" ht="11.25" customHeight="1" x14ac:dyDescent="0.3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</row>
    <row r="238" spans="1:26" ht="11.25" customHeight="1" x14ac:dyDescent="0.3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</row>
    <row r="239" spans="1:26" ht="11.25" customHeight="1" x14ac:dyDescent="0.3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</row>
    <row r="240" spans="1:26" ht="11.25" customHeight="1" x14ac:dyDescent="0.3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</row>
    <row r="241" spans="1:26" ht="11.25" customHeight="1" x14ac:dyDescent="0.3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</row>
    <row r="242" spans="1:26" ht="11.25" customHeight="1" x14ac:dyDescent="0.3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</row>
    <row r="243" spans="1:26" ht="11.25" customHeight="1" x14ac:dyDescent="0.3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</row>
    <row r="244" spans="1:26" ht="11.25" customHeight="1" x14ac:dyDescent="0.3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</row>
    <row r="245" spans="1:26" ht="11.25" customHeight="1" x14ac:dyDescent="0.3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</row>
    <row r="246" spans="1:26" ht="11.25" customHeight="1" x14ac:dyDescent="0.3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</row>
    <row r="247" spans="1:26" ht="11.25" customHeight="1" x14ac:dyDescent="0.3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</row>
    <row r="248" spans="1:26" ht="11.25" customHeight="1" x14ac:dyDescent="0.3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</row>
    <row r="249" spans="1:26" ht="11.25" customHeight="1" x14ac:dyDescent="0.3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</row>
    <row r="250" spans="1:26" ht="11.25" customHeight="1" x14ac:dyDescent="0.3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</row>
    <row r="251" spans="1:26" ht="11.25" customHeight="1" x14ac:dyDescent="0.3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</row>
    <row r="252" spans="1:26" ht="11.25" customHeight="1" x14ac:dyDescent="0.3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</row>
    <row r="253" spans="1:26" ht="11.25" customHeight="1" x14ac:dyDescent="0.3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</row>
    <row r="254" spans="1:26" ht="11.25" customHeight="1" x14ac:dyDescent="0.3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</row>
    <row r="255" spans="1:26" ht="11.25" customHeight="1" x14ac:dyDescent="0.3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</row>
    <row r="256" spans="1:26" ht="11.25" customHeight="1" x14ac:dyDescent="0.3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</row>
    <row r="257" spans="1:26" ht="11.25" customHeight="1" x14ac:dyDescent="0.3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</row>
    <row r="258" spans="1:26" ht="11.25" customHeight="1" x14ac:dyDescent="0.3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</row>
    <row r="259" spans="1:26" ht="11.25" customHeight="1" x14ac:dyDescent="0.3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</row>
    <row r="260" spans="1:26" ht="11.25" customHeight="1" x14ac:dyDescent="0.3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</row>
    <row r="261" spans="1:26" ht="11.25" customHeight="1" x14ac:dyDescent="0.3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</row>
    <row r="262" spans="1:26" ht="11.25" customHeight="1" x14ac:dyDescent="0.3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</row>
    <row r="263" spans="1:26" ht="11.25" customHeight="1" x14ac:dyDescent="0.3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</row>
    <row r="264" spans="1:26" ht="11.25" customHeight="1" x14ac:dyDescent="0.3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</row>
    <row r="265" spans="1:26" ht="11.25" customHeight="1" x14ac:dyDescent="0.3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</row>
    <row r="266" spans="1:26" ht="11.25" customHeight="1" x14ac:dyDescent="0.3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</row>
    <row r="267" spans="1:26" ht="11.25" customHeight="1" x14ac:dyDescent="0.3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</row>
    <row r="268" spans="1:26" ht="11.25" customHeight="1" x14ac:dyDescent="0.3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</row>
    <row r="269" spans="1:26" ht="11.25" customHeight="1" x14ac:dyDescent="0.3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</row>
    <row r="270" spans="1:26" ht="11.25" customHeight="1" x14ac:dyDescent="0.3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</row>
    <row r="271" spans="1:26" ht="11.25" customHeight="1" x14ac:dyDescent="0.3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</row>
    <row r="272" spans="1:26" ht="11.25" customHeight="1" x14ac:dyDescent="0.3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</row>
    <row r="273" spans="1:26" ht="11.25" customHeight="1" x14ac:dyDescent="0.3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</row>
    <row r="274" spans="1:26" ht="11.25" customHeight="1" x14ac:dyDescent="0.3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</row>
    <row r="275" spans="1:26" ht="11.25" customHeight="1" x14ac:dyDescent="0.3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</row>
    <row r="276" spans="1:26" ht="11.25" customHeight="1" x14ac:dyDescent="0.3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</row>
    <row r="277" spans="1:26" ht="11.25" customHeight="1" x14ac:dyDescent="0.3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</row>
    <row r="278" spans="1:26" ht="11.25" customHeight="1" x14ac:dyDescent="0.3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</row>
    <row r="279" spans="1:26" ht="11.25" customHeight="1" x14ac:dyDescent="0.3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</row>
    <row r="280" spans="1:26" ht="11.25" customHeight="1" x14ac:dyDescent="0.3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</row>
    <row r="281" spans="1:26" ht="11.25" customHeight="1" x14ac:dyDescent="0.3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</row>
    <row r="282" spans="1:26" ht="11.25" customHeight="1" x14ac:dyDescent="0.3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</row>
    <row r="283" spans="1:26" ht="11.25" customHeight="1" x14ac:dyDescent="0.3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</row>
    <row r="284" spans="1:26" ht="11.25" customHeight="1" x14ac:dyDescent="0.3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</row>
    <row r="285" spans="1:26" ht="11.25" customHeight="1" x14ac:dyDescent="0.3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</row>
    <row r="286" spans="1:26" ht="11.25" customHeight="1" x14ac:dyDescent="0.3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</row>
    <row r="287" spans="1:26" ht="11.25" customHeight="1" x14ac:dyDescent="0.3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</row>
    <row r="288" spans="1:26" ht="11.25" customHeight="1" x14ac:dyDescent="0.3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</row>
    <row r="289" spans="1:26" ht="11.25" customHeight="1" x14ac:dyDescent="0.3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</row>
    <row r="290" spans="1:26" ht="11.25" customHeight="1" x14ac:dyDescent="0.3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</row>
    <row r="291" spans="1:26" ht="11.25" customHeight="1" x14ac:dyDescent="0.3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</row>
    <row r="292" spans="1:26" ht="11.25" customHeight="1" x14ac:dyDescent="0.3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</row>
    <row r="293" spans="1:26" ht="11.25" customHeight="1" x14ac:dyDescent="0.3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</row>
    <row r="294" spans="1:26" ht="11.25" customHeight="1" x14ac:dyDescent="0.3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</row>
    <row r="295" spans="1:26" ht="11.25" customHeight="1" x14ac:dyDescent="0.3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</row>
    <row r="296" spans="1:26" ht="11.25" customHeight="1" x14ac:dyDescent="0.3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</row>
    <row r="297" spans="1:26" ht="11.25" customHeight="1" x14ac:dyDescent="0.3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</row>
    <row r="298" spans="1:26" ht="11.25" customHeight="1" x14ac:dyDescent="0.3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</row>
    <row r="299" spans="1:26" ht="11.25" customHeight="1" x14ac:dyDescent="0.3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</row>
    <row r="300" spans="1:26" ht="11.25" customHeight="1" x14ac:dyDescent="0.3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</row>
    <row r="301" spans="1:26" ht="11.25" customHeight="1" x14ac:dyDescent="0.3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</row>
    <row r="302" spans="1:26" ht="11.25" customHeight="1" x14ac:dyDescent="0.3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</row>
    <row r="303" spans="1:26" ht="11.25" customHeight="1" x14ac:dyDescent="0.3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</row>
    <row r="304" spans="1:26" ht="11.25" customHeight="1" x14ac:dyDescent="0.3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</row>
    <row r="305" spans="1:26" ht="11.25" customHeight="1" x14ac:dyDescent="0.3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</row>
    <row r="306" spans="1:26" ht="11.25" customHeight="1" x14ac:dyDescent="0.3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</row>
    <row r="307" spans="1:26" ht="11.25" customHeight="1" x14ac:dyDescent="0.3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</row>
    <row r="308" spans="1:26" ht="11.25" customHeight="1" x14ac:dyDescent="0.3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</row>
    <row r="309" spans="1:26" ht="11.25" customHeight="1" x14ac:dyDescent="0.3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</row>
    <row r="310" spans="1:26" ht="11.25" customHeight="1" x14ac:dyDescent="0.3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</row>
    <row r="311" spans="1:26" ht="11.25" customHeight="1" x14ac:dyDescent="0.3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</row>
    <row r="312" spans="1:26" ht="11.25" customHeight="1" x14ac:dyDescent="0.3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</row>
    <row r="313" spans="1:26" ht="11.25" customHeight="1" x14ac:dyDescent="0.3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</row>
    <row r="314" spans="1:26" ht="11.25" customHeight="1" x14ac:dyDescent="0.3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</row>
    <row r="315" spans="1:26" ht="11.25" customHeight="1" x14ac:dyDescent="0.3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</row>
    <row r="316" spans="1:26" ht="11.25" customHeight="1" x14ac:dyDescent="0.3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</row>
    <row r="317" spans="1:26" ht="11.25" customHeight="1" x14ac:dyDescent="0.3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</row>
    <row r="318" spans="1:26" ht="11.25" customHeight="1" x14ac:dyDescent="0.3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</row>
    <row r="319" spans="1:26" ht="11.25" customHeight="1" x14ac:dyDescent="0.3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</row>
    <row r="320" spans="1:26" ht="11.25" customHeight="1" x14ac:dyDescent="0.3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</row>
    <row r="321" spans="1:26" ht="11.25" customHeight="1" x14ac:dyDescent="0.3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</row>
    <row r="322" spans="1:26" ht="11.25" customHeight="1" x14ac:dyDescent="0.3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</row>
    <row r="323" spans="1:26" ht="11.25" customHeight="1" x14ac:dyDescent="0.3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</row>
    <row r="324" spans="1:26" ht="11.25" customHeight="1" x14ac:dyDescent="0.3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</row>
    <row r="325" spans="1:26" ht="11.25" customHeight="1" x14ac:dyDescent="0.3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</row>
    <row r="326" spans="1:26" ht="11.25" customHeight="1" x14ac:dyDescent="0.3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</row>
    <row r="327" spans="1:26" ht="11.25" customHeight="1" x14ac:dyDescent="0.3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</row>
    <row r="328" spans="1:26" ht="11.25" customHeight="1" x14ac:dyDescent="0.3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</row>
    <row r="329" spans="1:26" ht="11.25" customHeight="1" x14ac:dyDescent="0.3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</row>
    <row r="330" spans="1:26" ht="11.25" customHeight="1" x14ac:dyDescent="0.3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</row>
    <row r="331" spans="1:26" ht="11.25" customHeight="1" x14ac:dyDescent="0.3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</row>
    <row r="332" spans="1:26" ht="11.25" customHeight="1" x14ac:dyDescent="0.3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</row>
    <row r="333" spans="1:26" ht="11.25" customHeight="1" x14ac:dyDescent="0.3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</row>
    <row r="334" spans="1:26" ht="11.25" customHeight="1" x14ac:dyDescent="0.3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</row>
    <row r="335" spans="1:26" ht="11.25" customHeight="1" x14ac:dyDescent="0.3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</row>
    <row r="336" spans="1:26" ht="11.25" customHeight="1" x14ac:dyDescent="0.3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</row>
    <row r="337" spans="1:26" ht="11.25" customHeight="1" x14ac:dyDescent="0.3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</row>
    <row r="338" spans="1:26" ht="11.25" customHeight="1" x14ac:dyDescent="0.3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</row>
    <row r="339" spans="1:26" ht="11.25" customHeight="1" x14ac:dyDescent="0.3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</row>
    <row r="340" spans="1:26" ht="11.25" customHeight="1" x14ac:dyDescent="0.3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</row>
    <row r="341" spans="1:26" ht="11.25" customHeight="1" x14ac:dyDescent="0.3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</row>
    <row r="342" spans="1:26" ht="11.25" customHeight="1" x14ac:dyDescent="0.3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</row>
    <row r="343" spans="1:26" ht="11.25" customHeight="1" x14ac:dyDescent="0.3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</row>
    <row r="344" spans="1:26" ht="11.25" customHeight="1" x14ac:dyDescent="0.3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</row>
    <row r="345" spans="1:26" ht="11.25" customHeight="1" x14ac:dyDescent="0.3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</row>
    <row r="346" spans="1:26" ht="11.25" customHeight="1" x14ac:dyDescent="0.3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</row>
    <row r="347" spans="1:26" ht="11.25" customHeight="1" x14ac:dyDescent="0.3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</row>
    <row r="348" spans="1:26" ht="11.25" customHeight="1" x14ac:dyDescent="0.3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</row>
    <row r="349" spans="1:26" ht="11.25" customHeight="1" x14ac:dyDescent="0.3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</row>
    <row r="350" spans="1:26" ht="11.25" customHeight="1" x14ac:dyDescent="0.3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</row>
    <row r="351" spans="1:26" ht="11.25" customHeight="1" x14ac:dyDescent="0.3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</row>
    <row r="352" spans="1:26" ht="11.25" customHeight="1" x14ac:dyDescent="0.3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</row>
    <row r="353" spans="1:26" ht="11.25" customHeight="1" x14ac:dyDescent="0.3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</row>
    <row r="354" spans="1:26" ht="11.25" customHeight="1" x14ac:dyDescent="0.3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</row>
    <row r="355" spans="1:26" ht="11.25" customHeight="1" x14ac:dyDescent="0.3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</row>
    <row r="356" spans="1:26" ht="11.25" customHeight="1" x14ac:dyDescent="0.3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</row>
    <row r="357" spans="1:26" ht="11.25" customHeight="1" x14ac:dyDescent="0.3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</row>
    <row r="358" spans="1:26" ht="11.25" customHeight="1" x14ac:dyDescent="0.3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</row>
    <row r="359" spans="1:26" ht="11.25" customHeight="1" x14ac:dyDescent="0.3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</row>
    <row r="360" spans="1:26" ht="11.25" customHeight="1" x14ac:dyDescent="0.3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</row>
    <row r="361" spans="1:26" ht="11.25" customHeight="1" x14ac:dyDescent="0.3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</row>
    <row r="362" spans="1:26" ht="11.25" customHeight="1" x14ac:dyDescent="0.3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</row>
    <row r="363" spans="1:26" ht="11.25" customHeight="1" x14ac:dyDescent="0.3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</row>
    <row r="364" spans="1:26" ht="11.25" customHeight="1" x14ac:dyDescent="0.3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</row>
    <row r="365" spans="1:26" ht="11.25" customHeight="1" x14ac:dyDescent="0.3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</row>
    <row r="366" spans="1:26" ht="11.25" customHeight="1" x14ac:dyDescent="0.3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</row>
    <row r="367" spans="1:26" ht="11.25" customHeight="1" x14ac:dyDescent="0.3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</row>
    <row r="368" spans="1:26" ht="11.25" customHeight="1" x14ac:dyDescent="0.3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</row>
    <row r="369" spans="1:26" ht="11.25" customHeight="1" x14ac:dyDescent="0.3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</row>
    <row r="370" spans="1:26" ht="11.25" customHeight="1" x14ac:dyDescent="0.3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</row>
    <row r="371" spans="1:26" ht="11.25" customHeight="1" x14ac:dyDescent="0.3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</row>
    <row r="372" spans="1:26" ht="11.25" customHeight="1" x14ac:dyDescent="0.3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</row>
    <row r="373" spans="1:26" ht="11.25" customHeight="1" x14ac:dyDescent="0.3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</row>
    <row r="374" spans="1:26" ht="11.25" customHeight="1" x14ac:dyDescent="0.3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</row>
    <row r="375" spans="1:26" ht="11.25" customHeight="1" x14ac:dyDescent="0.3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</row>
    <row r="376" spans="1:26" ht="11.25" customHeight="1" x14ac:dyDescent="0.3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</row>
    <row r="377" spans="1:26" ht="11.25" customHeight="1" x14ac:dyDescent="0.3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</row>
    <row r="378" spans="1:26" ht="11.25" customHeight="1" x14ac:dyDescent="0.3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</row>
    <row r="379" spans="1:26" ht="11.25" customHeight="1" x14ac:dyDescent="0.3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</row>
    <row r="380" spans="1:26" ht="11.25" customHeight="1" x14ac:dyDescent="0.3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</row>
    <row r="381" spans="1:26" ht="11.25" customHeight="1" x14ac:dyDescent="0.3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</row>
    <row r="382" spans="1:26" ht="11.25" customHeight="1" x14ac:dyDescent="0.3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</row>
    <row r="383" spans="1:26" ht="11.25" customHeight="1" x14ac:dyDescent="0.3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</row>
    <row r="384" spans="1:26" ht="11.25" customHeight="1" x14ac:dyDescent="0.3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</row>
    <row r="385" spans="1:26" ht="11.25" customHeight="1" x14ac:dyDescent="0.3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</row>
    <row r="386" spans="1:26" ht="11.25" customHeight="1" x14ac:dyDescent="0.3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</row>
    <row r="387" spans="1:26" ht="11.25" customHeight="1" x14ac:dyDescent="0.3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</row>
    <row r="388" spans="1:26" ht="11.25" customHeight="1" x14ac:dyDescent="0.3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</row>
    <row r="389" spans="1:26" ht="11.25" customHeight="1" x14ac:dyDescent="0.3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</row>
    <row r="390" spans="1:26" ht="11.25" customHeight="1" x14ac:dyDescent="0.3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</row>
    <row r="391" spans="1:26" ht="11.25" customHeight="1" x14ac:dyDescent="0.3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</row>
    <row r="392" spans="1:26" ht="11.25" customHeight="1" x14ac:dyDescent="0.3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</row>
    <row r="393" spans="1:26" ht="11.25" customHeight="1" x14ac:dyDescent="0.3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</row>
    <row r="394" spans="1:26" ht="11.25" customHeight="1" x14ac:dyDescent="0.3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</row>
    <row r="395" spans="1:26" ht="11.25" customHeight="1" x14ac:dyDescent="0.3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</row>
    <row r="396" spans="1:26" ht="11.25" customHeight="1" x14ac:dyDescent="0.3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</row>
    <row r="397" spans="1:26" ht="11.25" customHeight="1" x14ac:dyDescent="0.3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</row>
    <row r="398" spans="1:26" ht="11.25" customHeight="1" x14ac:dyDescent="0.3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</row>
    <row r="399" spans="1:26" ht="11.25" customHeight="1" x14ac:dyDescent="0.3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</row>
    <row r="400" spans="1:26" ht="11.25" customHeight="1" x14ac:dyDescent="0.3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</row>
    <row r="401" spans="1:26" ht="11.25" customHeight="1" x14ac:dyDescent="0.3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</row>
    <row r="402" spans="1:26" ht="11.25" customHeight="1" x14ac:dyDescent="0.3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</row>
    <row r="403" spans="1:26" ht="11.25" customHeight="1" x14ac:dyDescent="0.3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</row>
    <row r="404" spans="1:26" ht="11.25" customHeight="1" x14ac:dyDescent="0.3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</row>
    <row r="405" spans="1:26" ht="11.25" customHeight="1" x14ac:dyDescent="0.3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</row>
    <row r="406" spans="1:26" ht="11.25" customHeight="1" x14ac:dyDescent="0.3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</row>
    <row r="407" spans="1:26" ht="11.25" customHeight="1" x14ac:dyDescent="0.3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</row>
    <row r="408" spans="1:26" ht="11.25" customHeight="1" x14ac:dyDescent="0.3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</row>
    <row r="409" spans="1:26" ht="11.25" customHeight="1" x14ac:dyDescent="0.3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</row>
    <row r="410" spans="1:26" ht="11.25" customHeight="1" x14ac:dyDescent="0.3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</row>
    <row r="411" spans="1:26" ht="11.25" customHeight="1" x14ac:dyDescent="0.3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</row>
    <row r="412" spans="1:26" ht="11.25" customHeight="1" x14ac:dyDescent="0.3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</row>
    <row r="413" spans="1:26" ht="11.25" customHeight="1" x14ac:dyDescent="0.3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</row>
    <row r="414" spans="1:26" ht="11.25" customHeight="1" x14ac:dyDescent="0.3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</row>
    <row r="415" spans="1:26" ht="11.25" customHeight="1" x14ac:dyDescent="0.3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</row>
    <row r="416" spans="1:26" ht="11.25" customHeight="1" x14ac:dyDescent="0.3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</row>
    <row r="417" spans="1:26" ht="11.25" customHeight="1" x14ac:dyDescent="0.3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</row>
    <row r="418" spans="1:26" ht="11.25" customHeight="1" x14ac:dyDescent="0.3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</row>
    <row r="419" spans="1:26" ht="11.25" customHeight="1" x14ac:dyDescent="0.3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</row>
    <row r="420" spans="1:26" ht="11.25" customHeight="1" x14ac:dyDescent="0.3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</row>
    <row r="421" spans="1:26" ht="11.25" customHeight="1" x14ac:dyDescent="0.3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</row>
    <row r="422" spans="1:26" ht="11.25" customHeight="1" x14ac:dyDescent="0.3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</row>
    <row r="423" spans="1:26" ht="11.25" customHeight="1" x14ac:dyDescent="0.3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</row>
    <row r="424" spans="1:26" ht="11.25" customHeight="1" x14ac:dyDescent="0.3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</row>
    <row r="425" spans="1:26" ht="11.25" customHeight="1" x14ac:dyDescent="0.3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</row>
    <row r="426" spans="1:26" ht="11.25" customHeight="1" x14ac:dyDescent="0.3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</row>
    <row r="427" spans="1:26" ht="11.25" customHeight="1" x14ac:dyDescent="0.3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</row>
    <row r="428" spans="1:26" ht="11.25" customHeight="1" x14ac:dyDescent="0.3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</row>
    <row r="429" spans="1:26" ht="11.25" customHeight="1" x14ac:dyDescent="0.3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</row>
    <row r="430" spans="1:26" ht="11.25" customHeight="1" x14ac:dyDescent="0.3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</row>
    <row r="431" spans="1:26" ht="11.25" customHeight="1" x14ac:dyDescent="0.3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</row>
    <row r="432" spans="1:26" ht="11.25" customHeight="1" x14ac:dyDescent="0.3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</row>
    <row r="433" spans="1:26" ht="11.25" customHeight="1" x14ac:dyDescent="0.3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</row>
    <row r="434" spans="1:26" ht="11.25" customHeight="1" x14ac:dyDescent="0.3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</row>
    <row r="435" spans="1:26" ht="11.25" customHeight="1" x14ac:dyDescent="0.3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</row>
    <row r="436" spans="1:26" ht="11.25" customHeight="1" x14ac:dyDescent="0.3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</row>
    <row r="437" spans="1:26" ht="11.25" customHeight="1" x14ac:dyDescent="0.3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</row>
    <row r="438" spans="1:26" ht="11.25" customHeight="1" x14ac:dyDescent="0.3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</row>
    <row r="439" spans="1:26" ht="11.25" customHeight="1" x14ac:dyDescent="0.3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</row>
    <row r="440" spans="1:26" ht="11.25" customHeight="1" x14ac:dyDescent="0.3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</row>
    <row r="441" spans="1:26" ht="11.25" customHeight="1" x14ac:dyDescent="0.3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</row>
    <row r="442" spans="1:26" ht="11.25" customHeight="1" x14ac:dyDescent="0.3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</row>
    <row r="443" spans="1:26" ht="11.25" customHeight="1" x14ac:dyDescent="0.3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</row>
    <row r="444" spans="1:26" ht="11.25" customHeight="1" x14ac:dyDescent="0.3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</row>
    <row r="445" spans="1:26" ht="11.25" customHeight="1" x14ac:dyDescent="0.3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</row>
    <row r="446" spans="1:26" ht="11.25" customHeight="1" x14ac:dyDescent="0.3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</row>
    <row r="447" spans="1:26" ht="11.25" customHeight="1" x14ac:dyDescent="0.3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</row>
    <row r="448" spans="1:26" ht="11.25" customHeight="1" x14ac:dyDescent="0.3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</row>
    <row r="449" spans="1:26" ht="11.25" customHeight="1" x14ac:dyDescent="0.3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</row>
    <row r="450" spans="1:26" ht="11.25" customHeight="1" x14ac:dyDescent="0.3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</row>
    <row r="451" spans="1:26" ht="11.25" customHeight="1" x14ac:dyDescent="0.3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</row>
    <row r="452" spans="1:26" ht="11.25" customHeight="1" x14ac:dyDescent="0.3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</row>
    <row r="453" spans="1:26" ht="11.25" customHeight="1" x14ac:dyDescent="0.3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</row>
    <row r="454" spans="1:26" ht="11.25" customHeight="1" x14ac:dyDescent="0.3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</row>
    <row r="455" spans="1:26" ht="11.25" customHeight="1" x14ac:dyDescent="0.3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</row>
    <row r="456" spans="1:26" ht="11.25" customHeight="1" x14ac:dyDescent="0.3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</row>
    <row r="457" spans="1:26" ht="11.25" customHeight="1" x14ac:dyDescent="0.3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</row>
    <row r="458" spans="1:26" ht="11.25" customHeight="1" x14ac:dyDescent="0.3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</row>
    <row r="459" spans="1:26" ht="11.25" customHeight="1" x14ac:dyDescent="0.3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</row>
    <row r="460" spans="1:26" ht="11.25" customHeight="1" x14ac:dyDescent="0.3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</row>
    <row r="461" spans="1:26" ht="11.25" customHeight="1" x14ac:dyDescent="0.3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</row>
    <row r="462" spans="1:26" ht="11.25" customHeight="1" x14ac:dyDescent="0.3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</row>
    <row r="463" spans="1:26" ht="11.25" customHeight="1" x14ac:dyDescent="0.3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</row>
    <row r="464" spans="1:26" ht="11.25" customHeight="1" x14ac:dyDescent="0.3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</row>
    <row r="465" spans="1:26" ht="11.25" customHeight="1" x14ac:dyDescent="0.3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</row>
    <row r="466" spans="1:26" ht="11.25" customHeight="1" x14ac:dyDescent="0.3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</row>
    <row r="467" spans="1:26" ht="11.25" customHeight="1" x14ac:dyDescent="0.3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</row>
    <row r="468" spans="1:26" ht="11.25" customHeight="1" x14ac:dyDescent="0.3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</row>
    <row r="469" spans="1:26" ht="11.25" customHeight="1" x14ac:dyDescent="0.3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</row>
    <row r="470" spans="1:26" ht="11.25" customHeight="1" x14ac:dyDescent="0.3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</row>
    <row r="471" spans="1:26" ht="11.25" customHeight="1" x14ac:dyDescent="0.3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</row>
    <row r="472" spans="1:26" ht="11.25" customHeight="1" x14ac:dyDescent="0.3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</row>
    <row r="473" spans="1:26" ht="11.25" customHeight="1" x14ac:dyDescent="0.3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</row>
    <row r="474" spans="1:26" ht="11.25" customHeight="1" x14ac:dyDescent="0.3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</row>
    <row r="475" spans="1:26" ht="11.25" customHeight="1" x14ac:dyDescent="0.3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</row>
    <row r="476" spans="1:26" ht="11.25" customHeight="1" x14ac:dyDescent="0.3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</row>
    <row r="477" spans="1:26" ht="11.25" customHeight="1" x14ac:dyDescent="0.3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</row>
    <row r="478" spans="1:26" ht="11.25" customHeight="1" x14ac:dyDescent="0.3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</row>
    <row r="479" spans="1:26" ht="11.25" customHeight="1" x14ac:dyDescent="0.3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</row>
    <row r="480" spans="1:26" ht="11.25" customHeight="1" x14ac:dyDescent="0.3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</row>
    <row r="481" spans="1:26" ht="11.25" customHeight="1" x14ac:dyDescent="0.3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</row>
    <row r="482" spans="1:26" ht="11.25" customHeight="1" x14ac:dyDescent="0.3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</row>
    <row r="483" spans="1:26" ht="11.25" customHeight="1" x14ac:dyDescent="0.35">
      <c r="A483" s="57"/>
      <c r="B483" s="57"/>
      <c r="C483" s="57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</row>
    <row r="484" spans="1:26" ht="11.25" customHeight="1" x14ac:dyDescent="0.35">
      <c r="A484" s="57"/>
      <c r="B484" s="57"/>
      <c r="C484" s="57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</row>
    <row r="485" spans="1:26" ht="11.25" customHeight="1" x14ac:dyDescent="0.35">
      <c r="A485" s="57"/>
      <c r="B485" s="57"/>
      <c r="C485" s="57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</row>
    <row r="486" spans="1:26" ht="11.25" customHeight="1" x14ac:dyDescent="0.35">
      <c r="A486" s="57"/>
      <c r="B486" s="57"/>
      <c r="C486" s="57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</row>
    <row r="487" spans="1:26" ht="11.25" customHeight="1" x14ac:dyDescent="0.35">
      <c r="A487" s="57"/>
      <c r="B487" s="57"/>
      <c r="C487" s="57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</row>
    <row r="488" spans="1:26" ht="11.25" customHeight="1" x14ac:dyDescent="0.35">
      <c r="A488" s="57"/>
      <c r="B488" s="57"/>
      <c r="C488" s="57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</row>
    <row r="489" spans="1:26" ht="11.25" customHeight="1" x14ac:dyDescent="0.35">
      <c r="A489" s="57"/>
      <c r="B489" s="57"/>
      <c r="C489" s="57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</row>
    <row r="490" spans="1:26" ht="11.25" customHeight="1" x14ac:dyDescent="0.35">
      <c r="A490" s="57"/>
      <c r="B490" s="57"/>
      <c r="C490" s="57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</row>
    <row r="491" spans="1:26" ht="11.25" customHeight="1" x14ac:dyDescent="0.35">
      <c r="A491" s="57"/>
      <c r="B491" s="57"/>
      <c r="C491" s="57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</row>
    <row r="492" spans="1:26" ht="11.25" customHeight="1" x14ac:dyDescent="0.35">
      <c r="A492" s="57"/>
      <c r="B492" s="57"/>
      <c r="C492" s="57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</row>
    <row r="493" spans="1:26" ht="11.25" customHeight="1" x14ac:dyDescent="0.35">
      <c r="A493" s="57"/>
      <c r="B493" s="57"/>
      <c r="C493" s="57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</row>
    <row r="494" spans="1:26" ht="11.25" customHeight="1" x14ac:dyDescent="0.35">
      <c r="A494" s="57"/>
      <c r="B494" s="57"/>
      <c r="C494" s="57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</row>
    <row r="495" spans="1:26" ht="11.25" customHeight="1" x14ac:dyDescent="0.35">
      <c r="A495" s="57"/>
      <c r="B495" s="57"/>
      <c r="C495" s="57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</row>
    <row r="496" spans="1:26" ht="11.25" customHeight="1" x14ac:dyDescent="0.35">
      <c r="A496" s="57"/>
      <c r="B496" s="57"/>
      <c r="C496" s="57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</row>
    <row r="497" spans="1:26" ht="11.25" customHeight="1" x14ac:dyDescent="0.35">
      <c r="A497" s="57"/>
      <c r="B497" s="57"/>
      <c r="C497" s="57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</row>
    <row r="498" spans="1:26" ht="11.25" customHeight="1" x14ac:dyDescent="0.35">
      <c r="A498" s="57"/>
      <c r="B498" s="57"/>
      <c r="C498" s="57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</row>
    <row r="499" spans="1:26" ht="11.25" customHeight="1" x14ac:dyDescent="0.35">
      <c r="A499" s="57"/>
      <c r="B499" s="57"/>
      <c r="C499" s="57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</row>
    <row r="500" spans="1:26" ht="11.25" customHeight="1" x14ac:dyDescent="0.35">
      <c r="A500" s="57"/>
      <c r="B500" s="57"/>
      <c r="C500" s="57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</row>
    <row r="501" spans="1:26" ht="11.25" customHeight="1" x14ac:dyDescent="0.35">
      <c r="A501" s="57"/>
      <c r="B501" s="57"/>
      <c r="C501" s="57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</row>
    <row r="502" spans="1:26" ht="11.25" customHeight="1" x14ac:dyDescent="0.35">
      <c r="A502" s="57"/>
      <c r="B502" s="57"/>
      <c r="C502" s="57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</row>
    <row r="503" spans="1:26" ht="11.25" customHeight="1" x14ac:dyDescent="0.35">
      <c r="A503" s="57"/>
      <c r="B503" s="57"/>
      <c r="C503" s="57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</row>
    <row r="504" spans="1:26" ht="11.25" customHeight="1" x14ac:dyDescent="0.35">
      <c r="A504" s="57"/>
      <c r="B504" s="57"/>
      <c r="C504" s="57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</row>
    <row r="505" spans="1:26" ht="11.25" customHeight="1" x14ac:dyDescent="0.35">
      <c r="A505" s="57"/>
      <c r="B505" s="57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</row>
    <row r="506" spans="1:26" ht="11.25" customHeight="1" x14ac:dyDescent="0.35">
      <c r="A506" s="57"/>
      <c r="B506" s="57"/>
      <c r="C506" s="57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</row>
    <row r="507" spans="1:26" ht="11.25" customHeight="1" x14ac:dyDescent="0.35">
      <c r="A507" s="57"/>
      <c r="B507" s="57"/>
      <c r="C507" s="57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</row>
    <row r="508" spans="1:26" ht="11.25" customHeight="1" x14ac:dyDescent="0.35">
      <c r="A508" s="57"/>
      <c r="B508" s="57"/>
      <c r="C508" s="57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</row>
    <row r="509" spans="1:26" ht="11.25" customHeight="1" x14ac:dyDescent="0.35">
      <c r="A509" s="57"/>
      <c r="B509" s="57"/>
      <c r="C509" s="57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</row>
    <row r="510" spans="1:26" ht="11.25" customHeight="1" x14ac:dyDescent="0.35">
      <c r="A510" s="57"/>
      <c r="B510" s="57"/>
      <c r="C510" s="57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</row>
    <row r="511" spans="1:26" ht="11.25" customHeight="1" x14ac:dyDescent="0.35">
      <c r="A511" s="57"/>
      <c r="B511" s="57"/>
      <c r="C511" s="57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</row>
    <row r="512" spans="1:26" ht="11.25" customHeight="1" x14ac:dyDescent="0.35">
      <c r="A512" s="57"/>
      <c r="B512" s="57"/>
      <c r="C512" s="57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</row>
    <row r="513" spans="1:26" ht="11.25" customHeight="1" x14ac:dyDescent="0.35">
      <c r="A513" s="57"/>
      <c r="B513" s="57"/>
      <c r="C513" s="57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</row>
    <row r="514" spans="1:26" ht="11.25" customHeight="1" x14ac:dyDescent="0.35">
      <c r="A514" s="57"/>
      <c r="B514" s="57"/>
      <c r="C514" s="57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</row>
    <row r="515" spans="1:26" ht="11.25" customHeight="1" x14ac:dyDescent="0.35">
      <c r="A515" s="57"/>
      <c r="B515" s="57"/>
      <c r="C515" s="57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</row>
    <row r="516" spans="1:26" ht="11.25" customHeight="1" x14ac:dyDescent="0.35">
      <c r="A516" s="57"/>
      <c r="B516" s="57"/>
      <c r="C516" s="57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</row>
    <row r="517" spans="1:26" ht="11.25" customHeight="1" x14ac:dyDescent="0.35">
      <c r="A517" s="57"/>
      <c r="B517" s="57"/>
      <c r="C517" s="57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</row>
    <row r="518" spans="1:26" ht="11.25" customHeight="1" x14ac:dyDescent="0.35">
      <c r="A518" s="57"/>
      <c r="B518" s="57"/>
      <c r="C518" s="57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</row>
    <row r="519" spans="1:26" ht="11.25" customHeight="1" x14ac:dyDescent="0.35">
      <c r="A519" s="57"/>
      <c r="B519" s="57"/>
      <c r="C519" s="57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</row>
    <row r="520" spans="1:26" ht="11.25" customHeight="1" x14ac:dyDescent="0.35">
      <c r="A520" s="57"/>
      <c r="B520" s="57"/>
      <c r="C520" s="57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</row>
    <row r="521" spans="1:26" ht="11.25" customHeight="1" x14ac:dyDescent="0.35">
      <c r="A521" s="57"/>
      <c r="B521" s="57"/>
      <c r="C521" s="57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</row>
    <row r="522" spans="1:26" ht="11.25" customHeight="1" x14ac:dyDescent="0.35">
      <c r="A522" s="57"/>
      <c r="B522" s="57"/>
      <c r="C522" s="57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</row>
    <row r="523" spans="1:26" ht="11.25" customHeight="1" x14ac:dyDescent="0.35">
      <c r="A523" s="57"/>
      <c r="B523" s="57"/>
      <c r="C523" s="57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</row>
    <row r="524" spans="1:26" ht="11.25" customHeight="1" x14ac:dyDescent="0.35">
      <c r="A524" s="57"/>
      <c r="B524" s="57"/>
      <c r="C524" s="57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</row>
    <row r="525" spans="1:26" ht="11.25" customHeight="1" x14ac:dyDescent="0.35">
      <c r="A525" s="57"/>
      <c r="B525" s="57"/>
      <c r="C525" s="57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</row>
    <row r="526" spans="1:26" ht="11.25" customHeight="1" x14ac:dyDescent="0.35">
      <c r="A526" s="57"/>
      <c r="B526" s="57"/>
      <c r="C526" s="57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</row>
    <row r="527" spans="1:26" ht="11.25" customHeight="1" x14ac:dyDescent="0.35">
      <c r="A527" s="57"/>
      <c r="B527" s="57"/>
      <c r="C527" s="57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</row>
    <row r="528" spans="1:26" ht="11.25" customHeight="1" x14ac:dyDescent="0.35">
      <c r="A528" s="57"/>
      <c r="B528" s="57"/>
      <c r="C528" s="57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</row>
    <row r="529" spans="1:26" ht="11.25" customHeight="1" x14ac:dyDescent="0.35">
      <c r="A529" s="57"/>
      <c r="B529" s="57"/>
      <c r="C529" s="57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</row>
    <row r="530" spans="1:26" ht="11.25" customHeight="1" x14ac:dyDescent="0.35">
      <c r="A530" s="57"/>
      <c r="B530" s="57"/>
      <c r="C530" s="57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</row>
    <row r="531" spans="1:26" ht="11.25" customHeight="1" x14ac:dyDescent="0.35">
      <c r="A531" s="57"/>
      <c r="B531" s="57"/>
      <c r="C531" s="57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</row>
    <row r="532" spans="1:26" ht="11.25" customHeight="1" x14ac:dyDescent="0.35">
      <c r="A532" s="57"/>
      <c r="B532" s="57"/>
      <c r="C532" s="57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</row>
    <row r="533" spans="1:26" ht="11.25" customHeight="1" x14ac:dyDescent="0.35">
      <c r="A533" s="57"/>
      <c r="B533" s="57"/>
      <c r="C533" s="57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</row>
    <row r="534" spans="1:26" ht="11.25" customHeight="1" x14ac:dyDescent="0.35">
      <c r="A534" s="57"/>
      <c r="B534" s="57"/>
      <c r="C534" s="57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</row>
    <row r="535" spans="1:26" ht="11.25" customHeight="1" x14ac:dyDescent="0.35">
      <c r="A535" s="57"/>
      <c r="B535" s="57"/>
      <c r="C535" s="57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</row>
    <row r="536" spans="1:26" ht="11.25" customHeight="1" x14ac:dyDescent="0.35">
      <c r="A536" s="57"/>
      <c r="B536" s="57"/>
      <c r="C536" s="57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</row>
    <row r="537" spans="1:26" ht="11.25" customHeight="1" x14ac:dyDescent="0.35">
      <c r="A537" s="57"/>
      <c r="B537" s="57"/>
      <c r="C537" s="57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</row>
    <row r="538" spans="1:26" ht="11.25" customHeight="1" x14ac:dyDescent="0.35">
      <c r="A538" s="57"/>
      <c r="B538" s="57"/>
      <c r="C538" s="57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</row>
    <row r="539" spans="1:26" ht="11.25" customHeight="1" x14ac:dyDescent="0.35">
      <c r="A539" s="57"/>
      <c r="B539" s="57"/>
      <c r="C539" s="57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</row>
    <row r="540" spans="1:26" ht="11.25" customHeight="1" x14ac:dyDescent="0.35">
      <c r="A540" s="57"/>
      <c r="B540" s="57"/>
      <c r="C540" s="57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</row>
    <row r="541" spans="1:26" ht="11.25" customHeight="1" x14ac:dyDescent="0.35">
      <c r="A541" s="57"/>
      <c r="B541" s="57"/>
      <c r="C541" s="57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</row>
    <row r="542" spans="1:26" ht="11.25" customHeight="1" x14ac:dyDescent="0.35">
      <c r="A542" s="57"/>
      <c r="B542" s="57"/>
      <c r="C542" s="57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</row>
    <row r="543" spans="1:26" ht="11.25" customHeight="1" x14ac:dyDescent="0.35">
      <c r="A543" s="57"/>
      <c r="B543" s="57"/>
      <c r="C543" s="57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</row>
    <row r="544" spans="1:26" ht="11.25" customHeight="1" x14ac:dyDescent="0.35">
      <c r="A544" s="57"/>
      <c r="B544" s="57"/>
      <c r="C544" s="57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</row>
    <row r="545" spans="1:26" ht="11.25" customHeight="1" x14ac:dyDescent="0.35">
      <c r="A545" s="57"/>
      <c r="B545" s="57"/>
      <c r="C545" s="57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</row>
    <row r="546" spans="1:26" ht="11.25" customHeight="1" x14ac:dyDescent="0.35">
      <c r="A546" s="57"/>
      <c r="B546" s="57"/>
      <c r="C546" s="57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</row>
    <row r="547" spans="1:26" ht="11.25" customHeight="1" x14ac:dyDescent="0.35">
      <c r="A547" s="57"/>
      <c r="B547" s="57"/>
      <c r="C547" s="57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</row>
    <row r="548" spans="1:26" ht="11.25" customHeight="1" x14ac:dyDescent="0.35">
      <c r="A548" s="57"/>
      <c r="B548" s="57"/>
      <c r="C548" s="57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</row>
    <row r="549" spans="1:26" ht="11.25" customHeight="1" x14ac:dyDescent="0.35">
      <c r="A549" s="57"/>
      <c r="B549" s="57"/>
      <c r="C549" s="57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</row>
    <row r="550" spans="1:26" ht="11.25" customHeight="1" x14ac:dyDescent="0.35">
      <c r="A550" s="57"/>
      <c r="B550" s="57"/>
      <c r="C550" s="57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</row>
    <row r="551" spans="1:26" ht="11.25" customHeight="1" x14ac:dyDescent="0.35">
      <c r="A551" s="57"/>
      <c r="B551" s="57"/>
      <c r="C551" s="57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</row>
    <row r="552" spans="1:26" ht="11.25" customHeight="1" x14ac:dyDescent="0.35">
      <c r="A552" s="57"/>
      <c r="B552" s="57"/>
      <c r="C552" s="57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</row>
    <row r="553" spans="1:26" ht="11.25" customHeight="1" x14ac:dyDescent="0.35">
      <c r="A553" s="57"/>
      <c r="B553" s="57"/>
      <c r="C553" s="57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</row>
    <row r="554" spans="1:26" ht="11.25" customHeight="1" x14ac:dyDescent="0.35">
      <c r="A554" s="57"/>
      <c r="B554" s="57"/>
      <c r="C554" s="57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</row>
    <row r="555" spans="1:26" ht="11.25" customHeight="1" x14ac:dyDescent="0.35">
      <c r="A555" s="57"/>
      <c r="B555" s="57"/>
      <c r="C555" s="57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</row>
    <row r="556" spans="1:26" ht="11.25" customHeight="1" x14ac:dyDescent="0.35">
      <c r="A556" s="57"/>
      <c r="B556" s="57"/>
      <c r="C556" s="57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</row>
    <row r="557" spans="1:26" ht="11.25" customHeight="1" x14ac:dyDescent="0.35">
      <c r="A557" s="57"/>
      <c r="B557" s="57"/>
      <c r="C557" s="57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</row>
    <row r="558" spans="1:26" ht="11.25" customHeight="1" x14ac:dyDescent="0.35">
      <c r="A558" s="57"/>
      <c r="B558" s="57"/>
      <c r="C558" s="57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</row>
    <row r="559" spans="1:26" ht="11.25" customHeight="1" x14ac:dyDescent="0.35">
      <c r="A559" s="57"/>
      <c r="B559" s="57"/>
      <c r="C559" s="57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</row>
    <row r="560" spans="1:26" ht="11.25" customHeight="1" x14ac:dyDescent="0.35">
      <c r="A560" s="57"/>
      <c r="B560" s="57"/>
      <c r="C560" s="57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</row>
    <row r="561" spans="1:26" ht="11.25" customHeight="1" x14ac:dyDescent="0.35">
      <c r="A561" s="57"/>
      <c r="B561" s="57"/>
      <c r="C561" s="57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</row>
    <row r="562" spans="1:26" ht="11.25" customHeight="1" x14ac:dyDescent="0.35">
      <c r="A562" s="57"/>
      <c r="B562" s="57"/>
      <c r="C562" s="57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</row>
    <row r="563" spans="1:26" ht="11.25" customHeight="1" x14ac:dyDescent="0.35">
      <c r="A563" s="57"/>
      <c r="B563" s="57"/>
      <c r="C563" s="57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</row>
    <row r="564" spans="1:26" ht="11.25" customHeight="1" x14ac:dyDescent="0.35">
      <c r="A564" s="57"/>
      <c r="B564" s="57"/>
      <c r="C564" s="57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</row>
    <row r="565" spans="1:26" ht="11.25" customHeight="1" x14ac:dyDescent="0.35">
      <c r="A565" s="57"/>
      <c r="B565" s="57"/>
      <c r="C565" s="57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</row>
    <row r="566" spans="1:26" ht="11.25" customHeight="1" x14ac:dyDescent="0.35">
      <c r="A566" s="57"/>
      <c r="B566" s="57"/>
      <c r="C566" s="57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</row>
    <row r="567" spans="1:26" ht="11.25" customHeight="1" x14ac:dyDescent="0.35">
      <c r="A567" s="57"/>
      <c r="B567" s="57"/>
      <c r="C567" s="57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</row>
    <row r="568" spans="1:26" ht="11.25" customHeight="1" x14ac:dyDescent="0.35">
      <c r="A568" s="57"/>
      <c r="B568" s="57"/>
      <c r="C568" s="57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</row>
    <row r="569" spans="1:26" ht="11.25" customHeight="1" x14ac:dyDescent="0.35">
      <c r="A569" s="57"/>
      <c r="B569" s="57"/>
      <c r="C569" s="57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</row>
    <row r="570" spans="1:26" ht="11.25" customHeight="1" x14ac:dyDescent="0.35">
      <c r="A570" s="57"/>
      <c r="B570" s="57"/>
      <c r="C570" s="57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</row>
    <row r="571" spans="1:26" ht="11.25" customHeight="1" x14ac:dyDescent="0.35">
      <c r="A571" s="57"/>
      <c r="B571" s="57"/>
      <c r="C571" s="57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</row>
    <row r="572" spans="1:26" ht="11.25" customHeight="1" x14ac:dyDescent="0.35">
      <c r="A572" s="57"/>
      <c r="B572" s="57"/>
      <c r="C572" s="57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</row>
    <row r="573" spans="1:26" ht="11.25" customHeight="1" x14ac:dyDescent="0.35">
      <c r="A573" s="57"/>
      <c r="B573" s="57"/>
      <c r="C573" s="57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</row>
    <row r="574" spans="1:26" ht="11.25" customHeight="1" x14ac:dyDescent="0.35">
      <c r="A574" s="57"/>
      <c r="B574" s="57"/>
      <c r="C574" s="57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</row>
    <row r="575" spans="1:26" ht="11.25" customHeight="1" x14ac:dyDescent="0.35">
      <c r="A575" s="57"/>
      <c r="B575" s="57"/>
      <c r="C575" s="57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</row>
    <row r="576" spans="1:26" ht="11.25" customHeight="1" x14ac:dyDescent="0.35">
      <c r="A576" s="57"/>
      <c r="B576" s="57"/>
      <c r="C576" s="57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</row>
    <row r="577" spans="1:26" ht="11.25" customHeight="1" x14ac:dyDescent="0.35">
      <c r="A577" s="57"/>
      <c r="B577" s="57"/>
      <c r="C577" s="57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</row>
    <row r="578" spans="1:26" ht="11.25" customHeight="1" x14ac:dyDescent="0.35">
      <c r="A578" s="57"/>
      <c r="B578" s="57"/>
      <c r="C578" s="57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</row>
    <row r="579" spans="1:26" ht="11.25" customHeight="1" x14ac:dyDescent="0.35">
      <c r="A579" s="57"/>
      <c r="B579" s="57"/>
      <c r="C579" s="57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</row>
    <row r="580" spans="1:26" ht="11.25" customHeight="1" x14ac:dyDescent="0.35">
      <c r="A580" s="57"/>
      <c r="B580" s="57"/>
      <c r="C580" s="57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</row>
    <row r="581" spans="1:26" ht="11.25" customHeight="1" x14ac:dyDescent="0.35">
      <c r="A581" s="57"/>
      <c r="B581" s="57"/>
      <c r="C581" s="57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</row>
    <row r="582" spans="1:26" ht="11.25" customHeight="1" x14ac:dyDescent="0.35">
      <c r="A582" s="57"/>
      <c r="B582" s="57"/>
      <c r="C582" s="57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</row>
    <row r="583" spans="1:26" ht="11.25" customHeight="1" x14ac:dyDescent="0.35">
      <c r="A583" s="57"/>
      <c r="B583" s="57"/>
      <c r="C583" s="57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</row>
    <row r="584" spans="1:26" ht="11.25" customHeight="1" x14ac:dyDescent="0.35">
      <c r="A584" s="57"/>
      <c r="B584" s="57"/>
      <c r="C584" s="57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</row>
    <row r="585" spans="1:26" ht="11.25" customHeight="1" x14ac:dyDescent="0.35">
      <c r="A585" s="57"/>
      <c r="B585" s="57"/>
      <c r="C585" s="57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</row>
    <row r="586" spans="1:26" ht="11.25" customHeight="1" x14ac:dyDescent="0.35">
      <c r="A586" s="57"/>
      <c r="B586" s="57"/>
      <c r="C586" s="57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</row>
    <row r="587" spans="1:26" ht="11.25" customHeight="1" x14ac:dyDescent="0.35">
      <c r="A587" s="57"/>
      <c r="B587" s="57"/>
      <c r="C587" s="57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</row>
    <row r="588" spans="1:26" ht="11.25" customHeight="1" x14ac:dyDescent="0.35">
      <c r="A588" s="57"/>
      <c r="B588" s="57"/>
      <c r="C588" s="57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</row>
    <row r="589" spans="1:26" ht="11.25" customHeight="1" x14ac:dyDescent="0.35">
      <c r="A589" s="57"/>
      <c r="B589" s="57"/>
      <c r="C589" s="57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</row>
    <row r="590" spans="1:26" ht="11.25" customHeight="1" x14ac:dyDescent="0.35">
      <c r="A590" s="57"/>
      <c r="B590" s="57"/>
      <c r="C590" s="57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</row>
    <row r="591" spans="1:26" ht="11.25" customHeight="1" x14ac:dyDescent="0.35">
      <c r="A591" s="57"/>
      <c r="B591" s="57"/>
      <c r="C591" s="57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</row>
    <row r="592" spans="1:26" ht="11.25" customHeight="1" x14ac:dyDescent="0.35">
      <c r="A592" s="57"/>
      <c r="B592" s="57"/>
      <c r="C592" s="57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</row>
    <row r="593" spans="1:26" ht="11.25" customHeight="1" x14ac:dyDescent="0.35">
      <c r="A593" s="57"/>
      <c r="B593" s="57"/>
      <c r="C593" s="57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</row>
    <row r="594" spans="1:26" ht="11.25" customHeight="1" x14ac:dyDescent="0.35">
      <c r="A594" s="57"/>
      <c r="B594" s="57"/>
      <c r="C594" s="57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</row>
    <row r="595" spans="1:26" ht="11.25" customHeight="1" x14ac:dyDescent="0.35">
      <c r="A595" s="57"/>
      <c r="B595" s="57"/>
      <c r="C595" s="57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</row>
    <row r="596" spans="1:26" ht="11.25" customHeight="1" x14ac:dyDescent="0.35">
      <c r="A596" s="57"/>
      <c r="B596" s="57"/>
      <c r="C596" s="57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</row>
    <row r="597" spans="1:26" ht="11.25" customHeight="1" x14ac:dyDescent="0.35">
      <c r="A597" s="57"/>
      <c r="B597" s="57"/>
      <c r="C597" s="57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</row>
    <row r="598" spans="1:26" ht="11.25" customHeight="1" x14ac:dyDescent="0.35">
      <c r="A598" s="57"/>
      <c r="B598" s="57"/>
      <c r="C598" s="57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</row>
    <row r="599" spans="1:26" ht="11.25" customHeight="1" x14ac:dyDescent="0.35">
      <c r="A599" s="57"/>
      <c r="B599" s="57"/>
      <c r="C599" s="57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</row>
    <row r="600" spans="1:26" ht="11.25" customHeight="1" x14ac:dyDescent="0.35">
      <c r="A600" s="57"/>
      <c r="B600" s="57"/>
      <c r="C600" s="57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</row>
    <row r="601" spans="1:26" ht="11.25" customHeight="1" x14ac:dyDescent="0.35">
      <c r="A601" s="57"/>
      <c r="B601" s="57"/>
      <c r="C601" s="57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</row>
    <row r="602" spans="1:26" ht="11.25" customHeight="1" x14ac:dyDescent="0.35">
      <c r="A602" s="57"/>
      <c r="B602" s="57"/>
      <c r="C602" s="57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</row>
    <row r="603" spans="1:26" ht="11.25" customHeight="1" x14ac:dyDescent="0.35">
      <c r="A603" s="57"/>
      <c r="B603" s="57"/>
      <c r="C603" s="57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</row>
    <row r="604" spans="1:26" ht="11.25" customHeight="1" x14ac:dyDescent="0.35">
      <c r="A604" s="57"/>
      <c r="B604" s="57"/>
      <c r="C604" s="57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</row>
    <row r="605" spans="1:26" ht="11.25" customHeight="1" x14ac:dyDescent="0.35">
      <c r="A605" s="57"/>
      <c r="B605" s="57"/>
      <c r="C605" s="57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</row>
    <row r="606" spans="1:26" ht="11.25" customHeight="1" x14ac:dyDescent="0.35">
      <c r="A606" s="57"/>
      <c r="B606" s="57"/>
      <c r="C606" s="57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</row>
    <row r="607" spans="1:26" ht="11.25" customHeight="1" x14ac:dyDescent="0.35">
      <c r="A607" s="57"/>
      <c r="B607" s="57"/>
      <c r="C607" s="57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</row>
    <row r="608" spans="1:26" ht="11.25" customHeight="1" x14ac:dyDescent="0.35">
      <c r="A608" s="57"/>
      <c r="B608" s="57"/>
      <c r="C608" s="57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</row>
    <row r="609" spans="1:26" ht="11.25" customHeight="1" x14ac:dyDescent="0.35">
      <c r="A609" s="57"/>
      <c r="B609" s="57"/>
      <c r="C609" s="57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</row>
    <row r="610" spans="1:26" ht="11.25" customHeight="1" x14ac:dyDescent="0.35">
      <c r="A610" s="57"/>
      <c r="B610" s="57"/>
      <c r="C610" s="57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</row>
    <row r="611" spans="1:26" ht="11.25" customHeight="1" x14ac:dyDescent="0.35">
      <c r="A611" s="57"/>
      <c r="B611" s="57"/>
      <c r="C611" s="57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</row>
    <row r="612" spans="1:26" ht="11.25" customHeight="1" x14ac:dyDescent="0.35">
      <c r="A612" s="57"/>
      <c r="B612" s="57"/>
      <c r="C612" s="57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</row>
    <row r="613" spans="1:26" ht="11.25" customHeight="1" x14ac:dyDescent="0.35">
      <c r="A613" s="57"/>
      <c r="B613" s="57"/>
      <c r="C613" s="57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</row>
    <row r="614" spans="1:26" ht="11.25" customHeight="1" x14ac:dyDescent="0.35">
      <c r="A614" s="57"/>
      <c r="B614" s="57"/>
      <c r="C614" s="57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</row>
    <row r="615" spans="1:26" ht="11.25" customHeight="1" x14ac:dyDescent="0.35">
      <c r="A615" s="57"/>
      <c r="B615" s="57"/>
      <c r="C615" s="57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</row>
    <row r="616" spans="1:26" ht="11.25" customHeight="1" x14ac:dyDescent="0.35">
      <c r="A616" s="57"/>
      <c r="B616" s="57"/>
      <c r="C616" s="57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</row>
    <row r="617" spans="1:26" ht="11.25" customHeight="1" x14ac:dyDescent="0.35">
      <c r="A617" s="57"/>
      <c r="B617" s="57"/>
      <c r="C617" s="57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</row>
    <row r="618" spans="1:26" ht="11.25" customHeight="1" x14ac:dyDescent="0.35">
      <c r="A618" s="57"/>
      <c r="B618" s="57"/>
      <c r="C618" s="57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</row>
    <row r="619" spans="1:26" ht="11.25" customHeight="1" x14ac:dyDescent="0.35">
      <c r="A619" s="57"/>
      <c r="B619" s="57"/>
      <c r="C619" s="57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</row>
    <row r="620" spans="1:26" ht="11.25" customHeight="1" x14ac:dyDescent="0.35">
      <c r="A620" s="57"/>
      <c r="B620" s="57"/>
      <c r="C620" s="57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</row>
    <row r="621" spans="1:26" ht="11.25" customHeight="1" x14ac:dyDescent="0.35">
      <c r="A621" s="57"/>
      <c r="B621" s="57"/>
      <c r="C621" s="57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</row>
    <row r="622" spans="1:26" ht="11.25" customHeight="1" x14ac:dyDescent="0.35">
      <c r="A622" s="57"/>
      <c r="B622" s="57"/>
      <c r="C622" s="57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</row>
    <row r="623" spans="1:26" ht="11.25" customHeight="1" x14ac:dyDescent="0.35">
      <c r="A623" s="57"/>
      <c r="B623" s="57"/>
      <c r="C623" s="57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</row>
    <row r="624" spans="1:26" ht="11.25" customHeight="1" x14ac:dyDescent="0.35">
      <c r="A624" s="57"/>
      <c r="B624" s="57"/>
      <c r="C624" s="57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</row>
    <row r="625" spans="1:26" ht="11.25" customHeight="1" x14ac:dyDescent="0.35">
      <c r="A625" s="57"/>
      <c r="B625" s="57"/>
      <c r="C625" s="57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</row>
    <row r="626" spans="1:26" ht="11.25" customHeight="1" x14ac:dyDescent="0.35">
      <c r="A626" s="57"/>
      <c r="B626" s="57"/>
      <c r="C626" s="57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</row>
    <row r="627" spans="1:26" ht="11.25" customHeight="1" x14ac:dyDescent="0.35">
      <c r="A627" s="57"/>
      <c r="B627" s="57"/>
      <c r="C627" s="57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</row>
    <row r="628" spans="1:26" ht="11.25" customHeight="1" x14ac:dyDescent="0.35">
      <c r="A628" s="57"/>
      <c r="B628" s="57"/>
      <c r="C628" s="57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</row>
    <row r="629" spans="1:26" ht="11.25" customHeight="1" x14ac:dyDescent="0.35">
      <c r="A629" s="57"/>
      <c r="B629" s="57"/>
      <c r="C629" s="57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</row>
    <row r="630" spans="1:26" ht="11.25" customHeight="1" x14ac:dyDescent="0.35">
      <c r="A630" s="57"/>
      <c r="B630" s="57"/>
      <c r="C630" s="57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</row>
    <row r="631" spans="1:26" ht="11.25" customHeight="1" x14ac:dyDescent="0.35">
      <c r="A631" s="57"/>
      <c r="B631" s="57"/>
      <c r="C631" s="57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</row>
    <row r="632" spans="1:26" ht="11.25" customHeight="1" x14ac:dyDescent="0.35">
      <c r="A632" s="57"/>
      <c r="B632" s="57"/>
      <c r="C632" s="57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</row>
    <row r="633" spans="1:26" ht="11.25" customHeight="1" x14ac:dyDescent="0.35">
      <c r="A633" s="57"/>
      <c r="B633" s="57"/>
      <c r="C633" s="57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</row>
    <row r="634" spans="1:26" ht="11.25" customHeight="1" x14ac:dyDescent="0.35">
      <c r="A634" s="57"/>
      <c r="B634" s="57"/>
      <c r="C634" s="57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</row>
    <row r="635" spans="1:26" ht="11.25" customHeight="1" x14ac:dyDescent="0.35">
      <c r="A635" s="57"/>
      <c r="B635" s="57"/>
      <c r="C635" s="57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</row>
    <row r="636" spans="1:26" ht="11.25" customHeight="1" x14ac:dyDescent="0.35">
      <c r="A636" s="57"/>
      <c r="B636" s="57"/>
      <c r="C636" s="57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</row>
    <row r="637" spans="1:26" ht="11.25" customHeight="1" x14ac:dyDescent="0.35">
      <c r="A637" s="57"/>
      <c r="B637" s="57"/>
      <c r="C637" s="57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</row>
    <row r="638" spans="1:26" ht="11.25" customHeight="1" x14ac:dyDescent="0.35">
      <c r="A638" s="57"/>
      <c r="B638" s="57"/>
      <c r="C638" s="57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</row>
    <row r="639" spans="1:26" ht="11.25" customHeight="1" x14ac:dyDescent="0.35">
      <c r="A639" s="57"/>
      <c r="B639" s="57"/>
      <c r="C639" s="57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</row>
    <row r="640" spans="1:26" ht="11.25" customHeight="1" x14ac:dyDescent="0.35">
      <c r="A640" s="57"/>
      <c r="B640" s="57"/>
      <c r="C640" s="57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</row>
    <row r="641" spans="1:26" ht="11.25" customHeight="1" x14ac:dyDescent="0.35">
      <c r="A641" s="57"/>
      <c r="B641" s="57"/>
      <c r="C641" s="57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</row>
    <row r="642" spans="1:26" ht="11.25" customHeight="1" x14ac:dyDescent="0.35">
      <c r="A642" s="57"/>
      <c r="B642" s="57"/>
      <c r="C642" s="57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</row>
    <row r="643" spans="1:26" ht="11.25" customHeight="1" x14ac:dyDescent="0.35">
      <c r="A643" s="57"/>
      <c r="B643" s="57"/>
      <c r="C643" s="57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</row>
    <row r="644" spans="1:26" ht="11.25" customHeight="1" x14ac:dyDescent="0.35">
      <c r="A644" s="57"/>
      <c r="B644" s="57"/>
      <c r="C644" s="57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</row>
    <row r="645" spans="1:26" ht="11.25" customHeight="1" x14ac:dyDescent="0.35">
      <c r="A645" s="57"/>
      <c r="B645" s="57"/>
      <c r="C645" s="57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</row>
    <row r="646" spans="1:26" ht="11.25" customHeight="1" x14ac:dyDescent="0.35">
      <c r="A646" s="57"/>
      <c r="B646" s="57"/>
      <c r="C646" s="57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</row>
    <row r="647" spans="1:26" ht="11.25" customHeight="1" x14ac:dyDescent="0.35">
      <c r="A647" s="57"/>
      <c r="B647" s="57"/>
      <c r="C647" s="57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</row>
    <row r="648" spans="1:26" ht="11.25" customHeight="1" x14ac:dyDescent="0.35">
      <c r="A648" s="57"/>
      <c r="B648" s="57"/>
      <c r="C648" s="57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</row>
    <row r="649" spans="1:26" ht="11.25" customHeight="1" x14ac:dyDescent="0.35">
      <c r="A649" s="57"/>
      <c r="B649" s="57"/>
      <c r="C649" s="57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</row>
    <row r="650" spans="1:26" ht="11.25" customHeight="1" x14ac:dyDescent="0.35">
      <c r="A650" s="57"/>
      <c r="B650" s="57"/>
      <c r="C650" s="57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</row>
    <row r="651" spans="1:26" ht="11.25" customHeight="1" x14ac:dyDescent="0.35">
      <c r="A651" s="57"/>
      <c r="B651" s="57"/>
      <c r="C651" s="57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</row>
    <row r="652" spans="1:26" ht="11.25" customHeight="1" x14ac:dyDescent="0.35">
      <c r="A652" s="57"/>
      <c r="B652" s="57"/>
      <c r="C652" s="57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</row>
    <row r="653" spans="1:26" ht="11.25" customHeight="1" x14ac:dyDescent="0.35">
      <c r="A653" s="57"/>
      <c r="B653" s="57"/>
      <c r="C653" s="57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</row>
    <row r="654" spans="1:26" ht="11.25" customHeight="1" x14ac:dyDescent="0.35">
      <c r="A654" s="57"/>
      <c r="B654" s="57"/>
      <c r="C654" s="57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</row>
    <row r="655" spans="1:26" ht="11.25" customHeight="1" x14ac:dyDescent="0.35">
      <c r="A655" s="57"/>
      <c r="B655" s="57"/>
      <c r="C655" s="57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</row>
    <row r="656" spans="1:26" ht="11.25" customHeight="1" x14ac:dyDescent="0.35">
      <c r="A656" s="57"/>
      <c r="B656" s="57"/>
      <c r="C656" s="57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</row>
    <row r="657" spans="1:26" ht="11.25" customHeight="1" x14ac:dyDescent="0.35">
      <c r="A657" s="57"/>
      <c r="B657" s="57"/>
      <c r="C657" s="57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</row>
    <row r="658" spans="1:26" ht="11.25" customHeight="1" x14ac:dyDescent="0.35">
      <c r="A658" s="57"/>
      <c r="B658" s="57"/>
      <c r="C658" s="57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</row>
    <row r="659" spans="1:26" ht="11.25" customHeight="1" x14ac:dyDescent="0.35">
      <c r="A659" s="57"/>
      <c r="B659" s="57"/>
      <c r="C659" s="57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</row>
    <row r="660" spans="1:26" ht="11.25" customHeight="1" x14ac:dyDescent="0.35">
      <c r="A660" s="57"/>
      <c r="B660" s="57"/>
      <c r="C660" s="57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</row>
    <row r="661" spans="1:26" ht="11.25" customHeight="1" x14ac:dyDescent="0.35">
      <c r="A661" s="57"/>
      <c r="B661" s="57"/>
      <c r="C661" s="57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</row>
    <row r="662" spans="1:26" ht="11.25" customHeight="1" x14ac:dyDescent="0.35">
      <c r="A662" s="57"/>
      <c r="B662" s="57"/>
      <c r="C662" s="57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</row>
    <row r="663" spans="1:26" ht="11.25" customHeight="1" x14ac:dyDescent="0.35">
      <c r="A663" s="57"/>
      <c r="B663" s="57"/>
      <c r="C663" s="57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</row>
    <row r="664" spans="1:26" ht="11.25" customHeight="1" x14ac:dyDescent="0.35">
      <c r="A664" s="57"/>
      <c r="B664" s="57"/>
      <c r="C664" s="57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</row>
    <row r="665" spans="1:26" ht="11.25" customHeight="1" x14ac:dyDescent="0.35">
      <c r="A665" s="57"/>
      <c r="B665" s="57"/>
      <c r="C665" s="57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</row>
    <row r="666" spans="1:26" ht="11.25" customHeight="1" x14ac:dyDescent="0.35">
      <c r="A666" s="57"/>
      <c r="B666" s="57"/>
      <c r="C666" s="57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</row>
    <row r="667" spans="1:26" ht="11.25" customHeight="1" x14ac:dyDescent="0.35">
      <c r="A667" s="57"/>
      <c r="B667" s="57"/>
      <c r="C667" s="57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</row>
    <row r="668" spans="1:26" ht="11.25" customHeight="1" x14ac:dyDescent="0.35">
      <c r="A668" s="57"/>
      <c r="B668" s="57"/>
      <c r="C668" s="57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</row>
    <row r="669" spans="1:26" ht="11.25" customHeight="1" x14ac:dyDescent="0.35">
      <c r="A669" s="57"/>
      <c r="B669" s="57"/>
      <c r="C669" s="57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</row>
    <row r="670" spans="1:26" ht="11.25" customHeight="1" x14ac:dyDescent="0.35">
      <c r="A670" s="57"/>
      <c r="B670" s="57"/>
      <c r="C670" s="57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</row>
    <row r="671" spans="1:26" ht="11.25" customHeight="1" x14ac:dyDescent="0.35">
      <c r="A671" s="57"/>
      <c r="B671" s="57"/>
      <c r="C671" s="57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</row>
    <row r="672" spans="1:26" ht="11.25" customHeight="1" x14ac:dyDescent="0.35">
      <c r="A672" s="57"/>
      <c r="B672" s="57"/>
      <c r="C672" s="57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</row>
    <row r="673" spans="1:26" ht="11.25" customHeight="1" x14ac:dyDescent="0.35">
      <c r="A673" s="57"/>
      <c r="B673" s="57"/>
      <c r="C673" s="57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</row>
    <row r="674" spans="1:26" ht="11.25" customHeight="1" x14ac:dyDescent="0.35">
      <c r="A674" s="57"/>
      <c r="B674" s="57"/>
      <c r="C674" s="57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</row>
    <row r="675" spans="1:26" ht="11.25" customHeight="1" x14ac:dyDescent="0.35">
      <c r="A675" s="57"/>
      <c r="B675" s="57"/>
      <c r="C675" s="57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</row>
    <row r="676" spans="1:26" ht="11.25" customHeight="1" x14ac:dyDescent="0.35">
      <c r="A676" s="57"/>
      <c r="B676" s="57"/>
      <c r="C676" s="57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</row>
    <row r="677" spans="1:26" ht="11.25" customHeight="1" x14ac:dyDescent="0.35">
      <c r="A677" s="57"/>
      <c r="B677" s="57"/>
      <c r="C677" s="57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</row>
    <row r="678" spans="1:26" ht="11.25" customHeight="1" x14ac:dyDescent="0.35">
      <c r="A678" s="57"/>
      <c r="B678" s="57"/>
      <c r="C678" s="57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</row>
    <row r="679" spans="1:26" ht="11.25" customHeight="1" x14ac:dyDescent="0.35">
      <c r="A679" s="57"/>
      <c r="B679" s="57"/>
      <c r="C679" s="57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</row>
    <row r="680" spans="1:26" ht="11.25" customHeight="1" x14ac:dyDescent="0.35">
      <c r="A680" s="57"/>
      <c r="B680" s="57"/>
      <c r="C680" s="57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</row>
    <row r="681" spans="1:26" ht="11.25" customHeight="1" x14ac:dyDescent="0.35">
      <c r="A681" s="57"/>
      <c r="B681" s="57"/>
      <c r="C681" s="57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</row>
    <row r="682" spans="1:26" ht="11.25" customHeight="1" x14ac:dyDescent="0.35">
      <c r="A682" s="57"/>
      <c r="B682" s="57"/>
      <c r="C682" s="57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</row>
    <row r="683" spans="1:26" ht="11.25" customHeight="1" x14ac:dyDescent="0.35">
      <c r="A683" s="57"/>
      <c r="B683" s="57"/>
      <c r="C683" s="57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</row>
    <row r="684" spans="1:26" ht="11.25" customHeight="1" x14ac:dyDescent="0.35">
      <c r="A684" s="57"/>
      <c r="B684" s="57"/>
      <c r="C684" s="57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</row>
    <row r="685" spans="1:26" ht="11.25" customHeight="1" x14ac:dyDescent="0.35">
      <c r="A685" s="57"/>
      <c r="B685" s="57"/>
      <c r="C685" s="57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</row>
    <row r="686" spans="1:26" ht="11.25" customHeight="1" x14ac:dyDescent="0.35">
      <c r="A686" s="57"/>
      <c r="B686" s="57"/>
      <c r="C686" s="57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</row>
    <row r="687" spans="1:26" ht="11.25" customHeight="1" x14ac:dyDescent="0.35">
      <c r="A687" s="57"/>
      <c r="B687" s="57"/>
      <c r="C687" s="57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</row>
    <row r="688" spans="1:26" ht="11.25" customHeight="1" x14ac:dyDescent="0.35">
      <c r="A688" s="57"/>
      <c r="B688" s="57"/>
      <c r="C688" s="57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</row>
    <row r="689" spans="1:26" ht="11.25" customHeight="1" x14ac:dyDescent="0.35">
      <c r="A689" s="57"/>
      <c r="B689" s="57"/>
      <c r="C689" s="57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</row>
    <row r="690" spans="1:26" ht="11.25" customHeight="1" x14ac:dyDescent="0.35">
      <c r="A690" s="57"/>
      <c r="B690" s="57"/>
      <c r="C690" s="57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</row>
    <row r="691" spans="1:26" ht="11.25" customHeight="1" x14ac:dyDescent="0.35">
      <c r="A691" s="57"/>
      <c r="B691" s="57"/>
      <c r="C691" s="57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</row>
    <row r="692" spans="1:26" ht="11.25" customHeight="1" x14ac:dyDescent="0.35">
      <c r="A692" s="57"/>
      <c r="B692" s="57"/>
      <c r="C692" s="57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</row>
    <row r="693" spans="1:26" ht="11.25" customHeight="1" x14ac:dyDescent="0.35">
      <c r="A693" s="57"/>
      <c r="B693" s="57"/>
      <c r="C693" s="57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</row>
    <row r="694" spans="1:26" ht="11.25" customHeight="1" x14ac:dyDescent="0.35">
      <c r="A694" s="57"/>
      <c r="B694" s="57"/>
      <c r="C694" s="57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</row>
    <row r="695" spans="1:26" ht="11.25" customHeight="1" x14ac:dyDescent="0.35">
      <c r="A695" s="57"/>
      <c r="B695" s="57"/>
      <c r="C695" s="57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</row>
    <row r="696" spans="1:26" ht="11.25" customHeight="1" x14ac:dyDescent="0.35">
      <c r="A696" s="57"/>
      <c r="B696" s="57"/>
      <c r="C696" s="57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</row>
    <row r="697" spans="1:26" ht="11.25" customHeight="1" x14ac:dyDescent="0.35">
      <c r="A697" s="57"/>
      <c r="B697" s="57"/>
      <c r="C697" s="57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</row>
    <row r="698" spans="1:26" ht="11.25" customHeight="1" x14ac:dyDescent="0.35">
      <c r="A698" s="57"/>
      <c r="B698" s="57"/>
      <c r="C698" s="57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</row>
    <row r="699" spans="1:26" ht="11.25" customHeight="1" x14ac:dyDescent="0.35">
      <c r="A699" s="57"/>
      <c r="B699" s="57"/>
      <c r="C699" s="57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</row>
    <row r="700" spans="1:26" ht="11.25" customHeight="1" x14ac:dyDescent="0.35">
      <c r="A700" s="57"/>
      <c r="B700" s="57"/>
      <c r="C700" s="57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</row>
    <row r="701" spans="1:26" ht="11.25" customHeight="1" x14ac:dyDescent="0.35">
      <c r="A701" s="57"/>
      <c r="B701" s="57"/>
      <c r="C701" s="57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</row>
    <row r="702" spans="1:26" ht="11.25" customHeight="1" x14ac:dyDescent="0.35">
      <c r="A702" s="57"/>
      <c r="B702" s="57"/>
      <c r="C702" s="57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</row>
    <row r="703" spans="1:26" ht="11.25" customHeight="1" x14ac:dyDescent="0.35">
      <c r="A703" s="57"/>
      <c r="B703" s="57"/>
      <c r="C703" s="57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</row>
    <row r="704" spans="1:26" ht="11.25" customHeight="1" x14ac:dyDescent="0.35">
      <c r="A704" s="57"/>
      <c r="B704" s="57"/>
      <c r="C704" s="57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</row>
    <row r="705" spans="1:26" ht="11.25" customHeight="1" x14ac:dyDescent="0.35">
      <c r="A705" s="57"/>
      <c r="B705" s="57"/>
      <c r="C705" s="57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</row>
    <row r="706" spans="1:26" ht="11.25" customHeight="1" x14ac:dyDescent="0.35">
      <c r="A706" s="57"/>
      <c r="B706" s="57"/>
      <c r="C706" s="57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</row>
    <row r="707" spans="1:26" ht="11.25" customHeight="1" x14ac:dyDescent="0.35">
      <c r="A707" s="57"/>
      <c r="B707" s="57"/>
      <c r="C707" s="57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</row>
    <row r="708" spans="1:26" ht="11.25" customHeight="1" x14ac:dyDescent="0.35">
      <c r="A708" s="57"/>
      <c r="B708" s="57"/>
      <c r="C708" s="57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</row>
    <row r="709" spans="1:26" ht="11.25" customHeight="1" x14ac:dyDescent="0.35">
      <c r="A709" s="57"/>
      <c r="B709" s="57"/>
      <c r="C709" s="57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</row>
    <row r="710" spans="1:26" ht="11.25" customHeight="1" x14ac:dyDescent="0.35">
      <c r="A710" s="57"/>
      <c r="B710" s="57"/>
      <c r="C710" s="57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</row>
    <row r="711" spans="1:26" ht="11.25" customHeight="1" x14ac:dyDescent="0.35">
      <c r="A711" s="57"/>
      <c r="B711" s="57"/>
      <c r="C711" s="57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</row>
    <row r="712" spans="1:26" ht="11.25" customHeight="1" x14ac:dyDescent="0.35">
      <c r="A712" s="57"/>
      <c r="B712" s="57"/>
      <c r="C712" s="57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</row>
    <row r="713" spans="1:26" ht="11.25" customHeight="1" x14ac:dyDescent="0.35">
      <c r="A713" s="57"/>
      <c r="B713" s="57"/>
      <c r="C713" s="57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</row>
    <row r="714" spans="1:26" ht="11.25" customHeight="1" x14ac:dyDescent="0.35">
      <c r="A714" s="57"/>
      <c r="B714" s="57"/>
      <c r="C714" s="57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</row>
    <row r="715" spans="1:26" ht="11.25" customHeight="1" x14ac:dyDescent="0.35">
      <c r="A715" s="57"/>
      <c r="B715" s="57"/>
      <c r="C715" s="57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</row>
    <row r="716" spans="1:26" ht="11.25" customHeight="1" x14ac:dyDescent="0.35">
      <c r="A716" s="57"/>
      <c r="B716" s="57"/>
      <c r="C716" s="57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</row>
    <row r="717" spans="1:26" ht="11.25" customHeight="1" x14ac:dyDescent="0.35">
      <c r="A717" s="57"/>
      <c r="B717" s="57"/>
      <c r="C717" s="57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</row>
    <row r="718" spans="1:26" ht="11.25" customHeight="1" x14ac:dyDescent="0.35">
      <c r="A718" s="57"/>
      <c r="B718" s="57"/>
      <c r="C718" s="57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</row>
    <row r="719" spans="1:26" ht="11.25" customHeight="1" x14ac:dyDescent="0.35">
      <c r="A719" s="57"/>
      <c r="B719" s="57"/>
      <c r="C719" s="57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</row>
    <row r="720" spans="1:26" ht="11.25" customHeight="1" x14ac:dyDescent="0.35">
      <c r="A720" s="57"/>
      <c r="B720" s="57"/>
      <c r="C720" s="57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</row>
    <row r="721" spans="1:26" ht="11.25" customHeight="1" x14ac:dyDescent="0.35">
      <c r="A721" s="57"/>
      <c r="B721" s="57"/>
      <c r="C721" s="57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</row>
    <row r="722" spans="1:26" ht="11.25" customHeight="1" x14ac:dyDescent="0.35">
      <c r="A722" s="57"/>
      <c r="B722" s="57"/>
      <c r="C722" s="57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</row>
    <row r="723" spans="1:26" ht="11.25" customHeight="1" x14ac:dyDescent="0.35">
      <c r="A723" s="57"/>
      <c r="B723" s="57"/>
      <c r="C723" s="57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</row>
    <row r="724" spans="1:26" ht="11.25" customHeight="1" x14ac:dyDescent="0.35">
      <c r="A724" s="57"/>
      <c r="B724" s="57"/>
      <c r="C724" s="57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</row>
    <row r="725" spans="1:26" ht="11.25" customHeight="1" x14ac:dyDescent="0.35">
      <c r="A725" s="57"/>
      <c r="B725" s="57"/>
      <c r="C725" s="57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</row>
    <row r="726" spans="1:26" ht="11.25" customHeight="1" x14ac:dyDescent="0.35">
      <c r="A726" s="57"/>
      <c r="B726" s="57"/>
      <c r="C726" s="57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</row>
    <row r="727" spans="1:26" ht="11.25" customHeight="1" x14ac:dyDescent="0.35">
      <c r="A727" s="57"/>
      <c r="B727" s="57"/>
      <c r="C727" s="57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</row>
    <row r="728" spans="1:26" ht="11.25" customHeight="1" x14ac:dyDescent="0.35">
      <c r="A728" s="57"/>
      <c r="B728" s="57"/>
      <c r="C728" s="57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</row>
    <row r="729" spans="1:26" ht="11.25" customHeight="1" x14ac:dyDescent="0.35">
      <c r="A729" s="57"/>
      <c r="B729" s="57"/>
      <c r="C729" s="57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</row>
    <row r="730" spans="1:26" ht="11.25" customHeight="1" x14ac:dyDescent="0.35">
      <c r="A730" s="57"/>
      <c r="B730" s="57"/>
      <c r="C730" s="57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</row>
    <row r="731" spans="1:26" ht="11.25" customHeight="1" x14ac:dyDescent="0.35">
      <c r="A731" s="57"/>
      <c r="B731" s="57"/>
      <c r="C731" s="57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</row>
    <row r="732" spans="1:26" ht="11.25" customHeight="1" x14ac:dyDescent="0.35">
      <c r="A732" s="57"/>
      <c r="B732" s="57"/>
      <c r="C732" s="57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</row>
    <row r="733" spans="1:26" ht="11.25" customHeight="1" x14ac:dyDescent="0.35">
      <c r="A733" s="57"/>
      <c r="B733" s="57"/>
      <c r="C733" s="57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</row>
    <row r="734" spans="1:26" ht="11.25" customHeight="1" x14ac:dyDescent="0.35">
      <c r="A734" s="57"/>
      <c r="B734" s="57"/>
      <c r="C734" s="57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</row>
    <row r="735" spans="1:26" ht="11.25" customHeight="1" x14ac:dyDescent="0.35">
      <c r="A735" s="57"/>
      <c r="B735" s="57"/>
      <c r="C735" s="57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</row>
    <row r="736" spans="1:26" ht="11.25" customHeight="1" x14ac:dyDescent="0.35">
      <c r="A736" s="57"/>
      <c r="B736" s="57"/>
      <c r="C736" s="57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</row>
    <row r="737" spans="1:26" ht="11.25" customHeight="1" x14ac:dyDescent="0.35">
      <c r="A737" s="57"/>
      <c r="B737" s="57"/>
      <c r="C737" s="57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</row>
    <row r="738" spans="1:26" ht="11.25" customHeight="1" x14ac:dyDescent="0.35">
      <c r="A738" s="57"/>
      <c r="B738" s="57"/>
      <c r="C738" s="57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</row>
    <row r="739" spans="1:26" ht="11.25" customHeight="1" x14ac:dyDescent="0.35">
      <c r="A739" s="57"/>
      <c r="B739" s="57"/>
      <c r="C739" s="57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</row>
    <row r="740" spans="1:26" ht="11.25" customHeight="1" x14ac:dyDescent="0.35">
      <c r="A740" s="57"/>
      <c r="B740" s="57"/>
      <c r="C740" s="57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</row>
    <row r="741" spans="1:26" ht="11.25" customHeight="1" x14ac:dyDescent="0.35">
      <c r="A741" s="57"/>
      <c r="B741" s="57"/>
      <c r="C741" s="57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</row>
    <row r="742" spans="1:26" ht="11.25" customHeight="1" x14ac:dyDescent="0.35">
      <c r="A742" s="57"/>
      <c r="B742" s="57"/>
      <c r="C742" s="57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</row>
    <row r="743" spans="1:26" ht="11.25" customHeight="1" x14ac:dyDescent="0.35">
      <c r="A743" s="57"/>
      <c r="B743" s="57"/>
      <c r="C743" s="57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</row>
    <row r="744" spans="1:26" ht="11.25" customHeight="1" x14ac:dyDescent="0.35">
      <c r="A744" s="57"/>
      <c r="B744" s="57"/>
      <c r="C744" s="57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</row>
    <row r="745" spans="1:26" ht="11.25" customHeight="1" x14ac:dyDescent="0.35">
      <c r="A745" s="57"/>
      <c r="B745" s="57"/>
      <c r="C745" s="57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</row>
    <row r="746" spans="1:26" ht="11.25" customHeight="1" x14ac:dyDescent="0.35">
      <c r="A746" s="57"/>
      <c r="B746" s="57"/>
      <c r="C746" s="57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</row>
    <row r="747" spans="1:26" ht="11.25" customHeight="1" x14ac:dyDescent="0.35">
      <c r="A747" s="57"/>
      <c r="B747" s="57"/>
      <c r="C747" s="57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</row>
    <row r="748" spans="1:26" ht="11.25" customHeight="1" x14ac:dyDescent="0.35">
      <c r="A748" s="57"/>
      <c r="B748" s="57"/>
      <c r="C748" s="57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</row>
    <row r="749" spans="1:26" ht="11.25" customHeight="1" x14ac:dyDescent="0.35">
      <c r="A749" s="57"/>
      <c r="B749" s="57"/>
      <c r="C749" s="57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</row>
    <row r="750" spans="1:26" ht="11.25" customHeight="1" x14ac:dyDescent="0.35">
      <c r="A750" s="57"/>
      <c r="B750" s="57"/>
      <c r="C750" s="57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</row>
    <row r="751" spans="1:26" ht="11.25" customHeight="1" x14ac:dyDescent="0.35">
      <c r="A751" s="57"/>
      <c r="B751" s="57"/>
      <c r="C751" s="57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</row>
    <row r="752" spans="1:26" ht="11.25" customHeight="1" x14ac:dyDescent="0.35">
      <c r="A752" s="57"/>
      <c r="B752" s="57"/>
      <c r="C752" s="57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</row>
    <row r="753" spans="1:26" ht="11.25" customHeight="1" x14ac:dyDescent="0.35">
      <c r="A753" s="57"/>
      <c r="B753" s="57"/>
      <c r="C753" s="57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</row>
    <row r="754" spans="1:26" ht="11.25" customHeight="1" x14ac:dyDescent="0.35">
      <c r="A754" s="57"/>
      <c r="B754" s="57"/>
      <c r="C754" s="57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</row>
    <row r="755" spans="1:26" ht="11.25" customHeight="1" x14ac:dyDescent="0.35">
      <c r="A755" s="57"/>
      <c r="B755" s="57"/>
      <c r="C755" s="57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</row>
    <row r="756" spans="1:26" ht="11.25" customHeight="1" x14ac:dyDescent="0.35">
      <c r="A756" s="57"/>
      <c r="B756" s="57"/>
      <c r="C756" s="57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</row>
    <row r="757" spans="1:26" ht="11.25" customHeight="1" x14ac:dyDescent="0.35">
      <c r="A757" s="57"/>
      <c r="B757" s="57"/>
      <c r="C757" s="57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</row>
    <row r="758" spans="1:26" ht="11.25" customHeight="1" x14ac:dyDescent="0.35">
      <c r="A758" s="57"/>
      <c r="B758" s="57"/>
      <c r="C758" s="57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</row>
    <row r="759" spans="1:26" ht="11.25" customHeight="1" x14ac:dyDescent="0.35">
      <c r="A759" s="57"/>
      <c r="B759" s="57"/>
      <c r="C759" s="57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</row>
    <row r="760" spans="1:26" ht="11.25" customHeight="1" x14ac:dyDescent="0.35">
      <c r="A760" s="57"/>
      <c r="B760" s="57"/>
      <c r="C760" s="57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</row>
    <row r="761" spans="1:26" ht="11.25" customHeight="1" x14ac:dyDescent="0.35">
      <c r="A761" s="57"/>
      <c r="B761" s="57"/>
      <c r="C761" s="57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</row>
    <row r="762" spans="1:26" ht="11.25" customHeight="1" x14ac:dyDescent="0.35">
      <c r="A762" s="57"/>
      <c r="B762" s="57"/>
      <c r="C762" s="57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</row>
    <row r="763" spans="1:26" ht="11.25" customHeight="1" x14ac:dyDescent="0.35">
      <c r="A763" s="57"/>
      <c r="B763" s="57"/>
      <c r="C763" s="57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</row>
    <row r="764" spans="1:26" ht="11.25" customHeight="1" x14ac:dyDescent="0.35">
      <c r="A764" s="57"/>
      <c r="B764" s="57"/>
      <c r="C764" s="57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</row>
    <row r="765" spans="1:26" ht="11.25" customHeight="1" x14ac:dyDescent="0.35">
      <c r="A765" s="57"/>
      <c r="B765" s="57"/>
      <c r="C765" s="57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</row>
    <row r="766" spans="1:26" ht="11.25" customHeight="1" x14ac:dyDescent="0.35">
      <c r="A766" s="57"/>
      <c r="B766" s="57"/>
      <c r="C766" s="57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</row>
    <row r="767" spans="1:26" ht="11.25" customHeight="1" x14ac:dyDescent="0.35">
      <c r="A767" s="57"/>
      <c r="B767" s="57"/>
      <c r="C767" s="57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</row>
    <row r="768" spans="1:26" ht="11.25" customHeight="1" x14ac:dyDescent="0.35">
      <c r="A768" s="57"/>
      <c r="B768" s="57"/>
      <c r="C768" s="57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</row>
    <row r="769" spans="1:26" ht="11.25" customHeight="1" x14ac:dyDescent="0.35">
      <c r="A769" s="57"/>
      <c r="B769" s="57"/>
      <c r="C769" s="57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</row>
    <row r="770" spans="1:26" ht="11.25" customHeight="1" x14ac:dyDescent="0.35">
      <c r="A770" s="57"/>
      <c r="B770" s="57"/>
      <c r="C770" s="57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</row>
    <row r="771" spans="1:26" ht="11.25" customHeight="1" x14ac:dyDescent="0.35">
      <c r="A771" s="57"/>
      <c r="B771" s="57"/>
      <c r="C771" s="57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</row>
    <row r="772" spans="1:26" ht="11.25" customHeight="1" x14ac:dyDescent="0.35">
      <c r="A772" s="57"/>
      <c r="B772" s="57"/>
      <c r="C772" s="57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</row>
    <row r="773" spans="1:26" ht="11.25" customHeight="1" x14ac:dyDescent="0.35">
      <c r="A773" s="57"/>
      <c r="B773" s="57"/>
      <c r="C773" s="57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</row>
    <row r="774" spans="1:26" ht="11.25" customHeight="1" x14ac:dyDescent="0.35">
      <c r="A774" s="57"/>
      <c r="B774" s="57"/>
      <c r="C774" s="57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</row>
    <row r="775" spans="1:26" ht="11.25" customHeight="1" x14ac:dyDescent="0.35">
      <c r="A775" s="57"/>
      <c r="B775" s="57"/>
      <c r="C775" s="57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</row>
    <row r="776" spans="1:26" ht="11.25" customHeight="1" x14ac:dyDescent="0.35">
      <c r="A776" s="57"/>
      <c r="B776" s="57"/>
      <c r="C776" s="57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</row>
    <row r="777" spans="1:26" ht="11.25" customHeight="1" x14ac:dyDescent="0.35">
      <c r="A777" s="57"/>
      <c r="B777" s="57"/>
      <c r="C777" s="57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</row>
    <row r="778" spans="1:26" ht="11.25" customHeight="1" x14ac:dyDescent="0.35">
      <c r="A778" s="57"/>
      <c r="B778" s="57"/>
      <c r="C778" s="57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</row>
    <row r="779" spans="1:26" ht="11.25" customHeight="1" x14ac:dyDescent="0.35">
      <c r="A779" s="57"/>
      <c r="B779" s="57"/>
      <c r="C779" s="57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</row>
    <row r="780" spans="1:26" ht="11.25" customHeight="1" x14ac:dyDescent="0.35">
      <c r="A780" s="57"/>
      <c r="B780" s="57"/>
      <c r="C780" s="57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</row>
    <row r="781" spans="1:26" ht="11.25" customHeight="1" x14ac:dyDescent="0.35">
      <c r="A781" s="57"/>
      <c r="B781" s="57"/>
      <c r="C781" s="57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</row>
    <row r="782" spans="1:26" ht="11.25" customHeight="1" x14ac:dyDescent="0.35">
      <c r="A782" s="57"/>
      <c r="B782" s="57"/>
      <c r="C782" s="57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</row>
    <row r="783" spans="1:26" ht="11.25" customHeight="1" x14ac:dyDescent="0.35">
      <c r="A783" s="57"/>
      <c r="B783" s="57"/>
      <c r="C783" s="57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</row>
    <row r="784" spans="1:26" ht="11.25" customHeight="1" x14ac:dyDescent="0.35">
      <c r="A784" s="57"/>
      <c r="B784" s="57"/>
      <c r="C784" s="57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</row>
    <row r="785" spans="1:26" ht="11.25" customHeight="1" x14ac:dyDescent="0.35">
      <c r="A785" s="57"/>
      <c r="B785" s="57"/>
      <c r="C785" s="57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</row>
    <row r="786" spans="1:26" ht="11.25" customHeight="1" x14ac:dyDescent="0.35">
      <c r="A786" s="57"/>
      <c r="B786" s="57"/>
      <c r="C786" s="57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</row>
    <row r="787" spans="1:26" ht="11.25" customHeight="1" x14ac:dyDescent="0.35">
      <c r="A787" s="57"/>
      <c r="B787" s="57"/>
      <c r="C787" s="57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</row>
    <row r="788" spans="1:26" ht="11.25" customHeight="1" x14ac:dyDescent="0.35">
      <c r="A788" s="57"/>
      <c r="B788" s="57"/>
      <c r="C788" s="57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</row>
    <row r="789" spans="1:26" ht="11.25" customHeight="1" x14ac:dyDescent="0.35">
      <c r="A789" s="57"/>
      <c r="B789" s="57"/>
      <c r="C789" s="57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</row>
    <row r="790" spans="1:26" ht="11.25" customHeight="1" x14ac:dyDescent="0.35">
      <c r="A790" s="57"/>
      <c r="B790" s="57"/>
      <c r="C790" s="57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</row>
    <row r="791" spans="1:26" ht="11.25" customHeight="1" x14ac:dyDescent="0.35">
      <c r="A791" s="57"/>
      <c r="B791" s="57"/>
      <c r="C791" s="57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</row>
    <row r="792" spans="1:26" ht="11.25" customHeight="1" x14ac:dyDescent="0.35">
      <c r="A792" s="57"/>
      <c r="B792" s="57"/>
      <c r="C792" s="57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</row>
    <row r="793" spans="1:26" ht="11.25" customHeight="1" x14ac:dyDescent="0.35">
      <c r="A793" s="57"/>
      <c r="B793" s="57"/>
      <c r="C793" s="57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</row>
    <row r="794" spans="1:26" ht="11.25" customHeight="1" x14ac:dyDescent="0.35">
      <c r="A794" s="57"/>
      <c r="B794" s="57"/>
      <c r="C794" s="57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</row>
    <row r="795" spans="1:26" ht="11.25" customHeight="1" x14ac:dyDescent="0.35">
      <c r="A795" s="57"/>
      <c r="B795" s="57"/>
      <c r="C795" s="57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</row>
    <row r="796" spans="1:26" ht="11.25" customHeight="1" x14ac:dyDescent="0.35">
      <c r="A796" s="57"/>
      <c r="B796" s="57"/>
      <c r="C796" s="57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</row>
    <row r="797" spans="1:26" ht="11.25" customHeight="1" x14ac:dyDescent="0.35">
      <c r="A797" s="57"/>
      <c r="B797" s="57"/>
      <c r="C797" s="57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</row>
    <row r="798" spans="1:26" ht="11.25" customHeight="1" x14ac:dyDescent="0.35">
      <c r="A798" s="57"/>
      <c r="B798" s="57"/>
      <c r="C798" s="57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</row>
    <row r="799" spans="1:26" ht="11.25" customHeight="1" x14ac:dyDescent="0.35">
      <c r="A799" s="57"/>
      <c r="B799" s="57"/>
      <c r="C799" s="57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</row>
    <row r="800" spans="1:26" ht="11.25" customHeight="1" x14ac:dyDescent="0.35">
      <c r="A800" s="57"/>
      <c r="B800" s="57"/>
      <c r="C800" s="57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</row>
    <row r="801" spans="1:26" ht="11.25" customHeight="1" x14ac:dyDescent="0.35">
      <c r="A801" s="57"/>
      <c r="B801" s="57"/>
      <c r="C801" s="57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</row>
    <row r="802" spans="1:26" ht="11.25" customHeight="1" x14ac:dyDescent="0.35">
      <c r="A802" s="57"/>
      <c r="B802" s="57"/>
      <c r="C802" s="57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</row>
    <row r="803" spans="1:26" ht="11.25" customHeight="1" x14ac:dyDescent="0.35">
      <c r="A803" s="57"/>
      <c r="B803" s="57"/>
      <c r="C803" s="57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57"/>
      <c r="X803" s="57"/>
      <c r="Y803" s="57"/>
      <c r="Z803" s="57"/>
    </row>
    <row r="804" spans="1:26" ht="11.25" customHeight="1" x14ac:dyDescent="0.35">
      <c r="A804" s="57"/>
      <c r="B804" s="57"/>
      <c r="C804" s="57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  <c r="O804" s="57"/>
      <c r="P804" s="57"/>
      <c r="Q804" s="57"/>
      <c r="R804" s="57"/>
      <c r="S804" s="57"/>
      <c r="T804" s="57"/>
      <c r="U804" s="57"/>
      <c r="V804" s="57"/>
      <c r="W804" s="57"/>
      <c r="X804" s="57"/>
      <c r="Y804" s="57"/>
      <c r="Z804" s="57"/>
    </row>
    <row r="805" spans="1:26" ht="11.25" customHeight="1" x14ac:dyDescent="0.35">
      <c r="A805" s="57"/>
      <c r="B805" s="57"/>
      <c r="C805" s="57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  <c r="O805" s="57"/>
      <c r="P805" s="57"/>
      <c r="Q805" s="57"/>
      <c r="R805" s="57"/>
      <c r="S805" s="57"/>
      <c r="T805" s="57"/>
      <c r="U805" s="57"/>
      <c r="V805" s="57"/>
      <c r="W805" s="57"/>
      <c r="X805" s="57"/>
      <c r="Y805" s="57"/>
      <c r="Z805" s="57"/>
    </row>
    <row r="806" spans="1:26" ht="11.25" customHeight="1" x14ac:dyDescent="0.35">
      <c r="A806" s="57"/>
      <c r="B806" s="57"/>
      <c r="C806" s="57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  <c r="O806" s="57"/>
      <c r="P806" s="57"/>
      <c r="Q806" s="57"/>
      <c r="R806" s="57"/>
      <c r="S806" s="57"/>
      <c r="T806" s="57"/>
      <c r="U806" s="57"/>
      <c r="V806" s="57"/>
      <c r="W806" s="57"/>
      <c r="X806" s="57"/>
      <c r="Y806" s="57"/>
      <c r="Z806" s="57"/>
    </row>
    <row r="807" spans="1:26" ht="11.25" customHeight="1" x14ac:dyDescent="0.35">
      <c r="A807" s="57"/>
      <c r="B807" s="57"/>
      <c r="C807" s="57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  <c r="O807" s="57"/>
      <c r="P807" s="57"/>
      <c r="Q807" s="57"/>
      <c r="R807" s="57"/>
      <c r="S807" s="57"/>
      <c r="T807" s="57"/>
      <c r="U807" s="57"/>
      <c r="V807" s="57"/>
      <c r="W807" s="57"/>
      <c r="X807" s="57"/>
      <c r="Y807" s="57"/>
      <c r="Z807" s="57"/>
    </row>
    <row r="808" spans="1:26" ht="11.25" customHeight="1" x14ac:dyDescent="0.35">
      <c r="A808" s="57"/>
      <c r="B808" s="57"/>
      <c r="C808" s="57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  <c r="O808" s="57"/>
      <c r="P808" s="57"/>
      <c r="Q808" s="57"/>
      <c r="R808" s="57"/>
      <c r="S808" s="57"/>
      <c r="T808" s="57"/>
      <c r="U808" s="57"/>
      <c r="V808" s="57"/>
      <c r="W808" s="57"/>
      <c r="X808" s="57"/>
      <c r="Y808" s="57"/>
      <c r="Z808" s="57"/>
    </row>
    <row r="809" spans="1:26" ht="11.25" customHeight="1" x14ac:dyDescent="0.35">
      <c r="A809" s="57"/>
      <c r="B809" s="57"/>
      <c r="C809" s="57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  <c r="O809" s="57"/>
      <c r="P809" s="57"/>
      <c r="Q809" s="57"/>
      <c r="R809" s="57"/>
      <c r="S809" s="57"/>
      <c r="T809" s="57"/>
      <c r="U809" s="57"/>
      <c r="V809" s="57"/>
      <c r="W809" s="57"/>
      <c r="X809" s="57"/>
      <c r="Y809" s="57"/>
      <c r="Z809" s="57"/>
    </row>
    <row r="810" spans="1:26" ht="11.25" customHeight="1" x14ac:dyDescent="0.35">
      <c r="A810" s="57"/>
      <c r="B810" s="57"/>
      <c r="C810" s="57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  <c r="O810" s="57"/>
      <c r="P810" s="57"/>
      <c r="Q810" s="57"/>
      <c r="R810" s="57"/>
      <c r="S810" s="57"/>
      <c r="T810" s="57"/>
      <c r="U810" s="57"/>
      <c r="V810" s="57"/>
      <c r="W810" s="57"/>
      <c r="X810" s="57"/>
      <c r="Y810" s="57"/>
      <c r="Z810" s="57"/>
    </row>
    <row r="811" spans="1:26" ht="11.25" customHeight="1" x14ac:dyDescent="0.35">
      <c r="A811" s="57"/>
      <c r="B811" s="57"/>
      <c r="C811" s="57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  <c r="O811" s="57"/>
      <c r="P811" s="57"/>
      <c r="Q811" s="57"/>
      <c r="R811" s="57"/>
      <c r="S811" s="57"/>
      <c r="T811" s="57"/>
      <c r="U811" s="57"/>
      <c r="V811" s="57"/>
      <c r="W811" s="57"/>
      <c r="X811" s="57"/>
      <c r="Y811" s="57"/>
      <c r="Z811" s="57"/>
    </row>
    <row r="812" spans="1:26" ht="11.25" customHeight="1" x14ac:dyDescent="0.35">
      <c r="A812" s="57"/>
      <c r="B812" s="57"/>
      <c r="C812" s="57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  <c r="O812" s="57"/>
      <c r="P812" s="57"/>
      <c r="Q812" s="57"/>
      <c r="R812" s="57"/>
      <c r="S812" s="57"/>
      <c r="T812" s="57"/>
      <c r="U812" s="57"/>
      <c r="V812" s="57"/>
      <c r="W812" s="57"/>
      <c r="X812" s="57"/>
      <c r="Y812" s="57"/>
      <c r="Z812" s="57"/>
    </row>
    <row r="813" spans="1:26" ht="11.25" customHeight="1" x14ac:dyDescent="0.35">
      <c r="A813" s="57"/>
      <c r="B813" s="57"/>
      <c r="C813" s="57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  <c r="O813" s="57"/>
      <c r="P813" s="57"/>
      <c r="Q813" s="57"/>
      <c r="R813" s="57"/>
      <c r="S813" s="57"/>
      <c r="T813" s="57"/>
      <c r="U813" s="57"/>
      <c r="V813" s="57"/>
      <c r="W813" s="57"/>
      <c r="X813" s="57"/>
      <c r="Y813" s="57"/>
      <c r="Z813" s="57"/>
    </row>
    <row r="814" spans="1:26" ht="11.25" customHeight="1" x14ac:dyDescent="0.35">
      <c r="A814" s="57"/>
      <c r="B814" s="57"/>
      <c r="C814" s="57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  <c r="O814" s="57"/>
      <c r="P814" s="57"/>
      <c r="Q814" s="57"/>
      <c r="R814" s="57"/>
      <c r="S814" s="57"/>
      <c r="T814" s="57"/>
      <c r="U814" s="57"/>
      <c r="V814" s="57"/>
      <c r="W814" s="57"/>
      <c r="X814" s="57"/>
      <c r="Y814" s="57"/>
      <c r="Z814" s="57"/>
    </row>
    <row r="815" spans="1:26" ht="11.25" customHeight="1" x14ac:dyDescent="0.35">
      <c r="A815" s="57"/>
      <c r="B815" s="57"/>
      <c r="C815" s="57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  <c r="O815" s="57"/>
      <c r="P815" s="57"/>
      <c r="Q815" s="57"/>
      <c r="R815" s="57"/>
      <c r="S815" s="57"/>
      <c r="T815" s="57"/>
      <c r="U815" s="57"/>
      <c r="V815" s="57"/>
      <c r="W815" s="57"/>
      <c r="X815" s="57"/>
      <c r="Y815" s="57"/>
      <c r="Z815" s="57"/>
    </row>
    <row r="816" spans="1:26" ht="11.25" customHeight="1" x14ac:dyDescent="0.35">
      <c r="A816" s="57"/>
      <c r="B816" s="57"/>
      <c r="C816" s="57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  <c r="O816" s="57"/>
      <c r="P816" s="57"/>
      <c r="Q816" s="57"/>
      <c r="R816" s="57"/>
      <c r="S816" s="57"/>
      <c r="T816" s="57"/>
      <c r="U816" s="57"/>
      <c r="V816" s="57"/>
      <c r="W816" s="57"/>
      <c r="X816" s="57"/>
      <c r="Y816" s="57"/>
      <c r="Z816" s="57"/>
    </row>
    <row r="817" spans="1:26" ht="11.25" customHeight="1" x14ac:dyDescent="0.35">
      <c r="A817" s="57"/>
      <c r="B817" s="57"/>
      <c r="C817" s="57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  <c r="O817" s="57"/>
      <c r="P817" s="57"/>
      <c r="Q817" s="57"/>
      <c r="R817" s="57"/>
      <c r="S817" s="57"/>
      <c r="T817" s="57"/>
      <c r="U817" s="57"/>
      <c r="V817" s="57"/>
      <c r="W817" s="57"/>
      <c r="X817" s="57"/>
      <c r="Y817" s="57"/>
      <c r="Z817" s="57"/>
    </row>
    <row r="818" spans="1:26" ht="11.25" customHeight="1" x14ac:dyDescent="0.35">
      <c r="A818" s="57"/>
      <c r="B818" s="57"/>
      <c r="C818" s="57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  <c r="O818" s="57"/>
      <c r="P818" s="57"/>
      <c r="Q818" s="57"/>
      <c r="R818" s="57"/>
      <c r="S818" s="57"/>
      <c r="T818" s="57"/>
      <c r="U818" s="57"/>
      <c r="V818" s="57"/>
      <c r="W818" s="57"/>
      <c r="X818" s="57"/>
      <c r="Y818" s="57"/>
      <c r="Z818" s="57"/>
    </row>
    <row r="819" spans="1:26" ht="11.25" customHeight="1" x14ac:dyDescent="0.35">
      <c r="A819" s="57"/>
      <c r="B819" s="57"/>
      <c r="C819" s="57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  <c r="O819" s="57"/>
      <c r="P819" s="57"/>
      <c r="Q819" s="57"/>
      <c r="R819" s="57"/>
      <c r="S819" s="57"/>
      <c r="T819" s="57"/>
      <c r="U819" s="57"/>
      <c r="V819" s="57"/>
      <c r="W819" s="57"/>
      <c r="X819" s="57"/>
      <c r="Y819" s="57"/>
      <c r="Z819" s="57"/>
    </row>
    <row r="820" spans="1:26" ht="11.25" customHeight="1" x14ac:dyDescent="0.35">
      <c r="A820" s="57"/>
      <c r="B820" s="57"/>
      <c r="C820" s="57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  <c r="O820" s="57"/>
      <c r="P820" s="57"/>
      <c r="Q820" s="57"/>
      <c r="R820" s="57"/>
      <c r="S820" s="57"/>
      <c r="T820" s="57"/>
      <c r="U820" s="57"/>
      <c r="V820" s="57"/>
      <c r="W820" s="57"/>
      <c r="X820" s="57"/>
      <c r="Y820" s="57"/>
      <c r="Z820" s="57"/>
    </row>
    <row r="821" spans="1:26" ht="11.25" customHeight="1" x14ac:dyDescent="0.35">
      <c r="A821" s="57"/>
      <c r="B821" s="57"/>
      <c r="C821" s="57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  <c r="O821" s="57"/>
      <c r="P821" s="57"/>
      <c r="Q821" s="57"/>
      <c r="R821" s="57"/>
      <c r="S821" s="57"/>
      <c r="T821" s="57"/>
      <c r="U821" s="57"/>
      <c r="V821" s="57"/>
      <c r="W821" s="57"/>
      <c r="X821" s="57"/>
      <c r="Y821" s="57"/>
      <c r="Z821" s="57"/>
    </row>
    <row r="822" spans="1:26" ht="11.25" customHeight="1" x14ac:dyDescent="0.35">
      <c r="A822" s="57"/>
      <c r="B822" s="57"/>
      <c r="C822" s="57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  <c r="O822" s="57"/>
      <c r="P822" s="57"/>
      <c r="Q822" s="57"/>
      <c r="R822" s="57"/>
      <c r="S822" s="57"/>
      <c r="T822" s="57"/>
      <c r="U822" s="57"/>
      <c r="V822" s="57"/>
      <c r="W822" s="57"/>
      <c r="X822" s="57"/>
      <c r="Y822" s="57"/>
      <c r="Z822" s="57"/>
    </row>
    <row r="823" spans="1:26" ht="11.25" customHeight="1" x14ac:dyDescent="0.35">
      <c r="A823" s="57"/>
      <c r="B823" s="57"/>
      <c r="C823" s="57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  <c r="O823" s="57"/>
      <c r="P823" s="57"/>
      <c r="Q823" s="57"/>
      <c r="R823" s="57"/>
      <c r="S823" s="57"/>
      <c r="T823" s="57"/>
      <c r="U823" s="57"/>
      <c r="V823" s="57"/>
      <c r="W823" s="57"/>
      <c r="X823" s="57"/>
      <c r="Y823" s="57"/>
      <c r="Z823" s="57"/>
    </row>
    <row r="824" spans="1:26" ht="11.25" customHeight="1" x14ac:dyDescent="0.35">
      <c r="A824" s="57"/>
      <c r="B824" s="57"/>
      <c r="C824" s="57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  <c r="O824" s="57"/>
      <c r="P824" s="57"/>
      <c r="Q824" s="57"/>
      <c r="R824" s="57"/>
      <c r="S824" s="57"/>
      <c r="T824" s="57"/>
      <c r="U824" s="57"/>
      <c r="V824" s="57"/>
      <c r="W824" s="57"/>
      <c r="X824" s="57"/>
      <c r="Y824" s="57"/>
      <c r="Z824" s="57"/>
    </row>
    <row r="825" spans="1:26" ht="11.25" customHeight="1" x14ac:dyDescent="0.35">
      <c r="A825" s="57"/>
      <c r="B825" s="57"/>
      <c r="C825" s="57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  <c r="O825" s="57"/>
      <c r="P825" s="57"/>
      <c r="Q825" s="57"/>
      <c r="R825" s="57"/>
      <c r="S825" s="57"/>
      <c r="T825" s="57"/>
      <c r="U825" s="57"/>
      <c r="V825" s="57"/>
      <c r="W825" s="57"/>
      <c r="X825" s="57"/>
      <c r="Y825" s="57"/>
      <c r="Z825" s="57"/>
    </row>
    <row r="826" spans="1:26" ht="11.25" customHeight="1" x14ac:dyDescent="0.35">
      <c r="A826" s="57"/>
      <c r="B826" s="57"/>
      <c r="C826" s="57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  <c r="O826" s="57"/>
      <c r="P826" s="57"/>
      <c r="Q826" s="57"/>
      <c r="R826" s="57"/>
      <c r="S826" s="57"/>
      <c r="T826" s="57"/>
      <c r="U826" s="57"/>
      <c r="V826" s="57"/>
      <c r="W826" s="57"/>
      <c r="X826" s="57"/>
      <c r="Y826" s="57"/>
      <c r="Z826" s="57"/>
    </row>
    <row r="827" spans="1:26" ht="11.25" customHeight="1" x14ac:dyDescent="0.35">
      <c r="A827" s="57"/>
      <c r="B827" s="57"/>
      <c r="C827" s="57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  <c r="O827" s="57"/>
      <c r="P827" s="57"/>
      <c r="Q827" s="57"/>
      <c r="R827" s="57"/>
      <c r="S827" s="57"/>
      <c r="T827" s="57"/>
      <c r="U827" s="57"/>
      <c r="V827" s="57"/>
      <c r="W827" s="57"/>
      <c r="X827" s="57"/>
      <c r="Y827" s="57"/>
      <c r="Z827" s="57"/>
    </row>
    <row r="828" spans="1:26" ht="11.25" customHeight="1" x14ac:dyDescent="0.35">
      <c r="A828" s="57"/>
      <c r="B828" s="57"/>
      <c r="C828" s="57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  <c r="O828" s="57"/>
      <c r="P828" s="57"/>
      <c r="Q828" s="57"/>
      <c r="R828" s="57"/>
      <c r="S828" s="57"/>
      <c r="T828" s="57"/>
      <c r="U828" s="57"/>
      <c r="V828" s="57"/>
      <c r="W828" s="57"/>
      <c r="X828" s="57"/>
      <c r="Y828" s="57"/>
      <c r="Z828" s="57"/>
    </row>
    <row r="829" spans="1:26" ht="11.25" customHeight="1" x14ac:dyDescent="0.35">
      <c r="A829" s="57"/>
      <c r="B829" s="57"/>
      <c r="C829" s="57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  <c r="O829" s="57"/>
      <c r="P829" s="57"/>
      <c r="Q829" s="57"/>
      <c r="R829" s="57"/>
      <c r="S829" s="57"/>
      <c r="T829" s="57"/>
      <c r="U829" s="57"/>
      <c r="V829" s="57"/>
      <c r="W829" s="57"/>
      <c r="X829" s="57"/>
      <c r="Y829" s="57"/>
      <c r="Z829" s="57"/>
    </row>
    <row r="830" spans="1:26" ht="11.25" customHeight="1" x14ac:dyDescent="0.35">
      <c r="A830" s="57"/>
      <c r="B830" s="57"/>
      <c r="C830" s="57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  <c r="O830" s="57"/>
      <c r="P830" s="57"/>
      <c r="Q830" s="57"/>
      <c r="R830" s="57"/>
      <c r="S830" s="57"/>
      <c r="T830" s="57"/>
      <c r="U830" s="57"/>
      <c r="V830" s="57"/>
      <c r="W830" s="57"/>
      <c r="X830" s="57"/>
      <c r="Y830" s="57"/>
      <c r="Z830" s="57"/>
    </row>
    <row r="831" spans="1:26" ht="11.25" customHeight="1" x14ac:dyDescent="0.35">
      <c r="A831" s="57"/>
      <c r="B831" s="57"/>
      <c r="C831" s="57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  <c r="O831" s="57"/>
      <c r="P831" s="57"/>
      <c r="Q831" s="57"/>
      <c r="R831" s="57"/>
      <c r="S831" s="57"/>
      <c r="T831" s="57"/>
      <c r="U831" s="57"/>
      <c r="V831" s="57"/>
      <c r="W831" s="57"/>
      <c r="X831" s="57"/>
      <c r="Y831" s="57"/>
      <c r="Z831" s="57"/>
    </row>
    <row r="832" spans="1:26" ht="11.25" customHeight="1" x14ac:dyDescent="0.35">
      <c r="A832" s="57"/>
      <c r="B832" s="57"/>
      <c r="C832" s="57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  <c r="O832" s="57"/>
      <c r="P832" s="57"/>
      <c r="Q832" s="57"/>
      <c r="R832" s="57"/>
      <c r="S832" s="57"/>
      <c r="T832" s="57"/>
      <c r="U832" s="57"/>
      <c r="V832" s="57"/>
      <c r="W832" s="57"/>
      <c r="X832" s="57"/>
      <c r="Y832" s="57"/>
      <c r="Z832" s="57"/>
    </row>
    <row r="833" spans="1:26" ht="11.25" customHeight="1" x14ac:dyDescent="0.35">
      <c r="A833" s="57"/>
      <c r="B833" s="57"/>
      <c r="C833" s="57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  <c r="O833" s="57"/>
      <c r="P833" s="57"/>
      <c r="Q833" s="57"/>
      <c r="R833" s="57"/>
      <c r="S833" s="57"/>
      <c r="T833" s="57"/>
      <c r="U833" s="57"/>
      <c r="V833" s="57"/>
      <c r="W833" s="57"/>
      <c r="X833" s="57"/>
      <c r="Y833" s="57"/>
      <c r="Z833" s="57"/>
    </row>
    <row r="834" spans="1:26" ht="11.25" customHeight="1" x14ac:dyDescent="0.35">
      <c r="A834" s="57"/>
      <c r="B834" s="57"/>
      <c r="C834" s="57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  <c r="O834" s="57"/>
      <c r="P834" s="57"/>
      <c r="Q834" s="57"/>
      <c r="R834" s="57"/>
      <c r="S834" s="57"/>
      <c r="T834" s="57"/>
      <c r="U834" s="57"/>
      <c r="V834" s="57"/>
      <c r="W834" s="57"/>
      <c r="X834" s="57"/>
      <c r="Y834" s="57"/>
      <c r="Z834" s="57"/>
    </row>
    <row r="835" spans="1:26" ht="11.25" customHeight="1" x14ac:dyDescent="0.35">
      <c r="A835" s="57"/>
      <c r="B835" s="57"/>
      <c r="C835" s="57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  <c r="O835" s="57"/>
      <c r="P835" s="57"/>
      <c r="Q835" s="57"/>
      <c r="R835" s="57"/>
      <c r="S835" s="57"/>
      <c r="T835" s="57"/>
      <c r="U835" s="57"/>
      <c r="V835" s="57"/>
      <c r="W835" s="57"/>
      <c r="X835" s="57"/>
      <c r="Y835" s="57"/>
      <c r="Z835" s="57"/>
    </row>
    <row r="836" spans="1:26" ht="11.25" customHeight="1" x14ac:dyDescent="0.35">
      <c r="A836" s="57"/>
      <c r="B836" s="57"/>
      <c r="C836" s="57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  <c r="O836" s="57"/>
      <c r="P836" s="57"/>
      <c r="Q836" s="57"/>
      <c r="R836" s="57"/>
      <c r="S836" s="57"/>
      <c r="T836" s="57"/>
      <c r="U836" s="57"/>
      <c r="V836" s="57"/>
      <c r="W836" s="57"/>
      <c r="X836" s="57"/>
      <c r="Y836" s="57"/>
      <c r="Z836" s="57"/>
    </row>
    <row r="837" spans="1:26" ht="11.25" customHeight="1" x14ac:dyDescent="0.35">
      <c r="A837" s="57"/>
      <c r="B837" s="57"/>
      <c r="C837" s="57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  <c r="O837" s="57"/>
      <c r="P837" s="57"/>
      <c r="Q837" s="57"/>
      <c r="R837" s="57"/>
      <c r="S837" s="57"/>
      <c r="T837" s="57"/>
      <c r="U837" s="57"/>
      <c r="V837" s="57"/>
      <c r="W837" s="57"/>
      <c r="X837" s="57"/>
      <c r="Y837" s="57"/>
      <c r="Z837" s="57"/>
    </row>
    <row r="838" spans="1:26" ht="11.25" customHeight="1" x14ac:dyDescent="0.35">
      <c r="A838" s="57"/>
      <c r="B838" s="57"/>
      <c r="C838" s="57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  <c r="O838" s="57"/>
      <c r="P838" s="57"/>
      <c r="Q838" s="57"/>
      <c r="R838" s="57"/>
      <c r="S838" s="57"/>
      <c r="T838" s="57"/>
      <c r="U838" s="57"/>
      <c r="V838" s="57"/>
      <c r="W838" s="57"/>
      <c r="X838" s="57"/>
      <c r="Y838" s="57"/>
      <c r="Z838" s="57"/>
    </row>
    <row r="839" spans="1:26" ht="11.25" customHeight="1" x14ac:dyDescent="0.35">
      <c r="A839" s="57"/>
      <c r="B839" s="57"/>
      <c r="C839" s="57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  <c r="O839" s="57"/>
      <c r="P839" s="57"/>
      <c r="Q839" s="57"/>
      <c r="R839" s="57"/>
      <c r="S839" s="57"/>
      <c r="T839" s="57"/>
      <c r="U839" s="57"/>
      <c r="V839" s="57"/>
      <c r="W839" s="57"/>
      <c r="X839" s="57"/>
      <c r="Y839" s="57"/>
      <c r="Z839" s="57"/>
    </row>
    <row r="840" spans="1:26" ht="11.25" customHeight="1" x14ac:dyDescent="0.35">
      <c r="A840" s="57"/>
      <c r="B840" s="57"/>
      <c r="C840" s="57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  <c r="O840" s="57"/>
      <c r="P840" s="57"/>
      <c r="Q840" s="57"/>
      <c r="R840" s="57"/>
      <c r="S840" s="57"/>
      <c r="T840" s="57"/>
      <c r="U840" s="57"/>
      <c r="V840" s="57"/>
      <c r="W840" s="57"/>
      <c r="X840" s="57"/>
      <c r="Y840" s="57"/>
      <c r="Z840" s="57"/>
    </row>
    <row r="841" spans="1:26" ht="11.25" customHeight="1" x14ac:dyDescent="0.35">
      <c r="A841" s="57"/>
      <c r="B841" s="57"/>
      <c r="C841" s="57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  <c r="O841" s="57"/>
      <c r="P841" s="57"/>
      <c r="Q841" s="57"/>
      <c r="R841" s="57"/>
      <c r="S841" s="57"/>
      <c r="T841" s="57"/>
      <c r="U841" s="57"/>
      <c r="V841" s="57"/>
      <c r="W841" s="57"/>
      <c r="X841" s="57"/>
      <c r="Y841" s="57"/>
      <c r="Z841" s="57"/>
    </row>
    <row r="842" spans="1:26" ht="11.25" customHeight="1" x14ac:dyDescent="0.35">
      <c r="A842" s="57"/>
      <c r="B842" s="57"/>
      <c r="C842" s="57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  <c r="O842" s="57"/>
      <c r="P842" s="57"/>
      <c r="Q842" s="57"/>
      <c r="R842" s="57"/>
      <c r="S842" s="57"/>
      <c r="T842" s="57"/>
      <c r="U842" s="57"/>
      <c r="V842" s="57"/>
      <c r="W842" s="57"/>
      <c r="X842" s="57"/>
      <c r="Y842" s="57"/>
      <c r="Z842" s="57"/>
    </row>
    <row r="843" spans="1:26" ht="11.25" customHeight="1" x14ac:dyDescent="0.35">
      <c r="A843" s="57"/>
      <c r="B843" s="57"/>
      <c r="C843" s="57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  <c r="O843" s="57"/>
      <c r="P843" s="57"/>
      <c r="Q843" s="57"/>
      <c r="R843" s="57"/>
      <c r="S843" s="57"/>
      <c r="T843" s="57"/>
      <c r="U843" s="57"/>
      <c r="V843" s="57"/>
      <c r="W843" s="57"/>
      <c r="X843" s="57"/>
      <c r="Y843" s="57"/>
      <c r="Z843" s="57"/>
    </row>
    <row r="844" spans="1:26" ht="11.25" customHeight="1" x14ac:dyDescent="0.35">
      <c r="A844" s="57"/>
      <c r="B844" s="57"/>
      <c r="C844" s="57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  <c r="O844" s="57"/>
      <c r="P844" s="57"/>
      <c r="Q844" s="57"/>
      <c r="R844" s="57"/>
      <c r="S844" s="57"/>
      <c r="T844" s="57"/>
      <c r="U844" s="57"/>
      <c r="V844" s="57"/>
      <c r="W844" s="57"/>
      <c r="X844" s="57"/>
      <c r="Y844" s="57"/>
      <c r="Z844" s="57"/>
    </row>
    <row r="845" spans="1:26" ht="11.25" customHeight="1" x14ac:dyDescent="0.35">
      <c r="A845" s="57"/>
      <c r="B845" s="57"/>
      <c r="C845" s="57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  <c r="O845" s="57"/>
      <c r="P845" s="57"/>
      <c r="Q845" s="57"/>
      <c r="R845" s="57"/>
      <c r="S845" s="57"/>
      <c r="T845" s="57"/>
      <c r="U845" s="57"/>
      <c r="V845" s="57"/>
      <c r="W845" s="57"/>
      <c r="X845" s="57"/>
      <c r="Y845" s="57"/>
      <c r="Z845" s="57"/>
    </row>
    <row r="846" spans="1:26" ht="11.25" customHeight="1" x14ac:dyDescent="0.35">
      <c r="A846" s="57"/>
      <c r="B846" s="57"/>
      <c r="C846" s="57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  <c r="O846" s="57"/>
      <c r="P846" s="57"/>
      <c r="Q846" s="57"/>
      <c r="R846" s="57"/>
      <c r="S846" s="57"/>
      <c r="T846" s="57"/>
      <c r="U846" s="57"/>
      <c r="V846" s="57"/>
      <c r="W846" s="57"/>
      <c r="X846" s="57"/>
      <c r="Y846" s="57"/>
      <c r="Z846" s="57"/>
    </row>
    <row r="847" spans="1:26" ht="11.25" customHeight="1" x14ac:dyDescent="0.35">
      <c r="A847" s="57"/>
      <c r="B847" s="57"/>
      <c r="C847" s="57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  <c r="O847" s="57"/>
      <c r="P847" s="57"/>
      <c r="Q847" s="57"/>
      <c r="R847" s="57"/>
      <c r="S847" s="57"/>
      <c r="T847" s="57"/>
      <c r="U847" s="57"/>
      <c r="V847" s="57"/>
      <c r="W847" s="57"/>
      <c r="X847" s="57"/>
      <c r="Y847" s="57"/>
      <c r="Z847" s="57"/>
    </row>
    <row r="848" spans="1:26" ht="11.25" customHeight="1" x14ac:dyDescent="0.35">
      <c r="A848" s="57"/>
      <c r="B848" s="57"/>
      <c r="C848" s="57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  <c r="O848" s="57"/>
      <c r="P848" s="57"/>
      <c r="Q848" s="57"/>
      <c r="R848" s="57"/>
      <c r="S848" s="57"/>
      <c r="T848" s="57"/>
      <c r="U848" s="57"/>
      <c r="V848" s="57"/>
      <c r="W848" s="57"/>
      <c r="X848" s="57"/>
      <c r="Y848" s="57"/>
      <c r="Z848" s="57"/>
    </row>
    <row r="849" spans="1:26" ht="11.25" customHeight="1" x14ac:dyDescent="0.35">
      <c r="A849" s="57"/>
      <c r="B849" s="57"/>
      <c r="C849" s="57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  <c r="O849" s="57"/>
      <c r="P849" s="57"/>
      <c r="Q849" s="57"/>
      <c r="R849" s="57"/>
      <c r="S849" s="57"/>
      <c r="T849" s="57"/>
      <c r="U849" s="57"/>
      <c r="V849" s="57"/>
      <c r="W849" s="57"/>
      <c r="X849" s="57"/>
      <c r="Y849" s="57"/>
      <c r="Z849" s="57"/>
    </row>
    <row r="850" spans="1:26" ht="11.25" customHeight="1" x14ac:dyDescent="0.35">
      <c r="A850" s="57"/>
      <c r="B850" s="57"/>
      <c r="C850" s="57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  <c r="O850" s="57"/>
      <c r="P850" s="57"/>
      <c r="Q850" s="57"/>
      <c r="R850" s="57"/>
      <c r="S850" s="57"/>
      <c r="T850" s="57"/>
      <c r="U850" s="57"/>
      <c r="V850" s="57"/>
      <c r="W850" s="57"/>
      <c r="X850" s="57"/>
      <c r="Y850" s="57"/>
      <c r="Z850" s="57"/>
    </row>
    <row r="851" spans="1:26" ht="11.25" customHeight="1" x14ac:dyDescent="0.35">
      <c r="A851" s="57"/>
      <c r="B851" s="57"/>
      <c r="C851" s="57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  <c r="O851" s="57"/>
      <c r="P851" s="57"/>
      <c r="Q851" s="57"/>
      <c r="R851" s="57"/>
      <c r="S851" s="57"/>
      <c r="T851" s="57"/>
      <c r="U851" s="57"/>
      <c r="V851" s="57"/>
      <c r="W851" s="57"/>
      <c r="X851" s="57"/>
      <c r="Y851" s="57"/>
      <c r="Z851" s="57"/>
    </row>
    <row r="852" spans="1:26" ht="11.25" customHeight="1" x14ac:dyDescent="0.35">
      <c r="A852" s="57"/>
      <c r="B852" s="57"/>
      <c r="C852" s="57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  <c r="O852" s="57"/>
      <c r="P852" s="57"/>
      <c r="Q852" s="57"/>
      <c r="R852" s="57"/>
      <c r="S852" s="57"/>
      <c r="T852" s="57"/>
      <c r="U852" s="57"/>
      <c r="V852" s="57"/>
      <c r="W852" s="57"/>
      <c r="X852" s="57"/>
      <c r="Y852" s="57"/>
      <c r="Z852" s="57"/>
    </row>
    <row r="853" spans="1:26" ht="11.25" customHeight="1" x14ac:dyDescent="0.35">
      <c r="A853" s="57"/>
      <c r="B853" s="57"/>
      <c r="C853" s="57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  <c r="O853" s="57"/>
      <c r="P853" s="57"/>
      <c r="Q853" s="57"/>
      <c r="R853" s="57"/>
      <c r="S853" s="57"/>
      <c r="T853" s="57"/>
      <c r="U853" s="57"/>
      <c r="V853" s="57"/>
      <c r="W853" s="57"/>
      <c r="X853" s="57"/>
      <c r="Y853" s="57"/>
      <c r="Z853" s="57"/>
    </row>
    <row r="854" spans="1:26" ht="11.25" customHeight="1" x14ac:dyDescent="0.35">
      <c r="A854" s="57"/>
      <c r="B854" s="57"/>
      <c r="C854" s="57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  <c r="O854" s="57"/>
      <c r="P854" s="57"/>
      <c r="Q854" s="57"/>
      <c r="R854" s="57"/>
      <c r="S854" s="57"/>
      <c r="T854" s="57"/>
      <c r="U854" s="57"/>
      <c r="V854" s="57"/>
      <c r="W854" s="57"/>
      <c r="X854" s="57"/>
      <c r="Y854" s="57"/>
      <c r="Z854" s="57"/>
    </row>
    <row r="855" spans="1:26" ht="11.25" customHeight="1" x14ac:dyDescent="0.35">
      <c r="A855" s="57"/>
      <c r="B855" s="57"/>
      <c r="C855" s="57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  <c r="O855" s="57"/>
      <c r="P855" s="57"/>
      <c r="Q855" s="57"/>
      <c r="R855" s="57"/>
      <c r="S855" s="57"/>
      <c r="T855" s="57"/>
      <c r="U855" s="57"/>
      <c r="V855" s="57"/>
      <c r="W855" s="57"/>
      <c r="X855" s="57"/>
      <c r="Y855" s="57"/>
      <c r="Z855" s="57"/>
    </row>
    <row r="856" spans="1:26" ht="11.25" customHeight="1" x14ac:dyDescent="0.35">
      <c r="A856" s="57"/>
      <c r="B856" s="57"/>
      <c r="C856" s="57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  <c r="O856" s="57"/>
      <c r="P856" s="57"/>
      <c r="Q856" s="57"/>
      <c r="R856" s="57"/>
      <c r="S856" s="57"/>
      <c r="T856" s="57"/>
      <c r="U856" s="57"/>
      <c r="V856" s="57"/>
      <c r="W856" s="57"/>
      <c r="X856" s="57"/>
      <c r="Y856" s="57"/>
      <c r="Z856" s="57"/>
    </row>
    <row r="857" spans="1:26" ht="11.25" customHeight="1" x14ac:dyDescent="0.35">
      <c r="A857" s="57"/>
      <c r="B857" s="57"/>
      <c r="C857" s="57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  <c r="O857" s="57"/>
      <c r="P857" s="57"/>
      <c r="Q857" s="57"/>
      <c r="R857" s="57"/>
      <c r="S857" s="57"/>
      <c r="T857" s="57"/>
      <c r="U857" s="57"/>
      <c r="V857" s="57"/>
      <c r="W857" s="57"/>
      <c r="X857" s="57"/>
      <c r="Y857" s="57"/>
      <c r="Z857" s="57"/>
    </row>
    <row r="858" spans="1:26" ht="11.25" customHeight="1" x14ac:dyDescent="0.35">
      <c r="A858" s="57"/>
      <c r="B858" s="57"/>
      <c r="C858" s="57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  <c r="W858" s="57"/>
      <c r="X858" s="57"/>
      <c r="Y858" s="57"/>
      <c r="Z858" s="57"/>
    </row>
    <row r="859" spans="1:26" ht="11.25" customHeight="1" x14ac:dyDescent="0.35">
      <c r="A859" s="57"/>
      <c r="B859" s="57"/>
      <c r="C859" s="57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  <c r="O859" s="57"/>
      <c r="P859" s="57"/>
      <c r="Q859" s="57"/>
      <c r="R859" s="57"/>
      <c r="S859" s="57"/>
      <c r="T859" s="57"/>
      <c r="U859" s="57"/>
      <c r="V859" s="57"/>
      <c r="W859" s="57"/>
      <c r="X859" s="57"/>
      <c r="Y859" s="57"/>
      <c r="Z859" s="57"/>
    </row>
    <row r="860" spans="1:26" ht="11.25" customHeight="1" x14ac:dyDescent="0.35">
      <c r="A860" s="57"/>
      <c r="B860" s="57"/>
      <c r="C860" s="57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  <c r="O860" s="57"/>
      <c r="P860" s="57"/>
      <c r="Q860" s="57"/>
      <c r="R860" s="57"/>
      <c r="S860" s="57"/>
      <c r="T860" s="57"/>
      <c r="U860" s="57"/>
      <c r="V860" s="57"/>
      <c r="W860" s="57"/>
      <c r="X860" s="57"/>
      <c r="Y860" s="57"/>
      <c r="Z860" s="57"/>
    </row>
    <row r="861" spans="1:26" ht="11.25" customHeight="1" x14ac:dyDescent="0.35">
      <c r="A861" s="57"/>
      <c r="B861" s="57"/>
      <c r="C861" s="57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  <c r="O861" s="57"/>
      <c r="P861" s="57"/>
      <c r="Q861" s="57"/>
      <c r="R861" s="57"/>
      <c r="S861" s="57"/>
      <c r="T861" s="57"/>
      <c r="U861" s="57"/>
      <c r="V861" s="57"/>
      <c r="W861" s="57"/>
      <c r="X861" s="57"/>
      <c r="Y861" s="57"/>
      <c r="Z861" s="57"/>
    </row>
    <row r="862" spans="1:26" ht="11.25" customHeight="1" x14ac:dyDescent="0.35">
      <c r="A862" s="57"/>
      <c r="B862" s="57"/>
      <c r="C862" s="57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  <c r="O862" s="57"/>
      <c r="P862" s="57"/>
      <c r="Q862" s="57"/>
      <c r="R862" s="57"/>
      <c r="S862" s="57"/>
      <c r="T862" s="57"/>
      <c r="U862" s="57"/>
      <c r="V862" s="57"/>
      <c r="W862" s="57"/>
      <c r="X862" s="57"/>
      <c r="Y862" s="57"/>
      <c r="Z862" s="57"/>
    </row>
    <row r="863" spans="1:26" ht="11.25" customHeight="1" x14ac:dyDescent="0.35">
      <c r="A863" s="57"/>
      <c r="B863" s="57"/>
      <c r="C863" s="57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  <c r="O863" s="57"/>
      <c r="P863" s="57"/>
      <c r="Q863" s="57"/>
      <c r="R863" s="57"/>
      <c r="S863" s="57"/>
      <c r="T863" s="57"/>
      <c r="U863" s="57"/>
      <c r="V863" s="57"/>
      <c r="W863" s="57"/>
      <c r="X863" s="57"/>
      <c r="Y863" s="57"/>
      <c r="Z863" s="57"/>
    </row>
    <row r="864" spans="1:26" ht="11.25" customHeight="1" x14ac:dyDescent="0.35">
      <c r="A864" s="57"/>
      <c r="B864" s="57"/>
      <c r="C864" s="57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  <c r="O864" s="57"/>
      <c r="P864" s="57"/>
      <c r="Q864" s="57"/>
      <c r="R864" s="57"/>
      <c r="S864" s="57"/>
      <c r="T864" s="57"/>
      <c r="U864" s="57"/>
      <c r="V864" s="57"/>
      <c r="W864" s="57"/>
      <c r="X864" s="57"/>
      <c r="Y864" s="57"/>
      <c r="Z864" s="57"/>
    </row>
    <row r="865" spans="1:26" ht="11.25" customHeight="1" x14ac:dyDescent="0.35">
      <c r="A865" s="57"/>
      <c r="B865" s="57"/>
      <c r="C865" s="57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  <c r="O865" s="57"/>
      <c r="P865" s="57"/>
      <c r="Q865" s="57"/>
      <c r="R865" s="57"/>
      <c r="S865" s="57"/>
      <c r="T865" s="57"/>
      <c r="U865" s="57"/>
      <c r="V865" s="57"/>
      <c r="W865" s="57"/>
      <c r="X865" s="57"/>
      <c r="Y865" s="57"/>
      <c r="Z865" s="57"/>
    </row>
    <row r="866" spans="1:26" ht="11.25" customHeight="1" x14ac:dyDescent="0.35">
      <c r="A866" s="57"/>
      <c r="B866" s="57"/>
      <c r="C866" s="57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57"/>
      <c r="X866" s="57"/>
      <c r="Y866" s="57"/>
      <c r="Z866" s="57"/>
    </row>
    <row r="867" spans="1:26" ht="11.25" customHeight="1" x14ac:dyDescent="0.35">
      <c r="A867" s="57"/>
      <c r="B867" s="57"/>
      <c r="C867" s="57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  <c r="O867" s="57"/>
      <c r="P867" s="57"/>
      <c r="Q867" s="57"/>
      <c r="R867" s="57"/>
      <c r="S867" s="57"/>
      <c r="T867" s="57"/>
      <c r="U867" s="57"/>
      <c r="V867" s="57"/>
      <c r="W867" s="57"/>
      <c r="X867" s="57"/>
      <c r="Y867" s="57"/>
      <c r="Z867" s="57"/>
    </row>
    <row r="868" spans="1:26" ht="11.25" customHeight="1" x14ac:dyDescent="0.35">
      <c r="A868" s="57"/>
      <c r="B868" s="57"/>
      <c r="C868" s="57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  <c r="O868" s="57"/>
      <c r="P868" s="57"/>
      <c r="Q868" s="57"/>
      <c r="R868" s="57"/>
      <c r="S868" s="57"/>
      <c r="T868" s="57"/>
      <c r="U868" s="57"/>
      <c r="V868" s="57"/>
      <c r="W868" s="57"/>
      <c r="X868" s="57"/>
      <c r="Y868" s="57"/>
      <c r="Z868" s="57"/>
    </row>
    <row r="869" spans="1:26" ht="11.25" customHeight="1" x14ac:dyDescent="0.35">
      <c r="A869" s="57"/>
      <c r="B869" s="57"/>
      <c r="C869" s="57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  <c r="O869" s="57"/>
      <c r="P869" s="57"/>
      <c r="Q869" s="57"/>
      <c r="R869" s="57"/>
      <c r="S869" s="57"/>
      <c r="T869" s="57"/>
      <c r="U869" s="57"/>
      <c r="V869" s="57"/>
      <c r="W869" s="57"/>
      <c r="X869" s="57"/>
      <c r="Y869" s="57"/>
      <c r="Z869" s="57"/>
    </row>
    <row r="870" spans="1:26" ht="11.25" customHeight="1" x14ac:dyDescent="0.35">
      <c r="A870" s="57"/>
      <c r="B870" s="57"/>
      <c r="C870" s="57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  <c r="O870" s="57"/>
      <c r="P870" s="57"/>
      <c r="Q870" s="57"/>
      <c r="R870" s="57"/>
      <c r="S870" s="57"/>
      <c r="T870" s="57"/>
      <c r="U870" s="57"/>
      <c r="V870" s="57"/>
      <c r="W870" s="57"/>
      <c r="X870" s="57"/>
      <c r="Y870" s="57"/>
      <c r="Z870" s="57"/>
    </row>
    <row r="871" spans="1:26" ht="11.25" customHeight="1" x14ac:dyDescent="0.35">
      <c r="A871" s="57"/>
      <c r="B871" s="57"/>
      <c r="C871" s="57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  <c r="O871" s="57"/>
      <c r="P871" s="57"/>
      <c r="Q871" s="57"/>
      <c r="R871" s="57"/>
      <c r="S871" s="57"/>
      <c r="T871" s="57"/>
      <c r="U871" s="57"/>
      <c r="V871" s="57"/>
      <c r="W871" s="57"/>
      <c r="X871" s="57"/>
      <c r="Y871" s="57"/>
      <c r="Z871" s="57"/>
    </row>
    <row r="872" spans="1:26" ht="11.25" customHeight="1" x14ac:dyDescent="0.35">
      <c r="A872" s="57"/>
      <c r="B872" s="57"/>
      <c r="C872" s="57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  <c r="O872" s="57"/>
      <c r="P872" s="57"/>
      <c r="Q872" s="57"/>
      <c r="R872" s="57"/>
      <c r="S872" s="57"/>
      <c r="T872" s="57"/>
      <c r="U872" s="57"/>
      <c r="V872" s="57"/>
      <c r="W872" s="57"/>
      <c r="X872" s="57"/>
      <c r="Y872" s="57"/>
      <c r="Z872" s="57"/>
    </row>
    <row r="873" spans="1:26" ht="11.25" customHeight="1" x14ac:dyDescent="0.35">
      <c r="A873" s="57"/>
      <c r="B873" s="57"/>
      <c r="C873" s="57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  <c r="O873" s="57"/>
      <c r="P873" s="57"/>
      <c r="Q873" s="57"/>
      <c r="R873" s="57"/>
      <c r="S873" s="57"/>
      <c r="T873" s="57"/>
      <c r="U873" s="57"/>
      <c r="V873" s="57"/>
      <c r="W873" s="57"/>
      <c r="X873" s="57"/>
      <c r="Y873" s="57"/>
      <c r="Z873" s="57"/>
    </row>
    <row r="874" spans="1:26" ht="11.25" customHeight="1" x14ac:dyDescent="0.35">
      <c r="A874" s="57"/>
      <c r="B874" s="57"/>
      <c r="C874" s="57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  <c r="O874" s="57"/>
      <c r="P874" s="57"/>
      <c r="Q874" s="57"/>
      <c r="R874" s="57"/>
      <c r="S874" s="57"/>
      <c r="T874" s="57"/>
      <c r="U874" s="57"/>
      <c r="V874" s="57"/>
      <c r="W874" s="57"/>
      <c r="X874" s="57"/>
      <c r="Y874" s="57"/>
      <c r="Z874" s="57"/>
    </row>
    <row r="875" spans="1:26" ht="11.25" customHeight="1" x14ac:dyDescent="0.35">
      <c r="A875" s="57"/>
      <c r="B875" s="57"/>
      <c r="C875" s="57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  <c r="O875" s="57"/>
      <c r="P875" s="57"/>
      <c r="Q875" s="57"/>
      <c r="R875" s="57"/>
      <c r="S875" s="57"/>
      <c r="T875" s="57"/>
      <c r="U875" s="57"/>
      <c r="V875" s="57"/>
      <c r="W875" s="57"/>
      <c r="X875" s="57"/>
      <c r="Y875" s="57"/>
      <c r="Z875" s="57"/>
    </row>
    <row r="876" spans="1:26" ht="11.25" customHeight="1" x14ac:dyDescent="0.35">
      <c r="A876" s="57"/>
      <c r="B876" s="57"/>
      <c r="C876" s="57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  <c r="O876" s="57"/>
      <c r="P876" s="57"/>
      <c r="Q876" s="57"/>
      <c r="R876" s="57"/>
      <c r="S876" s="57"/>
      <c r="T876" s="57"/>
      <c r="U876" s="57"/>
      <c r="V876" s="57"/>
      <c r="W876" s="57"/>
      <c r="X876" s="57"/>
      <c r="Y876" s="57"/>
      <c r="Z876" s="57"/>
    </row>
    <row r="877" spans="1:26" ht="11.25" customHeight="1" x14ac:dyDescent="0.35">
      <c r="A877" s="57"/>
      <c r="B877" s="57"/>
      <c r="C877" s="57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  <c r="O877" s="57"/>
      <c r="P877" s="57"/>
      <c r="Q877" s="57"/>
      <c r="R877" s="57"/>
      <c r="S877" s="57"/>
      <c r="T877" s="57"/>
      <c r="U877" s="57"/>
      <c r="V877" s="57"/>
      <c r="W877" s="57"/>
      <c r="X877" s="57"/>
      <c r="Y877" s="57"/>
      <c r="Z877" s="57"/>
    </row>
    <row r="878" spans="1:26" ht="11.25" customHeight="1" x14ac:dyDescent="0.35">
      <c r="A878" s="57"/>
      <c r="B878" s="57"/>
      <c r="C878" s="57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  <c r="O878" s="57"/>
      <c r="P878" s="57"/>
      <c r="Q878" s="57"/>
      <c r="R878" s="57"/>
      <c r="S878" s="57"/>
      <c r="T878" s="57"/>
      <c r="U878" s="57"/>
      <c r="V878" s="57"/>
      <c r="W878" s="57"/>
      <c r="X878" s="57"/>
      <c r="Y878" s="57"/>
      <c r="Z878" s="57"/>
    </row>
    <row r="879" spans="1:26" ht="11.25" customHeight="1" x14ac:dyDescent="0.35">
      <c r="A879" s="57"/>
      <c r="B879" s="57"/>
      <c r="C879" s="57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  <c r="O879" s="57"/>
      <c r="P879" s="57"/>
      <c r="Q879" s="57"/>
      <c r="R879" s="57"/>
      <c r="S879" s="57"/>
      <c r="T879" s="57"/>
      <c r="U879" s="57"/>
      <c r="V879" s="57"/>
      <c r="W879" s="57"/>
      <c r="X879" s="57"/>
      <c r="Y879" s="57"/>
      <c r="Z879" s="57"/>
    </row>
    <row r="880" spans="1:26" ht="11.25" customHeight="1" x14ac:dyDescent="0.35">
      <c r="A880" s="57"/>
      <c r="B880" s="57"/>
      <c r="C880" s="57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  <c r="O880" s="57"/>
      <c r="P880" s="57"/>
      <c r="Q880" s="57"/>
      <c r="R880" s="57"/>
      <c r="S880" s="57"/>
      <c r="T880" s="57"/>
      <c r="U880" s="57"/>
      <c r="V880" s="57"/>
      <c r="W880" s="57"/>
      <c r="X880" s="57"/>
      <c r="Y880" s="57"/>
      <c r="Z880" s="57"/>
    </row>
    <row r="881" spans="1:26" ht="11.25" customHeight="1" x14ac:dyDescent="0.35">
      <c r="A881" s="57"/>
      <c r="B881" s="57"/>
      <c r="C881" s="57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  <c r="O881" s="57"/>
      <c r="P881" s="57"/>
      <c r="Q881" s="57"/>
      <c r="R881" s="57"/>
      <c r="S881" s="57"/>
      <c r="T881" s="57"/>
      <c r="U881" s="57"/>
      <c r="V881" s="57"/>
      <c r="W881" s="57"/>
      <c r="X881" s="57"/>
      <c r="Y881" s="57"/>
      <c r="Z881" s="57"/>
    </row>
    <row r="882" spans="1:26" ht="11.25" customHeight="1" x14ac:dyDescent="0.35">
      <c r="A882" s="57"/>
      <c r="B882" s="57"/>
      <c r="C882" s="57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  <c r="O882" s="57"/>
      <c r="P882" s="57"/>
      <c r="Q882" s="57"/>
      <c r="R882" s="57"/>
      <c r="S882" s="57"/>
      <c r="T882" s="57"/>
      <c r="U882" s="57"/>
      <c r="V882" s="57"/>
      <c r="W882" s="57"/>
      <c r="X882" s="57"/>
      <c r="Y882" s="57"/>
      <c r="Z882" s="57"/>
    </row>
    <row r="883" spans="1:26" ht="11.25" customHeight="1" x14ac:dyDescent="0.35">
      <c r="A883" s="57"/>
      <c r="B883" s="57"/>
      <c r="C883" s="57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  <c r="O883" s="57"/>
      <c r="P883" s="57"/>
      <c r="Q883" s="57"/>
      <c r="R883" s="57"/>
      <c r="S883" s="57"/>
      <c r="T883" s="57"/>
      <c r="U883" s="57"/>
      <c r="V883" s="57"/>
      <c r="W883" s="57"/>
      <c r="X883" s="57"/>
      <c r="Y883" s="57"/>
      <c r="Z883" s="57"/>
    </row>
    <row r="884" spans="1:26" ht="11.25" customHeight="1" x14ac:dyDescent="0.35">
      <c r="A884" s="57"/>
      <c r="B884" s="57"/>
      <c r="C884" s="57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  <c r="O884" s="57"/>
      <c r="P884" s="57"/>
      <c r="Q884" s="57"/>
      <c r="R884" s="57"/>
      <c r="S884" s="57"/>
      <c r="T884" s="57"/>
      <c r="U884" s="57"/>
      <c r="V884" s="57"/>
      <c r="W884" s="57"/>
      <c r="X884" s="57"/>
      <c r="Y884" s="57"/>
      <c r="Z884" s="57"/>
    </row>
    <row r="885" spans="1:26" ht="11.25" customHeight="1" x14ac:dyDescent="0.35">
      <c r="A885" s="57"/>
      <c r="B885" s="57"/>
      <c r="C885" s="57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  <c r="O885" s="57"/>
      <c r="P885" s="57"/>
      <c r="Q885" s="57"/>
      <c r="R885" s="57"/>
      <c r="S885" s="57"/>
      <c r="T885" s="57"/>
      <c r="U885" s="57"/>
      <c r="V885" s="57"/>
      <c r="W885" s="57"/>
      <c r="X885" s="57"/>
      <c r="Y885" s="57"/>
      <c r="Z885" s="57"/>
    </row>
    <row r="886" spans="1:26" ht="11.25" customHeight="1" x14ac:dyDescent="0.35">
      <c r="A886" s="57"/>
      <c r="B886" s="57"/>
      <c r="C886" s="57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  <c r="O886" s="57"/>
      <c r="P886" s="57"/>
      <c r="Q886" s="57"/>
      <c r="R886" s="57"/>
      <c r="S886" s="57"/>
      <c r="T886" s="57"/>
      <c r="U886" s="57"/>
      <c r="V886" s="57"/>
      <c r="W886" s="57"/>
      <c r="X886" s="57"/>
      <c r="Y886" s="57"/>
      <c r="Z886" s="57"/>
    </row>
    <row r="887" spans="1:26" ht="11.25" customHeight="1" x14ac:dyDescent="0.35">
      <c r="A887" s="57"/>
      <c r="B887" s="57"/>
      <c r="C887" s="57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  <c r="O887" s="57"/>
      <c r="P887" s="57"/>
      <c r="Q887" s="57"/>
      <c r="R887" s="57"/>
      <c r="S887" s="57"/>
      <c r="T887" s="57"/>
      <c r="U887" s="57"/>
      <c r="V887" s="57"/>
      <c r="W887" s="57"/>
      <c r="X887" s="57"/>
      <c r="Y887" s="57"/>
      <c r="Z887" s="57"/>
    </row>
    <row r="888" spans="1:26" ht="11.25" customHeight="1" x14ac:dyDescent="0.35">
      <c r="A888" s="57"/>
      <c r="B888" s="57"/>
      <c r="C888" s="57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  <c r="O888" s="57"/>
      <c r="P888" s="57"/>
      <c r="Q888" s="57"/>
      <c r="R888" s="57"/>
      <c r="S888" s="57"/>
      <c r="T888" s="57"/>
      <c r="U888" s="57"/>
      <c r="V888" s="57"/>
      <c r="W888" s="57"/>
      <c r="X888" s="57"/>
      <c r="Y888" s="57"/>
      <c r="Z888" s="57"/>
    </row>
    <row r="889" spans="1:26" ht="11.25" customHeight="1" x14ac:dyDescent="0.35">
      <c r="A889" s="57"/>
      <c r="B889" s="57"/>
      <c r="C889" s="57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  <c r="O889" s="57"/>
      <c r="P889" s="57"/>
      <c r="Q889" s="57"/>
      <c r="R889" s="57"/>
      <c r="S889" s="57"/>
      <c r="T889" s="57"/>
      <c r="U889" s="57"/>
      <c r="V889" s="57"/>
      <c r="W889" s="57"/>
      <c r="X889" s="57"/>
      <c r="Y889" s="57"/>
      <c r="Z889" s="57"/>
    </row>
    <row r="890" spans="1:26" ht="11.25" customHeight="1" x14ac:dyDescent="0.35">
      <c r="A890" s="57"/>
      <c r="B890" s="57"/>
      <c r="C890" s="57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  <c r="O890" s="57"/>
      <c r="P890" s="57"/>
      <c r="Q890" s="57"/>
      <c r="R890" s="57"/>
      <c r="S890" s="57"/>
      <c r="T890" s="57"/>
      <c r="U890" s="57"/>
      <c r="V890" s="57"/>
      <c r="W890" s="57"/>
      <c r="X890" s="57"/>
      <c r="Y890" s="57"/>
      <c r="Z890" s="57"/>
    </row>
    <row r="891" spans="1:26" ht="11.25" customHeight="1" x14ac:dyDescent="0.35">
      <c r="A891" s="57"/>
      <c r="B891" s="57"/>
      <c r="C891" s="57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  <c r="O891" s="57"/>
      <c r="P891" s="57"/>
      <c r="Q891" s="57"/>
      <c r="R891" s="57"/>
      <c r="S891" s="57"/>
      <c r="T891" s="57"/>
      <c r="U891" s="57"/>
      <c r="V891" s="57"/>
      <c r="W891" s="57"/>
      <c r="X891" s="57"/>
      <c r="Y891" s="57"/>
      <c r="Z891" s="57"/>
    </row>
    <row r="892" spans="1:26" ht="11.25" customHeight="1" x14ac:dyDescent="0.35">
      <c r="A892" s="57"/>
      <c r="B892" s="57"/>
      <c r="C892" s="57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  <c r="O892" s="57"/>
      <c r="P892" s="57"/>
      <c r="Q892" s="57"/>
      <c r="R892" s="57"/>
      <c r="S892" s="57"/>
      <c r="T892" s="57"/>
      <c r="U892" s="57"/>
      <c r="V892" s="57"/>
      <c r="W892" s="57"/>
      <c r="X892" s="57"/>
      <c r="Y892" s="57"/>
      <c r="Z892" s="57"/>
    </row>
    <row r="893" spans="1:26" ht="11.25" customHeight="1" x14ac:dyDescent="0.35">
      <c r="A893" s="57"/>
      <c r="B893" s="57"/>
      <c r="C893" s="57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  <c r="O893" s="57"/>
      <c r="P893" s="57"/>
      <c r="Q893" s="57"/>
      <c r="R893" s="57"/>
      <c r="S893" s="57"/>
      <c r="T893" s="57"/>
      <c r="U893" s="57"/>
      <c r="V893" s="57"/>
      <c r="W893" s="57"/>
      <c r="X893" s="57"/>
      <c r="Y893" s="57"/>
      <c r="Z893" s="57"/>
    </row>
    <row r="894" spans="1:26" ht="11.25" customHeight="1" x14ac:dyDescent="0.35">
      <c r="A894" s="57"/>
      <c r="B894" s="57"/>
      <c r="C894" s="57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  <c r="O894" s="57"/>
      <c r="P894" s="57"/>
      <c r="Q894" s="57"/>
      <c r="R894" s="57"/>
      <c r="S894" s="57"/>
      <c r="T894" s="57"/>
      <c r="U894" s="57"/>
      <c r="V894" s="57"/>
      <c r="W894" s="57"/>
      <c r="X894" s="57"/>
      <c r="Y894" s="57"/>
      <c r="Z894" s="57"/>
    </row>
    <row r="895" spans="1:26" ht="11.25" customHeight="1" x14ac:dyDescent="0.35">
      <c r="A895" s="57"/>
      <c r="B895" s="57"/>
      <c r="C895" s="57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  <c r="O895" s="57"/>
      <c r="P895" s="57"/>
      <c r="Q895" s="57"/>
      <c r="R895" s="57"/>
      <c r="S895" s="57"/>
      <c r="T895" s="57"/>
      <c r="U895" s="57"/>
      <c r="V895" s="57"/>
      <c r="W895" s="57"/>
      <c r="X895" s="57"/>
      <c r="Y895" s="57"/>
      <c r="Z895" s="57"/>
    </row>
    <row r="896" spans="1:26" ht="11.25" customHeight="1" x14ac:dyDescent="0.35">
      <c r="A896" s="57"/>
      <c r="B896" s="57"/>
      <c r="C896" s="57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  <c r="O896" s="57"/>
      <c r="P896" s="57"/>
      <c r="Q896" s="57"/>
      <c r="R896" s="57"/>
      <c r="S896" s="57"/>
      <c r="T896" s="57"/>
      <c r="U896" s="57"/>
      <c r="V896" s="57"/>
      <c r="W896" s="57"/>
      <c r="X896" s="57"/>
      <c r="Y896" s="57"/>
      <c r="Z896" s="57"/>
    </row>
    <row r="897" spans="1:26" ht="11.25" customHeight="1" x14ac:dyDescent="0.35">
      <c r="A897" s="57"/>
      <c r="B897" s="57"/>
      <c r="C897" s="57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  <c r="O897" s="57"/>
      <c r="P897" s="57"/>
      <c r="Q897" s="57"/>
      <c r="R897" s="57"/>
      <c r="S897" s="57"/>
      <c r="T897" s="57"/>
      <c r="U897" s="57"/>
      <c r="V897" s="57"/>
      <c r="W897" s="57"/>
      <c r="X897" s="57"/>
      <c r="Y897" s="57"/>
      <c r="Z897" s="57"/>
    </row>
    <row r="898" spans="1:26" ht="11.25" customHeight="1" x14ac:dyDescent="0.35">
      <c r="A898" s="57"/>
      <c r="B898" s="57"/>
      <c r="C898" s="57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  <c r="O898" s="57"/>
      <c r="P898" s="57"/>
      <c r="Q898" s="57"/>
      <c r="R898" s="57"/>
      <c r="S898" s="57"/>
      <c r="T898" s="57"/>
      <c r="U898" s="57"/>
      <c r="V898" s="57"/>
      <c r="W898" s="57"/>
      <c r="X898" s="57"/>
      <c r="Y898" s="57"/>
      <c r="Z898" s="57"/>
    </row>
    <row r="899" spans="1:26" ht="11.25" customHeight="1" x14ac:dyDescent="0.35">
      <c r="A899" s="57"/>
      <c r="B899" s="57"/>
      <c r="C899" s="57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  <c r="O899" s="57"/>
      <c r="P899" s="57"/>
      <c r="Q899" s="57"/>
      <c r="R899" s="57"/>
      <c r="S899" s="57"/>
      <c r="T899" s="57"/>
      <c r="U899" s="57"/>
      <c r="V899" s="57"/>
      <c r="W899" s="57"/>
      <c r="X899" s="57"/>
      <c r="Y899" s="57"/>
      <c r="Z899" s="57"/>
    </row>
    <row r="900" spans="1:26" ht="11.25" customHeight="1" x14ac:dyDescent="0.35">
      <c r="A900" s="57"/>
      <c r="B900" s="57"/>
      <c r="C900" s="57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  <c r="O900" s="57"/>
      <c r="P900" s="57"/>
      <c r="Q900" s="57"/>
      <c r="R900" s="57"/>
      <c r="S900" s="57"/>
      <c r="T900" s="57"/>
      <c r="U900" s="57"/>
      <c r="V900" s="57"/>
      <c r="W900" s="57"/>
      <c r="X900" s="57"/>
      <c r="Y900" s="57"/>
      <c r="Z900" s="57"/>
    </row>
    <row r="901" spans="1:26" ht="11.25" customHeight="1" x14ac:dyDescent="0.35">
      <c r="A901" s="57"/>
      <c r="B901" s="57"/>
      <c r="C901" s="57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  <c r="O901" s="57"/>
      <c r="P901" s="57"/>
      <c r="Q901" s="57"/>
      <c r="R901" s="57"/>
      <c r="S901" s="57"/>
      <c r="T901" s="57"/>
      <c r="U901" s="57"/>
      <c r="V901" s="57"/>
      <c r="W901" s="57"/>
      <c r="X901" s="57"/>
      <c r="Y901" s="57"/>
      <c r="Z901" s="57"/>
    </row>
    <row r="902" spans="1:26" ht="11.25" customHeight="1" x14ac:dyDescent="0.35">
      <c r="A902" s="57"/>
      <c r="B902" s="57"/>
      <c r="C902" s="57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  <c r="O902" s="57"/>
      <c r="P902" s="57"/>
      <c r="Q902" s="57"/>
      <c r="R902" s="57"/>
      <c r="S902" s="57"/>
      <c r="T902" s="57"/>
      <c r="U902" s="57"/>
      <c r="V902" s="57"/>
      <c r="W902" s="57"/>
      <c r="X902" s="57"/>
      <c r="Y902" s="57"/>
      <c r="Z902" s="57"/>
    </row>
    <row r="903" spans="1:26" ht="11.25" customHeight="1" x14ac:dyDescent="0.35">
      <c r="A903" s="57"/>
      <c r="B903" s="57"/>
      <c r="C903" s="57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  <c r="O903" s="57"/>
      <c r="P903" s="57"/>
      <c r="Q903" s="57"/>
      <c r="R903" s="57"/>
      <c r="S903" s="57"/>
      <c r="T903" s="57"/>
      <c r="U903" s="57"/>
      <c r="V903" s="57"/>
      <c r="W903" s="57"/>
      <c r="X903" s="57"/>
      <c r="Y903" s="57"/>
      <c r="Z903" s="57"/>
    </row>
    <row r="904" spans="1:26" ht="11.25" customHeight="1" x14ac:dyDescent="0.35">
      <c r="A904" s="57"/>
      <c r="B904" s="57"/>
      <c r="C904" s="57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  <c r="O904" s="57"/>
      <c r="P904" s="57"/>
      <c r="Q904" s="57"/>
      <c r="R904" s="57"/>
      <c r="S904" s="57"/>
      <c r="T904" s="57"/>
      <c r="U904" s="57"/>
      <c r="V904" s="57"/>
      <c r="W904" s="57"/>
      <c r="X904" s="57"/>
      <c r="Y904" s="57"/>
      <c r="Z904" s="57"/>
    </row>
    <row r="905" spans="1:26" ht="11.25" customHeight="1" x14ac:dyDescent="0.35">
      <c r="A905" s="57"/>
      <c r="B905" s="57"/>
      <c r="C905" s="57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  <c r="O905" s="57"/>
      <c r="P905" s="57"/>
      <c r="Q905" s="57"/>
      <c r="R905" s="57"/>
      <c r="S905" s="57"/>
      <c r="T905" s="57"/>
      <c r="U905" s="57"/>
      <c r="V905" s="57"/>
      <c r="W905" s="57"/>
      <c r="X905" s="57"/>
      <c r="Y905" s="57"/>
      <c r="Z905" s="57"/>
    </row>
    <row r="906" spans="1:26" ht="11.25" customHeight="1" x14ac:dyDescent="0.35">
      <c r="A906" s="57"/>
      <c r="B906" s="57"/>
      <c r="C906" s="57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  <c r="O906" s="57"/>
      <c r="P906" s="57"/>
      <c r="Q906" s="57"/>
      <c r="R906" s="57"/>
      <c r="S906" s="57"/>
      <c r="T906" s="57"/>
      <c r="U906" s="57"/>
      <c r="V906" s="57"/>
      <c r="W906" s="57"/>
      <c r="X906" s="57"/>
      <c r="Y906" s="57"/>
      <c r="Z906" s="57"/>
    </row>
    <row r="907" spans="1:26" ht="11.25" customHeight="1" x14ac:dyDescent="0.35">
      <c r="A907" s="57"/>
      <c r="B907" s="57"/>
      <c r="C907" s="57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  <c r="O907" s="57"/>
      <c r="P907" s="57"/>
      <c r="Q907" s="57"/>
      <c r="R907" s="57"/>
      <c r="S907" s="57"/>
      <c r="T907" s="57"/>
      <c r="U907" s="57"/>
      <c r="V907" s="57"/>
      <c r="W907" s="57"/>
      <c r="X907" s="57"/>
      <c r="Y907" s="57"/>
      <c r="Z907" s="57"/>
    </row>
    <row r="908" spans="1:26" ht="11.25" customHeight="1" x14ac:dyDescent="0.35">
      <c r="A908" s="57"/>
      <c r="B908" s="57"/>
      <c r="C908" s="57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  <c r="O908" s="57"/>
      <c r="P908" s="57"/>
      <c r="Q908" s="57"/>
      <c r="R908" s="57"/>
      <c r="S908" s="57"/>
      <c r="T908" s="57"/>
      <c r="U908" s="57"/>
      <c r="V908" s="57"/>
      <c r="W908" s="57"/>
      <c r="X908" s="57"/>
      <c r="Y908" s="57"/>
      <c r="Z908" s="57"/>
    </row>
    <row r="909" spans="1:26" ht="11.25" customHeight="1" x14ac:dyDescent="0.35">
      <c r="A909" s="57"/>
      <c r="B909" s="57"/>
      <c r="C909" s="57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  <c r="O909" s="57"/>
      <c r="P909" s="57"/>
      <c r="Q909" s="57"/>
      <c r="R909" s="57"/>
      <c r="S909" s="57"/>
      <c r="T909" s="57"/>
      <c r="U909" s="57"/>
      <c r="V909" s="57"/>
      <c r="W909" s="57"/>
      <c r="X909" s="57"/>
      <c r="Y909" s="57"/>
      <c r="Z909" s="57"/>
    </row>
    <row r="910" spans="1:26" ht="11.25" customHeight="1" x14ac:dyDescent="0.35">
      <c r="A910" s="57"/>
      <c r="B910" s="57"/>
      <c r="C910" s="57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  <c r="O910" s="57"/>
      <c r="P910" s="57"/>
      <c r="Q910" s="57"/>
      <c r="R910" s="57"/>
      <c r="S910" s="57"/>
      <c r="T910" s="57"/>
      <c r="U910" s="57"/>
      <c r="V910" s="57"/>
      <c r="W910" s="57"/>
      <c r="X910" s="57"/>
      <c r="Y910" s="57"/>
      <c r="Z910" s="57"/>
    </row>
    <row r="911" spans="1:26" ht="11.25" customHeight="1" x14ac:dyDescent="0.35">
      <c r="A911" s="57"/>
      <c r="B911" s="57"/>
      <c r="C911" s="57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  <c r="O911" s="57"/>
      <c r="P911" s="57"/>
      <c r="Q911" s="57"/>
      <c r="R911" s="57"/>
      <c r="S911" s="57"/>
      <c r="T911" s="57"/>
      <c r="U911" s="57"/>
      <c r="V911" s="57"/>
      <c r="W911" s="57"/>
      <c r="X911" s="57"/>
      <c r="Y911" s="57"/>
      <c r="Z911" s="57"/>
    </row>
    <row r="912" spans="1:26" ht="11.25" customHeight="1" x14ac:dyDescent="0.35">
      <c r="A912" s="57"/>
      <c r="B912" s="57"/>
      <c r="C912" s="57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  <c r="O912" s="57"/>
      <c r="P912" s="57"/>
      <c r="Q912" s="57"/>
      <c r="R912" s="57"/>
      <c r="S912" s="57"/>
      <c r="T912" s="57"/>
      <c r="U912" s="57"/>
      <c r="V912" s="57"/>
      <c r="W912" s="57"/>
      <c r="X912" s="57"/>
      <c r="Y912" s="57"/>
      <c r="Z912" s="57"/>
    </row>
    <row r="913" spans="1:26" ht="11.25" customHeight="1" x14ac:dyDescent="0.35">
      <c r="A913" s="57"/>
      <c r="B913" s="57"/>
      <c r="C913" s="57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  <c r="O913" s="57"/>
      <c r="P913" s="57"/>
      <c r="Q913" s="57"/>
      <c r="R913" s="57"/>
      <c r="S913" s="57"/>
      <c r="T913" s="57"/>
      <c r="U913" s="57"/>
      <c r="V913" s="57"/>
      <c r="W913" s="57"/>
      <c r="X913" s="57"/>
      <c r="Y913" s="57"/>
      <c r="Z913" s="57"/>
    </row>
    <row r="914" spans="1:26" ht="11.25" customHeight="1" x14ac:dyDescent="0.35">
      <c r="A914" s="57"/>
      <c r="B914" s="57"/>
      <c r="C914" s="57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  <c r="O914" s="57"/>
      <c r="P914" s="57"/>
      <c r="Q914" s="57"/>
      <c r="R914" s="57"/>
      <c r="S914" s="57"/>
      <c r="T914" s="57"/>
      <c r="U914" s="57"/>
      <c r="V914" s="57"/>
      <c r="W914" s="57"/>
      <c r="X914" s="57"/>
      <c r="Y914" s="57"/>
      <c r="Z914" s="57"/>
    </row>
    <row r="915" spans="1:26" ht="11.25" customHeight="1" x14ac:dyDescent="0.35">
      <c r="A915" s="57"/>
      <c r="B915" s="57"/>
      <c r="C915" s="57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  <c r="O915" s="57"/>
      <c r="P915" s="57"/>
      <c r="Q915" s="57"/>
      <c r="R915" s="57"/>
      <c r="S915" s="57"/>
      <c r="T915" s="57"/>
      <c r="U915" s="57"/>
      <c r="V915" s="57"/>
      <c r="W915" s="57"/>
      <c r="X915" s="57"/>
      <c r="Y915" s="57"/>
      <c r="Z915" s="57"/>
    </row>
    <row r="916" spans="1:26" ht="11.25" customHeight="1" x14ac:dyDescent="0.35">
      <c r="A916" s="57"/>
      <c r="B916" s="57"/>
      <c r="C916" s="57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  <c r="O916" s="57"/>
      <c r="P916" s="57"/>
      <c r="Q916" s="57"/>
      <c r="R916" s="57"/>
      <c r="S916" s="57"/>
      <c r="T916" s="57"/>
      <c r="U916" s="57"/>
      <c r="V916" s="57"/>
      <c r="W916" s="57"/>
      <c r="X916" s="57"/>
      <c r="Y916" s="57"/>
      <c r="Z916" s="57"/>
    </row>
    <row r="917" spans="1:26" ht="11.25" customHeight="1" x14ac:dyDescent="0.35">
      <c r="A917" s="57"/>
      <c r="B917" s="57"/>
      <c r="C917" s="57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  <c r="O917" s="57"/>
      <c r="P917" s="57"/>
      <c r="Q917" s="57"/>
      <c r="R917" s="57"/>
      <c r="S917" s="57"/>
      <c r="T917" s="57"/>
      <c r="U917" s="57"/>
      <c r="V917" s="57"/>
      <c r="W917" s="57"/>
      <c r="X917" s="57"/>
      <c r="Y917" s="57"/>
      <c r="Z917" s="57"/>
    </row>
    <row r="918" spans="1:26" ht="11.25" customHeight="1" x14ac:dyDescent="0.35">
      <c r="A918" s="57"/>
      <c r="B918" s="57"/>
      <c r="C918" s="57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  <c r="O918" s="57"/>
      <c r="P918" s="57"/>
      <c r="Q918" s="57"/>
      <c r="R918" s="57"/>
      <c r="S918" s="57"/>
      <c r="T918" s="57"/>
      <c r="U918" s="57"/>
      <c r="V918" s="57"/>
      <c r="W918" s="57"/>
      <c r="X918" s="57"/>
      <c r="Y918" s="57"/>
      <c r="Z918" s="57"/>
    </row>
    <row r="919" spans="1:26" ht="11.25" customHeight="1" x14ac:dyDescent="0.35">
      <c r="A919" s="57"/>
      <c r="B919" s="57"/>
      <c r="C919" s="57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  <c r="O919" s="57"/>
      <c r="P919" s="57"/>
      <c r="Q919" s="57"/>
      <c r="R919" s="57"/>
      <c r="S919" s="57"/>
      <c r="T919" s="57"/>
      <c r="U919" s="57"/>
      <c r="V919" s="57"/>
      <c r="W919" s="57"/>
      <c r="X919" s="57"/>
      <c r="Y919" s="57"/>
      <c r="Z919" s="57"/>
    </row>
    <row r="920" spans="1:26" ht="11.25" customHeight="1" x14ac:dyDescent="0.35">
      <c r="A920" s="57"/>
      <c r="B920" s="57"/>
      <c r="C920" s="57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  <c r="O920" s="57"/>
      <c r="P920" s="57"/>
      <c r="Q920" s="57"/>
      <c r="R920" s="57"/>
      <c r="S920" s="57"/>
      <c r="T920" s="57"/>
      <c r="U920" s="57"/>
      <c r="V920" s="57"/>
      <c r="W920" s="57"/>
      <c r="X920" s="57"/>
      <c r="Y920" s="57"/>
      <c r="Z920" s="57"/>
    </row>
    <row r="921" spans="1:26" ht="11.25" customHeight="1" x14ac:dyDescent="0.35">
      <c r="A921" s="57"/>
      <c r="B921" s="57"/>
      <c r="C921" s="57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  <c r="O921" s="57"/>
      <c r="P921" s="57"/>
      <c r="Q921" s="57"/>
      <c r="R921" s="57"/>
      <c r="S921" s="57"/>
      <c r="T921" s="57"/>
      <c r="U921" s="57"/>
      <c r="V921" s="57"/>
      <c r="W921" s="57"/>
      <c r="X921" s="57"/>
      <c r="Y921" s="57"/>
      <c r="Z921" s="57"/>
    </row>
    <row r="922" spans="1:26" ht="11.25" customHeight="1" x14ac:dyDescent="0.35">
      <c r="A922" s="57"/>
      <c r="B922" s="57"/>
      <c r="C922" s="57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  <c r="O922" s="57"/>
      <c r="P922" s="57"/>
      <c r="Q922" s="57"/>
      <c r="R922" s="57"/>
      <c r="S922" s="57"/>
      <c r="T922" s="57"/>
      <c r="U922" s="57"/>
      <c r="V922" s="57"/>
      <c r="W922" s="57"/>
      <c r="X922" s="57"/>
      <c r="Y922" s="57"/>
      <c r="Z922" s="57"/>
    </row>
    <row r="923" spans="1:26" ht="11.25" customHeight="1" x14ac:dyDescent="0.35">
      <c r="A923" s="57"/>
      <c r="B923" s="57"/>
      <c r="C923" s="57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  <c r="O923" s="57"/>
      <c r="P923" s="57"/>
      <c r="Q923" s="57"/>
      <c r="R923" s="57"/>
      <c r="S923" s="57"/>
      <c r="T923" s="57"/>
      <c r="U923" s="57"/>
      <c r="V923" s="57"/>
      <c r="W923" s="57"/>
      <c r="X923" s="57"/>
      <c r="Y923" s="57"/>
      <c r="Z923" s="57"/>
    </row>
    <row r="924" spans="1:26" ht="11.25" customHeight="1" x14ac:dyDescent="0.35">
      <c r="A924" s="57"/>
      <c r="B924" s="57"/>
      <c r="C924" s="57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  <c r="O924" s="57"/>
      <c r="P924" s="57"/>
      <c r="Q924" s="57"/>
      <c r="R924" s="57"/>
      <c r="S924" s="57"/>
      <c r="T924" s="57"/>
      <c r="U924" s="57"/>
      <c r="V924" s="57"/>
      <c r="W924" s="57"/>
      <c r="X924" s="57"/>
      <c r="Y924" s="57"/>
      <c r="Z924" s="57"/>
    </row>
    <row r="925" spans="1:26" ht="11.25" customHeight="1" x14ac:dyDescent="0.35">
      <c r="A925" s="57"/>
      <c r="B925" s="57"/>
      <c r="C925" s="57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</row>
    <row r="926" spans="1:26" ht="11.25" customHeight="1" x14ac:dyDescent="0.35">
      <c r="A926" s="57"/>
      <c r="B926" s="57"/>
      <c r="C926" s="57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  <c r="O926" s="57"/>
      <c r="P926" s="57"/>
      <c r="Q926" s="57"/>
      <c r="R926" s="57"/>
      <c r="S926" s="57"/>
      <c r="T926" s="57"/>
      <c r="U926" s="57"/>
      <c r="V926" s="57"/>
      <c r="W926" s="57"/>
      <c r="X926" s="57"/>
      <c r="Y926" s="57"/>
      <c r="Z926" s="57"/>
    </row>
    <row r="927" spans="1:26" ht="11.25" customHeight="1" x14ac:dyDescent="0.35">
      <c r="A927" s="57"/>
      <c r="B927" s="57"/>
      <c r="C927" s="57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  <c r="O927" s="57"/>
      <c r="P927" s="57"/>
      <c r="Q927" s="57"/>
      <c r="R927" s="57"/>
      <c r="S927" s="57"/>
      <c r="T927" s="57"/>
      <c r="U927" s="57"/>
      <c r="V927" s="57"/>
      <c r="W927" s="57"/>
      <c r="X927" s="57"/>
      <c r="Y927" s="57"/>
      <c r="Z927" s="57"/>
    </row>
    <row r="928" spans="1:26" ht="11.25" customHeight="1" x14ac:dyDescent="0.35">
      <c r="A928" s="57"/>
      <c r="B928" s="57"/>
      <c r="C928" s="57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  <c r="O928" s="57"/>
      <c r="P928" s="57"/>
      <c r="Q928" s="57"/>
      <c r="R928" s="57"/>
      <c r="S928" s="57"/>
      <c r="T928" s="57"/>
      <c r="U928" s="57"/>
      <c r="V928" s="57"/>
      <c r="W928" s="57"/>
      <c r="X928" s="57"/>
      <c r="Y928" s="57"/>
      <c r="Z928" s="57"/>
    </row>
    <row r="929" spans="1:26" ht="11.25" customHeight="1" x14ac:dyDescent="0.35">
      <c r="A929" s="57"/>
      <c r="B929" s="57"/>
      <c r="C929" s="57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  <c r="O929" s="57"/>
      <c r="P929" s="57"/>
      <c r="Q929" s="57"/>
      <c r="R929" s="57"/>
      <c r="S929" s="57"/>
      <c r="T929" s="57"/>
      <c r="U929" s="57"/>
      <c r="V929" s="57"/>
      <c r="W929" s="57"/>
      <c r="X929" s="57"/>
      <c r="Y929" s="57"/>
      <c r="Z929" s="57"/>
    </row>
    <row r="930" spans="1:26" ht="11.25" customHeight="1" x14ac:dyDescent="0.35">
      <c r="A930" s="57"/>
      <c r="B930" s="57"/>
      <c r="C930" s="57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  <c r="O930" s="57"/>
      <c r="P930" s="57"/>
      <c r="Q930" s="57"/>
      <c r="R930" s="57"/>
      <c r="S930" s="57"/>
      <c r="T930" s="57"/>
      <c r="U930" s="57"/>
      <c r="V930" s="57"/>
      <c r="W930" s="57"/>
      <c r="X930" s="57"/>
      <c r="Y930" s="57"/>
      <c r="Z930" s="57"/>
    </row>
    <row r="931" spans="1:26" ht="11.25" customHeight="1" x14ac:dyDescent="0.35">
      <c r="A931" s="57"/>
      <c r="B931" s="57"/>
      <c r="C931" s="57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  <c r="O931" s="57"/>
      <c r="P931" s="57"/>
      <c r="Q931" s="57"/>
      <c r="R931" s="57"/>
      <c r="S931" s="57"/>
      <c r="T931" s="57"/>
      <c r="U931" s="57"/>
      <c r="V931" s="57"/>
      <c r="W931" s="57"/>
      <c r="X931" s="57"/>
      <c r="Y931" s="57"/>
      <c r="Z931" s="57"/>
    </row>
    <row r="932" spans="1:26" ht="11.25" customHeight="1" x14ac:dyDescent="0.35">
      <c r="A932" s="57"/>
      <c r="B932" s="57"/>
      <c r="C932" s="57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  <c r="O932" s="57"/>
      <c r="P932" s="57"/>
      <c r="Q932" s="57"/>
      <c r="R932" s="57"/>
      <c r="S932" s="57"/>
      <c r="T932" s="57"/>
      <c r="U932" s="57"/>
      <c r="V932" s="57"/>
      <c r="W932" s="57"/>
      <c r="X932" s="57"/>
      <c r="Y932" s="57"/>
      <c r="Z932" s="57"/>
    </row>
    <row r="933" spans="1:26" ht="11.25" customHeight="1" x14ac:dyDescent="0.35">
      <c r="A933" s="57"/>
      <c r="B933" s="57"/>
      <c r="C933" s="57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  <c r="O933" s="57"/>
      <c r="P933" s="57"/>
      <c r="Q933" s="57"/>
      <c r="R933" s="57"/>
      <c r="S933" s="57"/>
      <c r="T933" s="57"/>
      <c r="U933" s="57"/>
      <c r="V933" s="57"/>
      <c r="W933" s="57"/>
      <c r="X933" s="57"/>
      <c r="Y933" s="57"/>
      <c r="Z933" s="57"/>
    </row>
    <row r="934" spans="1:26" ht="11.25" customHeight="1" x14ac:dyDescent="0.35">
      <c r="A934" s="57"/>
      <c r="B934" s="57"/>
      <c r="C934" s="57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  <c r="O934" s="57"/>
      <c r="P934" s="57"/>
      <c r="Q934" s="57"/>
      <c r="R934" s="57"/>
      <c r="S934" s="57"/>
      <c r="T934" s="57"/>
      <c r="U934" s="57"/>
      <c r="V934" s="57"/>
      <c r="W934" s="57"/>
      <c r="X934" s="57"/>
      <c r="Y934" s="57"/>
      <c r="Z934" s="57"/>
    </row>
    <row r="935" spans="1:26" ht="11.25" customHeight="1" x14ac:dyDescent="0.35">
      <c r="A935" s="57"/>
      <c r="B935" s="57"/>
      <c r="C935" s="57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  <c r="O935" s="57"/>
      <c r="P935" s="57"/>
      <c r="Q935" s="57"/>
      <c r="R935" s="57"/>
      <c r="S935" s="57"/>
      <c r="T935" s="57"/>
      <c r="U935" s="57"/>
      <c r="V935" s="57"/>
      <c r="W935" s="57"/>
      <c r="X935" s="57"/>
      <c r="Y935" s="57"/>
      <c r="Z935" s="57"/>
    </row>
    <row r="936" spans="1:26" ht="11.25" customHeight="1" x14ac:dyDescent="0.35">
      <c r="A936" s="57"/>
      <c r="B936" s="57"/>
      <c r="C936" s="57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  <c r="O936" s="57"/>
      <c r="P936" s="57"/>
      <c r="Q936" s="57"/>
      <c r="R936" s="57"/>
      <c r="S936" s="57"/>
      <c r="T936" s="57"/>
      <c r="U936" s="57"/>
      <c r="V936" s="57"/>
      <c r="W936" s="57"/>
      <c r="X936" s="57"/>
      <c r="Y936" s="57"/>
      <c r="Z936" s="57"/>
    </row>
    <row r="937" spans="1:26" ht="11.25" customHeight="1" x14ac:dyDescent="0.35">
      <c r="A937" s="57"/>
      <c r="B937" s="57"/>
      <c r="C937" s="57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  <c r="O937" s="57"/>
      <c r="P937" s="57"/>
      <c r="Q937" s="57"/>
      <c r="R937" s="57"/>
      <c r="S937" s="57"/>
      <c r="T937" s="57"/>
      <c r="U937" s="57"/>
      <c r="V937" s="57"/>
      <c r="W937" s="57"/>
      <c r="X937" s="57"/>
      <c r="Y937" s="57"/>
      <c r="Z937" s="57"/>
    </row>
    <row r="938" spans="1:26" ht="11.25" customHeight="1" x14ac:dyDescent="0.35">
      <c r="A938" s="57"/>
      <c r="B938" s="57"/>
      <c r="C938" s="57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  <c r="O938" s="57"/>
      <c r="P938" s="57"/>
      <c r="Q938" s="57"/>
      <c r="R938" s="57"/>
      <c r="S938" s="57"/>
      <c r="T938" s="57"/>
      <c r="U938" s="57"/>
      <c r="V938" s="57"/>
      <c r="W938" s="57"/>
      <c r="X938" s="57"/>
      <c r="Y938" s="57"/>
      <c r="Z938" s="57"/>
    </row>
    <row r="939" spans="1:26" ht="11.25" customHeight="1" x14ac:dyDescent="0.35">
      <c r="A939" s="57"/>
      <c r="B939" s="57"/>
      <c r="C939" s="57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  <c r="O939" s="57"/>
      <c r="P939" s="57"/>
      <c r="Q939" s="57"/>
      <c r="R939" s="57"/>
      <c r="S939" s="57"/>
      <c r="T939" s="57"/>
      <c r="U939" s="57"/>
      <c r="V939" s="57"/>
      <c r="W939" s="57"/>
      <c r="X939" s="57"/>
      <c r="Y939" s="57"/>
      <c r="Z939" s="57"/>
    </row>
    <row r="940" spans="1:26" ht="11.25" customHeight="1" x14ac:dyDescent="0.35">
      <c r="A940" s="57"/>
      <c r="B940" s="57"/>
      <c r="C940" s="57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  <c r="O940" s="57"/>
      <c r="P940" s="57"/>
      <c r="Q940" s="57"/>
      <c r="R940" s="57"/>
      <c r="S940" s="57"/>
      <c r="T940" s="57"/>
      <c r="U940" s="57"/>
      <c r="V940" s="57"/>
      <c r="W940" s="57"/>
      <c r="X940" s="57"/>
      <c r="Y940" s="57"/>
      <c r="Z940" s="57"/>
    </row>
    <row r="941" spans="1:26" ht="11.25" customHeight="1" x14ac:dyDescent="0.35">
      <c r="A941" s="57"/>
      <c r="B941" s="57"/>
      <c r="C941" s="57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  <c r="O941" s="57"/>
      <c r="P941" s="57"/>
      <c r="Q941" s="57"/>
      <c r="R941" s="57"/>
      <c r="S941" s="57"/>
      <c r="T941" s="57"/>
      <c r="U941" s="57"/>
      <c r="V941" s="57"/>
      <c r="W941" s="57"/>
      <c r="X941" s="57"/>
      <c r="Y941" s="57"/>
      <c r="Z941" s="57"/>
    </row>
    <row r="942" spans="1:26" ht="11.25" customHeight="1" x14ac:dyDescent="0.35">
      <c r="A942" s="57"/>
      <c r="B942" s="57"/>
      <c r="C942" s="57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  <c r="O942" s="57"/>
      <c r="P942" s="57"/>
      <c r="Q942" s="57"/>
      <c r="R942" s="57"/>
      <c r="S942" s="57"/>
      <c r="T942" s="57"/>
      <c r="U942" s="57"/>
      <c r="V942" s="57"/>
      <c r="W942" s="57"/>
      <c r="X942" s="57"/>
      <c r="Y942" s="57"/>
      <c r="Z942" s="57"/>
    </row>
    <row r="943" spans="1:26" ht="11.25" customHeight="1" x14ac:dyDescent="0.35">
      <c r="A943" s="57"/>
      <c r="B943" s="57"/>
      <c r="C943" s="57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  <c r="O943" s="57"/>
      <c r="P943" s="57"/>
      <c r="Q943" s="57"/>
      <c r="R943" s="57"/>
      <c r="S943" s="57"/>
      <c r="T943" s="57"/>
      <c r="U943" s="57"/>
      <c r="V943" s="57"/>
      <c r="W943" s="57"/>
      <c r="X943" s="57"/>
      <c r="Y943" s="57"/>
      <c r="Z943" s="57"/>
    </row>
    <row r="944" spans="1:26" ht="11.25" customHeight="1" x14ac:dyDescent="0.35">
      <c r="A944" s="57"/>
      <c r="B944" s="57"/>
      <c r="C944" s="57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  <c r="O944" s="57"/>
      <c r="P944" s="57"/>
      <c r="Q944" s="57"/>
      <c r="R944" s="57"/>
      <c r="S944" s="57"/>
      <c r="T944" s="57"/>
      <c r="U944" s="57"/>
      <c r="V944" s="57"/>
      <c r="W944" s="57"/>
      <c r="X944" s="57"/>
      <c r="Y944" s="57"/>
      <c r="Z944" s="57"/>
    </row>
    <row r="945" spans="1:26" ht="11.25" customHeight="1" x14ac:dyDescent="0.35">
      <c r="A945" s="57"/>
      <c r="B945" s="57"/>
      <c r="C945" s="57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  <c r="O945" s="57"/>
      <c r="P945" s="57"/>
      <c r="Q945" s="57"/>
      <c r="R945" s="57"/>
      <c r="S945" s="57"/>
      <c r="T945" s="57"/>
      <c r="U945" s="57"/>
      <c r="V945" s="57"/>
      <c r="W945" s="57"/>
      <c r="X945" s="57"/>
      <c r="Y945" s="57"/>
      <c r="Z945" s="57"/>
    </row>
    <row r="946" spans="1:26" ht="11.25" customHeight="1" x14ac:dyDescent="0.35">
      <c r="A946" s="57"/>
      <c r="B946" s="57"/>
      <c r="C946" s="57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  <c r="O946" s="57"/>
      <c r="P946" s="57"/>
      <c r="Q946" s="57"/>
      <c r="R946" s="57"/>
      <c r="S946" s="57"/>
      <c r="T946" s="57"/>
      <c r="U946" s="57"/>
      <c r="V946" s="57"/>
      <c r="W946" s="57"/>
      <c r="X946" s="57"/>
      <c r="Y946" s="57"/>
      <c r="Z946" s="57"/>
    </row>
    <row r="947" spans="1:26" ht="11.25" customHeight="1" x14ac:dyDescent="0.35">
      <c r="A947" s="57"/>
      <c r="B947" s="57"/>
      <c r="C947" s="57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  <c r="O947" s="57"/>
      <c r="P947" s="57"/>
      <c r="Q947" s="57"/>
      <c r="R947" s="57"/>
      <c r="S947" s="57"/>
      <c r="T947" s="57"/>
      <c r="U947" s="57"/>
      <c r="V947" s="57"/>
      <c r="W947" s="57"/>
      <c r="X947" s="57"/>
      <c r="Y947" s="57"/>
      <c r="Z947" s="57"/>
    </row>
    <row r="948" spans="1:26" ht="11.25" customHeight="1" x14ac:dyDescent="0.35">
      <c r="A948" s="57"/>
      <c r="B948" s="57"/>
      <c r="C948" s="57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  <c r="O948" s="57"/>
      <c r="P948" s="57"/>
      <c r="Q948" s="57"/>
      <c r="R948" s="57"/>
      <c r="S948" s="57"/>
      <c r="T948" s="57"/>
      <c r="U948" s="57"/>
      <c r="V948" s="57"/>
      <c r="W948" s="57"/>
      <c r="X948" s="57"/>
      <c r="Y948" s="57"/>
      <c r="Z948" s="57"/>
    </row>
    <row r="949" spans="1:26" ht="11.25" customHeight="1" x14ac:dyDescent="0.35">
      <c r="A949" s="57"/>
      <c r="B949" s="57"/>
      <c r="C949" s="57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  <c r="O949" s="57"/>
      <c r="P949" s="57"/>
      <c r="Q949" s="57"/>
      <c r="R949" s="57"/>
      <c r="S949" s="57"/>
      <c r="T949" s="57"/>
      <c r="U949" s="57"/>
      <c r="V949" s="57"/>
      <c r="W949" s="57"/>
      <c r="X949" s="57"/>
      <c r="Y949" s="57"/>
      <c r="Z949" s="57"/>
    </row>
    <row r="950" spans="1:26" ht="11.25" customHeight="1" x14ac:dyDescent="0.35">
      <c r="A950" s="57"/>
      <c r="B950" s="57"/>
      <c r="C950" s="57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  <c r="O950" s="57"/>
      <c r="P950" s="57"/>
      <c r="Q950" s="57"/>
      <c r="R950" s="57"/>
      <c r="S950" s="57"/>
      <c r="T950" s="57"/>
      <c r="U950" s="57"/>
      <c r="V950" s="57"/>
      <c r="W950" s="57"/>
      <c r="X950" s="57"/>
      <c r="Y950" s="57"/>
      <c r="Z950" s="57"/>
    </row>
    <row r="951" spans="1:26" ht="11.25" customHeight="1" x14ac:dyDescent="0.35">
      <c r="A951" s="57"/>
      <c r="B951" s="57"/>
      <c r="C951" s="57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  <c r="O951" s="57"/>
      <c r="P951" s="57"/>
      <c r="Q951" s="57"/>
      <c r="R951" s="57"/>
      <c r="S951" s="57"/>
      <c r="T951" s="57"/>
      <c r="U951" s="57"/>
      <c r="V951" s="57"/>
      <c r="W951" s="57"/>
      <c r="X951" s="57"/>
      <c r="Y951" s="57"/>
      <c r="Z951" s="57"/>
    </row>
    <row r="952" spans="1:26" ht="11.25" customHeight="1" x14ac:dyDescent="0.35">
      <c r="A952" s="57"/>
      <c r="B952" s="57"/>
      <c r="C952" s="57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  <c r="O952" s="57"/>
      <c r="P952" s="57"/>
      <c r="Q952" s="57"/>
      <c r="R952" s="57"/>
      <c r="S952" s="57"/>
      <c r="T952" s="57"/>
      <c r="U952" s="57"/>
      <c r="V952" s="57"/>
      <c r="W952" s="57"/>
      <c r="X952" s="57"/>
      <c r="Y952" s="57"/>
      <c r="Z952" s="57"/>
    </row>
    <row r="953" spans="1:26" ht="11.25" customHeight="1" x14ac:dyDescent="0.35">
      <c r="A953" s="57"/>
      <c r="B953" s="57"/>
      <c r="C953" s="57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V953" s="57"/>
      <c r="W953" s="57"/>
      <c r="X953" s="57"/>
      <c r="Y953" s="57"/>
      <c r="Z953" s="57"/>
    </row>
    <row r="954" spans="1:26" ht="11.25" customHeight="1" x14ac:dyDescent="0.35">
      <c r="A954" s="57"/>
      <c r="B954" s="57"/>
      <c r="C954" s="57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  <c r="O954" s="57"/>
      <c r="P954" s="57"/>
      <c r="Q954" s="57"/>
      <c r="R954" s="57"/>
      <c r="S954" s="57"/>
      <c r="T954" s="57"/>
      <c r="U954" s="57"/>
      <c r="V954" s="57"/>
      <c r="W954" s="57"/>
      <c r="X954" s="57"/>
      <c r="Y954" s="57"/>
      <c r="Z954" s="57"/>
    </row>
    <row r="955" spans="1:26" ht="11.25" customHeight="1" x14ac:dyDescent="0.35">
      <c r="A955" s="57"/>
      <c r="B955" s="57"/>
      <c r="C955" s="57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  <c r="O955" s="57"/>
      <c r="P955" s="57"/>
      <c r="Q955" s="57"/>
      <c r="R955" s="57"/>
      <c r="S955" s="57"/>
      <c r="T955" s="57"/>
      <c r="U955" s="57"/>
      <c r="V955" s="57"/>
      <c r="W955" s="57"/>
      <c r="X955" s="57"/>
      <c r="Y955" s="57"/>
      <c r="Z955" s="57"/>
    </row>
    <row r="956" spans="1:26" ht="11.25" customHeight="1" x14ac:dyDescent="0.35">
      <c r="A956" s="57"/>
      <c r="B956" s="57"/>
      <c r="C956" s="57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  <c r="O956" s="57"/>
      <c r="P956" s="57"/>
      <c r="Q956" s="57"/>
      <c r="R956" s="57"/>
      <c r="S956" s="57"/>
      <c r="T956" s="57"/>
      <c r="U956" s="57"/>
      <c r="V956" s="57"/>
      <c r="W956" s="57"/>
      <c r="X956" s="57"/>
      <c r="Y956" s="57"/>
      <c r="Z956" s="57"/>
    </row>
    <row r="957" spans="1:26" ht="11.25" customHeight="1" x14ac:dyDescent="0.35">
      <c r="A957" s="57"/>
      <c r="B957" s="57"/>
      <c r="C957" s="57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  <c r="O957" s="57"/>
      <c r="P957" s="57"/>
      <c r="Q957" s="57"/>
      <c r="R957" s="57"/>
      <c r="S957" s="57"/>
      <c r="T957" s="57"/>
      <c r="U957" s="57"/>
      <c r="V957" s="57"/>
      <c r="W957" s="57"/>
      <c r="X957" s="57"/>
      <c r="Y957" s="57"/>
      <c r="Z957" s="57"/>
    </row>
    <row r="958" spans="1:26" ht="11.25" customHeight="1" x14ac:dyDescent="0.35">
      <c r="A958" s="57"/>
      <c r="B958" s="57"/>
      <c r="C958" s="57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  <c r="O958" s="57"/>
      <c r="P958" s="57"/>
      <c r="Q958" s="57"/>
      <c r="R958" s="57"/>
      <c r="S958" s="57"/>
      <c r="T958" s="57"/>
      <c r="U958" s="57"/>
      <c r="V958" s="57"/>
      <c r="W958" s="57"/>
      <c r="X958" s="57"/>
      <c r="Y958" s="57"/>
      <c r="Z958" s="57"/>
    </row>
    <row r="959" spans="1:26" ht="11.25" customHeight="1" x14ac:dyDescent="0.35">
      <c r="A959" s="57"/>
      <c r="B959" s="57"/>
      <c r="C959" s="57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  <c r="O959" s="57"/>
      <c r="P959" s="57"/>
      <c r="Q959" s="57"/>
      <c r="R959" s="57"/>
      <c r="S959" s="57"/>
      <c r="T959" s="57"/>
      <c r="U959" s="57"/>
      <c r="V959" s="57"/>
      <c r="W959" s="57"/>
      <c r="X959" s="57"/>
      <c r="Y959" s="57"/>
      <c r="Z959" s="57"/>
    </row>
    <row r="960" spans="1:26" ht="11.25" customHeight="1" x14ac:dyDescent="0.35">
      <c r="A960" s="57"/>
      <c r="B960" s="57"/>
      <c r="C960" s="57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  <c r="O960" s="57"/>
      <c r="P960" s="57"/>
      <c r="Q960" s="57"/>
      <c r="R960" s="57"/>
      <c r="S960" s="57"/>
      <c r="T960" s="57"/>
      <c r="U960" s="57"/>
      <c r="V960" s="57"/>
      <c r="W960" s="57"/>
      <c r="X960" s="57"/>
      <c r="Y960" s="57"/>
      <c r="Z960" s="57"/>
    </row>
    <row r="961" spans="1:26" ht="11.25" customHeight="1" x14ac:dyDescent="0.35">
      <c r="A961" s="57"/>
      <c r="B961" s="57"/>
      <c r="C961" s="57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  <c r="O961" s="57"/>
      <c r="P961" s="57"/>
      <c r="Q961" s="57"/>
      <c r="R961" s="57"/>
      <c r="S961" s="57"/>
      <c r="T961" s="57"/>
      <c r="U961" s="57"/>
      <c r="V961" s="57"/>
      <c r="W961" s="57"/>
      <c r="X961" s="57"/>
      <c r="Y961" s="57"/>
      <c r="Z961" s="57"/>
    </row>
    <row r="962" spans="1:26" ht="11.25" customHeight="1" x14ac:dyDescent="0.35">
      <c r="A962" s="57"/>
      <c r="B962" s="57"/>
      <c r="C962" s="57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  <c r="O962" s="57"/>
      <c r="P962" s="57"/>
      <c r="Q962" s="57"/>
      <c r="R962" s="57"/>
      <c r="S962" s="57"/>
      <c r="T962" s="57"/>
      <c r="U962" s="57"/>
      <c r="V962" s="57"/>
      <c r="W962" s="57"/>
      <c r="X962" s="57"/>
      <c r="Y962" s="57"/>
      <c r="Z962" s="57"/>
    </row>
    <row r="963" spans="1:26" ht="11.25" customHeight="1" x14ac:dyDescent="0.35">
      <c r="A963" s="57"/>
      <c r="B963" s="57"/>
      <c r="C963" s="57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  <c r="O963" s="57"/>
      <c r="P963" s="57"/>
      <c r="Q963" s="57"/>
      <c r="R963" s="57"/>
      <c r="S963" s="57"/>
      <c r="T963" s="57"/>
      <c r="U963" s="57"/>
      <c r="V963" s="57"/>
      <c r="W963" s="57"/>
      <c r="X963" s="57"/>
      <c r="Y963" s="57"/>
      <c r="Z963" s="57"/>
    </row>
    <row r="964" spans="1:26" ht="11.25" customHeight="1" x14ac:dyDescent="0.35">
      <c r="A964" s="57"/>
      <c r="B964" s="57"/>
      <c r="C964" s="57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  <c r="O964" s="57"/>
      <c r="P964" s="57"/>
      <c r="Q964" s="57"/>
      <c r="R964" s="57"/>
      <c r="S964" s="57"/>
      <c r="T964" s="57"/>
      <c r="U964" s="57"/>
      <c r="V964" s="57"/>
      <c r="W964" s="57"/>
      <c r="X964" s="57"/>
      <c r="Y964" s="57"/>
      <c r="Z964" s="57"/>
    </row>
    <row r="965" spans="1:26" ht="11.25" customHeight="1" x14ac:dyDescent="0.35">
      <c r="A965" s="57"/>
      <c r="B965" s="57"/>
      <c r="C965" s="57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  <c r="O965" s="57"/>
      <c r="P965" s="57"/>
      <c r="Q965" s="57"/>
      <c r="R965" s="57"/>
      <c r="S965" s="57"/>
      <c r="T965" s="57"/>
      <c r="U965" s="57"/>
      <c r="V965" s="57"/>
      <c r="W965" s="57"/>
      <c r="X965" s="57"/>
      <c r="Y965" s="57"/>
      <c r="Z965" s="57"/>
    </row>
    <row r="966" spans="1:26" ht="11.25" customHeight="1" x14ac:dyDescent="0.35">
      <c r="A966" s="57"/>
      <c r="B966" s="57"/>
      <c r="C966" s="57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  <c r="O966" s="57"/>
      <c r="P966" s="57"/>
      <c r="Q966" s="57"/>
      <c r="R966" s="57"/>
      <c r="S966" s="57"/>
      <c r="T966" s="57"/>
      <c r="U966" s="57"/>
      <c r="V966" s="57"/>
      <c r="W966" s="57"/>
      <c r="X966" s="57"/>
      <c r="Y966" s="57"/>
      <c r="Z966" s="57"/>
    </row>
    <row r="967" spans="1:26" ht="11.25" customHeight="1" x14ac:dyDescent="0.35">
      <c r="A967" s="57"/>
      <c r="B967" s="57"/>
      <c r="C967" s="57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  <c r="O967" s="57"/>
      <c r="P967" s="57"/>
      <c r="Q967" s="57"/>
      <c r="R967" s="57"/>
      <c r="S967" s="57"/>
      <c r="T967" s="57"/>
      <c r="U967" s="57"/>
      <c r="V967" s="57"/>
      <c r="W967" s="57"/>
      <c r="X967" s="57"/>
      <c r="Y967" s="57"/>
      <c r="Z967" s="57"/>
    </row>
    <row r="968" spans="1:26" ht="11.25" customHeight="1" x14ac:dyDescent="0.35">
      <c r="A968" s="57"/>
      <c r="B968" s="57"/>
      <c r="C968" s="57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  <c r="O968" s="57"/>
      <c r="P968" s="57"/>
      <c r="Q968" s="57"/>
      <c r="R968" s="57"/>
      <c r="S968" s="57"/>
      <c r="T968" s="57"/>
      <c r="U968" s="57"/>
      <c r="V968" s="57"/>
      <c r="W968" s="57"/>
      <c r="X968" s="57"/>
      <c r="Y968" s="57"/>
      <c r="Z968" s="57"/>
    </row>
    <row r="969" spans="1:26" ht="11.25" customHeight="1" x14ac:dyDescent="0.35">
      <c r="A969" s="57"/>
      <c r="B969" s="57"/>
      <c r="C969" s="57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  <c r="O969" s="57"/>
      <c r="P969" s="57"/>
      <c r="Q969" s="57"/>
      <c r="R969" s="57"/>
      <c r="S969" s="57"/>
      <c r="T969" s="57"/>
      <c r="U969" s="57"/>
      <c r="V969" s="57"/>
      <c r="W969" s="57"/>
      <c r="X969" s="57"/>
      <c r="Y969" s="57"/>
      <c r="Z969" s="57"/>
    </row>
    <row r="970" spans="1:26" ht="11.25" customHeight="1" x14ac:dyDescent="0.35">
      <c r="A970" s="57"/>
      <c r="B970" s="57"/>
      <c r="C970" s="57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</row>
    <row r="971" spans="1:26" ht="11.25" customHeight="1" x14ac:dyDescent="0.35">
      <c r="A971" s="57"/>
      <c r="B971" s="57"/>
      <c r="C971" s="57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  <c r="O971" s="57"/>
      <c r="P971" s="57"/>
      <c r="Q971" s="57"/>
      <c r="R971" s="57"/>
      <c r="S971" s="57"/>
      <c r="T971" s="57"/>
      <c r="U971" s="57"/>
      <c r="V971" s="57"/>
      <c r="W971" s="57"/>
      <c r="X971" s="57"/>
      <c r="Y971" s="57"/>
      <c r="Z971" s="57"/>
    </row>
    <row r="972" spans="1:26" ht="11.25" customHeight="1" x14ac:dyDescent="0.35">
      <c r="A972" s="57"/>
      <c r="B972" s="57"/>
      <c r="C972" s="57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  <c r="O972" s="57"/>
      <c r="P972" s="57"/>
      <c r="Q972" s="57"/>
      <c r="R972" s="57"/>
      <c r="S972" s="57"/>
      <c r="T972" s="57"/>
      <c r="U972" s="57"/>
      <c r="V972" s="57"/>
      <c r="W972" s="57"/>
      <c r="X972" s="57"/>
      <c r="Y972" s="57"/>
      <c r="Z972" s="57"/>
    </row>
    <row r="973" spans="1:26" ht="11.25" customHeight="1" x14ac:dyDescent="0.35">
      <c r="A973" s="57"/>
      <c r="B973" s="57"/>
      <c r="C973" s="57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  <c r="O973" s="57"/>
      <c r="P973" s="57"/>
      <c r="Q973" s="57"/>
      <c r="R973" s="57"/>
      <c r="S973" s="57"/>
      <c r="T973" s="57"/>
      <c r="U973" s="57"/>
      <c r="V973" s="57"/>
      <c r="W973" s="57"/>
      <c r="X973" s="57"/>
      <c r="Y973" s="57"/>
      <c r="Z973" s="57"/>
    </row>
    <row r="974" spans="1:26" ht="11.25" customHeight="1" x14ac:dyDescent="0.35">
      <c r="A974" s="57"/>
      <c r="B974" s="57"/>
      <c r="C974" s="57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  <c r="O974" s="57"/>
      <c r="P974" s="57"/>
      <c r="Q974" s="57"/>
      <c r="R974" s="57"/>
      <c r="S974" s="57"/>
      <c r="T974" s="57"/>
      <c r="U974" s="57"/>
      <c r="V974" s="57"/>
      <c r="W974" s="57"/>
      <c r="X974" s="57"/>
      <c r="Y974" s="57"/>
      <c r="Z974" s="57"/>
    </row>
    <row r="975" spans="1:26" ht="11.25" customHeight="1" x14ac:dyDescent="0.35">
      <c r="A975" s="57"/>
      <c r="B975" s="57"/>
      <c r="C975" s="57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  <c r="O975" s="57"/>
      <c r="P975" s="57"/>
      <c r="Q975" s="57"/>
      <c r="R975" s="57"/>
      <c r="S975" s="57"/>
      <c r="T975" s="57"/>
      <c r="U975" s="57"/>
      <c r="V975" s="57"/>
      <c r="W975" s="57"/>
      <c r="X975" s="57"/>
      <c r="Y975" s="57"/>
      <c r="Z975" s="57"/>
    </row>
    <row r="976" spans="1:26" ht="11.25" customHeight="1" x14ac:dyDescent="0.35">
      <c r="A976" s="57"/>
      <c r="B976" s="57"/>
      <c r="C976" s="57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  <c r="O976" s="57"/>
      <c r="P976" s="57"/>
      <c r="Q976" s="57"/>
      <c r="R976" s="57"/>
      <c r="S976" s="57"/>
      <c r="T976" s="57"/>
      <c r="U976" s="57"/>
      <c r="V976" s="57"/>
      <c r="W976" s="57"/>
      <c r="X976" s="57"/>
      <c r="Y976" s="57"/>
      <c r="Z976" s="57"/>
    </row>
    <row r="977" spans="1:26" ht="11.25" customHeight="1" x14ac:dyDescent="0.35">
      <c r="A977" s="57"/>
      <c r="B977" s="57"/>
      <c r="C977" s="57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  <c r="O977" s="57"/>
      <c r="P977" s="57"/>
      <c r="Q977" s="57"/>
      <c r="R977" s="57"/>
      <c r="S977" s="57"/>
      <c r="T977" s="57"/>
      <c r="U977" s="57"/>
      <c r="V977" s="57"/>
      <c r="W977" s="57"/>
      <c r="X977" s="57"/>
      <c r="Y977" s="57"/>
      <c r="Z977" s="57"/>
    </row>
    <row r="978" spans="1:26" ht="11.25" customHeight="1" x14ac:dyDescent="0.35">
      <c r="A978" s="57"/>
      <c r="B978" s="57"/>
      <c r="C978" s="57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</row>
    <row r="979" spans="1:26" ht="11.25" customHeight="1" x14ac:dyDescent="0.35">
      <c r="A979" s="57"/>
      <c r="B979" s="57"/>
      <c r="C979" s="57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</row>
    <row r="980" spans="1:26" ht="11.25" customHeight="1" x14ac:dyDescent="0.35">
      <c r="A980" s="57"/>
      <c r="B980" s="57"/>
      <c r="C980" s="57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  <c r="O980" s="57"/>
      <c r="P980" s="57"/>
      <c r="Q980" s="57"/>
      <c r="R980" s="57"/>
      <c r="S980" s="57"/>
      <c r="T980" s="57"/>
      <c r="U980" s="57"/>
      <c r="V980" s="57"/>
      <c r="W980" s="57"/>
      <c r="X980" s="57"/>
      <c r="Y980" s="57"/>
      <c r="Z980" s="57"/>
    </row>
    <row r="981" spans="1:26" ht="11.25" customHeight="1" x14ac:dyDescent="0.35">
      <c r="A981" s="57"/>
      <c r="B981" s="57"/>
      <c r="C981" s="57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  <c r="O981" s="57"/>
      <c r="P981" s="57"/>
      <c r="Q981" s="57"/>
      <c r="R981" s="57"/>
      <c r="S981" s="57"/>
      <c r="T981" s="57"/>
      <c r="U981" s="57"/>
      <c r="V981" s="57"/>
      <c r="W981" s="57"/>
      <c r="X981" s="57"/>
      <c r="Y981" s="57"/>
      <c r="Z981" s="57"/>
    </row>
    <row r="982" spans="1:26" ht="11.25" customHeight="1" x14ac:dyDescent="0.35">
      <c r="A982" s="57"/>
      <c r="B982" s="57"/>
      <c r="C982" s="57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  <c r="O982" s="57"/>
      <c r="P982" s="57"/>
      <c r="Q982" s="57"/>
      <c r="R982" s="57"/>
      <c r="S982" s="57"/>
      <c r="T982" s="57"/>
      <c r="U982" s="57"/>
      <c r="V982" s="57"/>
      <c r="W982" s="57"/>
      <c r="X982" s="57"/>
      <c r="Y982" s="57"/>
      <c r="Z982" s="57"/>
    </row>
    <row r="983" spans="1:26" ht="11.25" customHeight="1" x14ac:dyDescent="0.35">
      <c r="A983" s="57"/>
      <c r="B983" s="57"/>
      <c r="C983" s="57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  <c r="O983" s="57"/>
      <c r="P983" s="57"/>
      <c r="Q983" s="57"/>
      <c r="R983" s="57"/>
      <c r="S983" s="57"/>
      <c r="T983" s="57"/>
      <c r="U983" s="57"/>
      <c r="V983" s="57"/>
      <c r="W983" s="57"/>
      <c r="X983" s="57"/>
      <c r="Y983" s="57"/>
      <c r="Z983" s="57"/>
    </row>
    <row r="984" spans="1:26" ht="11.25" customHeight="1" x14ac:dyDescent="0.35">
      <c r="A984" s="57"/>
      <c r="B984" s="57"/>
      <c r="C984" s="57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  <c r="O984" s="57"/>
      <c r="P984" s="57"/>
      <c r="Q984" s="57"/>
      <c r="R984" s="57"/>
      <c r="S984" s="57"/>
      <c r="T984" s="57"/>
      <c r="U984" s="57"/>
      <c r="V984" s="57"/>
      <c r="W984" s="57"/>
      <c r="X984" s="57"/>
      <c r="Y984" s="57"/>
      <c r="Z984" s="57"/>
    </row>
    <row r="985" spans="1:26" ht="11.25" customHeight="1" x14ac:dyDescent="0.35">
      <c r="A985" s="57"/>
      <c r="B985" s="57"/>
      <c r="C985" s="57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</row>
    <row r="986" spans="1:26" ht="11.25" customHeight="1" x14ac:dyDescent="0.35">
      <c r="A986" s="57"/>
      <c r="B986" s="57"/>
      <c r="C986" s="57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</row>
    <row r="987" spans="1:26" ht="11.25" customHeight="1" x14ac:dyDescent="0.35">
      <c r="A987" s="57"/>
      <c r="B987" s="57"/>
      <c r="C987" s="57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  <c r="O987" s="57"/>
      <c r="P987" s="57"/>
      <c r="Q987" s="57"/>
      <c r="R987" s="57"/>
      <c r="S987" s="57"/>
      <c r="T987" s="57"/>
      <c r="U987" s="57"/>
      <c r="V987" s="57"/>
      <c r="W987" s="57"/>
      <c r="X987" s="57"/>
      <c r="Y987" s="57"/>
      <c r="Z987" s="57"/>
    </row>
    <row r="988" spans="1:26" ht="11.25" customHeight="1" x14ac:dyDescent="0.35">
      <c r="A988" s="57"/>
      <c r="B988" s="57"/>
      <c r="C988" s="57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  <c r="O988" s="57"/>
      <c r="P988" s="57"/>
      <c r="Q988" s="57"/>
      <c r="R988" s="57"/>
      <c r="S988" s="57"/>
      <c r="T988" s="57"/>
      <c r="U988" s="57"/>
      <c r="V988" s="57"/>
      <c r="W988" s="57"/>
      <c r="X988" s="57"/>
      <c r="Y988" s="57"/>
      <c r="Z988" s="57"/>
    </row>
    <row r="989" spans="1:26" ht="11.25" customHeight="1" x14ac:dyDescent="0.35">
      <c r="A989" s="57"/>
      <c r="B989" s="57"/>
      <c r="C989" s="57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  <c r="O989" s="57"/>
      <c r="P989" s="57"/>
      <c r="Q989" s="57"/>
      <c r="R989" s="57"/>
      <c r="S989" s="57"/>
      <c r="T989" s="57"/>
      <c r="U989" s="57"/>
      <c r="V989" s="57"/>
      <c r="W989" s="57"/>
      <c r="X989" s="57"/>
      <c r="Y989" s="57"/>
      <c r="Z989" s="57"/>
    </row>
    <row r="990" spans="1:26" ht="11.25" customHeight="1" x14ac:dyDescent="0.35">
      <c r="A990" s="57"/>
      <c r="B990" s="57"/>
      <c r="C990" s="57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  <c r="O990" s="57"/>
      <c r="P990" s="57"/>
      <c r="Q990" s="57"/>
      <c r="R990" s="57"/>
      <c r="S990" s="57"/>
      <c r="T990" s="57"/>
      <c r="U990" s="57"/>
      <c r="V990" s="57"/>
      <c r="W990" s="57"/>
      <c r="X990" s="57"/>
      <c r="Y990" s="57"/>
      <c r="Z990" s="57"/>
    </row>
    <row r="991" spans="1:26" ht="11.25" customHeight="1" x14ac:dyDescent="0.35">
      <c r="A991" s="57"/>
      <c r="B991" s="57"/>
      <c r="C991" s="57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  <c r="O991" s="57"/>
      <c r="P991" s="57"/>
      <c r="Q991" s="57"/>
      <c r="R991" s="57"/>
      <c r="S991" s="57"/>
      <c r="T991" s="57"/>
      <c r="U991" s="57"/>
      <c r="V991" s="57"/>
      <c r="W991" s="57"/>
      <c r="X991" s="57"/>
      <c r="Y991" s="57"/>
      <c r="Z991" s="57"/>
    </row>
    <row r="992" spans="1:26" ht="11.25" customHeight="1" x14ac:dyDescent="0.35">
      <c r="A992" s="57"/>
      <c r="B992" s="57"/>
      <c r="C992" s="57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  <c r="O992" s="57"/>
      <c r="P992" s="57"/>
      <c r="Q992" s="57"/>
      <c r="R992" s="57"/>
      <c r="S992" s="57"/>
      <c r="T992" s="57"/>
      <c r="U992" s="57"/>
      <c r="V992" s="57"/>
      <c r="W992" s="57"/>
      <c r="X992" s="57"/>
      <c r="Y992" s="57"/>
      <c r="Z992" s="57"/>
    </row>
    <row r="993" spans="1:26" ht="11.25" customHeight="1" x14ac:dyDescent="0.35">
      <c r="A993" s="57"/>
      <c r="B993" s="57"/>
      <c r="C993" s="57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  <c r="O993" s="57"/>
      <c r="P993" s="57"/>
      <c r="Q993" s="57"/>
      <c r="R993" s="57"/>
      <c r="S993" s="57"/>
      <c r="T993" s="57"/>
      <c r="U993" s="57"/>
      <c r="V993" s="57"/>
      <c r="W993" s="57"/>
      <c r="X993" s="57"/>
      <c r="Y993" s="57"/>
      <c r="Z993" s="57"/>
    </row>
    <row r="994" spans="1:26" ht="11.25" customHeight="1" x14ac:dyDescent="0.35">
      <c r="A994" s="57"/>
      <c r="B994" s="57"/>
      <c r="C994" s="57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  <c r="O994" s="57"/>
      <c r="P994" s="57"/>
      <c r="Q994" s="57"/>
      <c r="R994" s="57"/>
      <c r="S994" s="57"/>
      <c r="T994" s="57"/>
      <c r="U994" s="57"/>
      <c r="V994" s="57"/>
      <c r="W994" s="57"/>
      <c r="X994" s="57"/>
      <c r="Y994" s="57"/>
      <c r="Z994" s="57"/>
    </row>
    <row r="995" spans="1:26" ht="11.25" customHeight="1" x14ac:dyDescent="0.35">
      <c r="A995" s="57"/>
      <c r="B995" s="57"/>
      <c r="C995" s="57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57"/>
      <c r="X995" s="57"/>
      <c r="Y995" s="57"/>
      <c r="Z995" s="57"/>
    </row>
    <row r="996" spans="1:26" ht="11.25" customHeight="1" x14ac:dyDescent="0.35">
      <c r="A996" s="57"/>
      <c r="B996" s="57"/>
      <c r="C996" s="57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  <c r="O996" s="57"/>
      <c r="P996" s="57"/>
      <c r="Q996" s="57"/>
      <c r="R996" s="57"/>
      <c r="S996" s="57"/>
      <c r="T996" s="57"/>
      <c r="U996" s="57"/>
      <c r="V996" s="57"/>
      <c r="W996" s="57"/>
      <c r="X996" s="57"/>
      <c r="Y996" s="57"/>
      <c r="Z996" s="57"/>
    </row>
    <row r="997" spans="1:26" ht="11.25" customHeight="1" x14ac:dyDescent="0.35">
      <c r="A997" s="57"/>
      <c r="B997" s="57"/>
      <c r="C997" s="57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  <c r="O997" s="57"/>
      <c r="P997" s="57"/>
      <c r="Q997" s="57"/>
      <c r="R997" s="57"/>
      <c r="S997" s="57"/>
      <c r="T997" s="57"/>
      <c r="U997" s="57"/>
      <c r="V997" s="57"/>
      <c r="W997" s="57"/>
      <c r="X997" s="57"/>
      <c r="Y997" s="57"/>
      <c r="Z997" s="57"/>
    </row>
    <row r="998" spans="1:26" ht="11.25" customHeight="1" x14ac:dyDescent="0.35">
      <c r="A998" s="57"/>
      <c r="B998" s="57"/>
      <c r="C998" s="57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  <c r="O998" s="57"/>
      <c r="P998" s="57"/>
      <c r="Q998" s="57"/>
      <c r="R998" s="57"/>
      <c r="S998" s="57"/>
      <c r="T998" s="57"/>
      <c r="U998" s="57"/>
      <c r="V998" s="57"/>
      <c r="W998" s="57"/>
      <c r="X998" s="57"/>
      <c r="Y998" s="57"/>
      <c r="Z998" s="57"/>
    </row>
    <row r="999" spans="1:26" ht="11.25" customHeight="1" x14ac:dyDescent="0.35">
      <c r="A999" s="57"/>
      <c r="B999" s="57"/>
      <c r="C999" s="57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  <c r="O999" s="57"/>
      <c r="P999" s="57"/>
      <c r="Q999" s="57"/>
      <c r="R999" s="57"/>
      <c r="S999" s="57"/>
      <c r="T999" s="57"/>
      <c r="U999" s="57"/>
      <c r="V999" s="57"/>
      <c r="W999" s="57"/>
      <c r="X999" s="57"/>
      <c r="Y999" s="57"/>
      <c r="Z999" s="57"/>
    </row>
    <row r="1000" spans="1:26" ht="11.25" customHeight="1" x14ac:dyDescent="0.35">
      <c r="A1000" s="57"/>
      <c r="B1000" s="57"/>
      <c r="C1000" s="57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  <c r="O1000" s="57"/>
      <c r="P1000" s="57"/>
      <c r="Q1000" s="57"/>
      <c r="R1000" s="57"/>
      <c r="S1000" s="57"/>
      <c r="T1000" s="57"/>
      <c r="U1000" s="57"/>
      <c r="V1000" s="57"/>
      <c r="W1000" s="57"/>
      <c r="X1000" s="57"/>
      <c r="Y1000" s="57"/>
      <c r="Z1000" s="57"/>
    </row>
  </sheetData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zoomScale="145" zoomScaleNormal="145" workbookViewId="0">
      <selection activeCell="C7" sqref="C7"/>
    </sheetView>
  </sheetViews>
  <sheetFormatPr defaultColWidth="14.453125" defaultRowHeight="15" customHeight="1" x14ac:dyDescent="0.35"/>
  <cols>
    <col min="1" max="1" width="2" customWidth="1"/>
    <col min="2" max="2" width="23.453125" customWidth="1"/>
    <col min="3" max="3" width="12.453125" customWidth="1"/>
    <col min="4" max="4" width="9.08984375" customWidth="1"/>
    <col min="5" max="5" width="10" customWidth="1"/>
    <col min="6" max="6" width="11" customWidth="1"/>
    <col min="7" max="26" width="9.08984375" customWidth="1"/>
  </cols>
  <sheetData>
    <row r="1" spans="1:26" ht="11.25" customHeight="1" x14ac:dyDescent="0.35">
      <c r="A1" s="1"/>
      <c r="B1" s="7" t="s">
        <v>32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.7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8" t="s">
        <v>33</v>
      </c>
      <c r="C4" s="3" t="s">
        <v>10</v>
      </c>
      <c r="D4" s="3" t="s">
        <v>11</v>
      </c>
      <c r="E4" s="3" t="s">
        <v>12</v>
      </c>
      <c r="F4" s="4" t="s">
        <v>13</v>
      </c>
      <c r="G4" s="4" t="s">
        <v>14</v>
      </c>
      <c r="H4" s="4" t="s">
        <v>15</v>
      </c>
      <c r="I4" s="4" t="s">
        <v>16</v>
      </c>
      <c r="J4" s="4" t="s">
        <v>17</v>
      </c>
      <c r="K4" s="4" t="s">
        <v>18</v>
      </c>
      <c r="L4" s="4" t="s">
        <v>19</v>
      </c>
      <c r="M4" s="4" t="s">
        <v>20</v>
      </c>
      <c r="N4" s="4" t="s">
        <v>21</v>
      </c>
      <c r="O4" s="4" t="s">
        <v>22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34</v>
      </c>
      <c r="C5" s="5"/>
      <c r="D5" s="5"/>
      <c r="E5" s="5"/>
      <c r="F5" s="6"/>
      <c r="G5" s="6"/>
      <c r="H5" s="6"/>
      <c r="I5" s="6"/>
      <c r="J5" s="6"/>
      <c r="K5" s="6"/>
      <c r="L5" s="6"/>
      <c r="M5" s="6"/>
      <c r="N5" s="6"/>
      <c r="O5" s="6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9" t="s">
        <v>35</v>
      </c>
      <c r="C6" s="9"/>
      <c r="D6" s="9"/>
      <c r="E6" s="9"/>
      <c r="F6" s="10"/>
      <c r="G6" s="10"/>
      <c r="H6" s="10"/>
      <c r="I6" s="10"/>
      <c r="J6" s="10"/>
      <c r="K6" s="10"/>
      <c r="L6" s="10"/>
      <c r="M6" s="10"/>
      <c r="N6" s="10"/>
      <c r="O6" s="10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/>
      <c r="C7" s="5"/>
      <c r="D7" s="5"/>
      <c r="E7" s="5"/>
      <c r="F7" s="11"/>
      <c r="G7" s="11"/>
      <c r="H7" s="11"/>
      <c r="I7" s="11"/>
      <c r="J7" s="11"/>
      <c r="K7" s="6"/>
      <c r="L7" s="6"/>
      <c r="M7" s="6"/>
      <c r="N7" s="6"/>
      <c r="O7" s="6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36</v>
      </c>
      <c r="C8" s="5"/>
      <c r="D8" s="5"/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9" t="s">
        <v>37</v>
      </c>
      <c r="C9" s="9"/>
      <c r="D9" s="9"/>
      <c r="E9" s="9"/>
      <c r="F9" s="10"/>
      <c r="G9" s="10"/>
      <c r="H9" s="10"/>
      <c r="I9" s="10"/>
      <c r="J9" s="10"/>
      <c r="K9" s="10"/>
      <c r="L9" s="10"/>
      <c r="M9" s="10"/>
      <c r="N9" s="10"/>
      <c r="O9" s="10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/>
      <c r="C10" s="5"/>
      <c r="D10" s="5"/>
      <c r="E10" s="5"/>
      <c r="F10" s="11"/>
      <c r="G10" s="11"/>
      <c r="H10" s="11"/>
      <c r="I10" s="11"/>
      <c r="J10" s="11"/>
      <c r="K10" s="6"/>
      <c r="L10" s="6"/>
      <c r="M10" s="6"/>
      <c r="N10" s="6"/>
      <c r="O10" s="6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38</v>
      </c>
      <c r="C11" s="5"/>
      <c r="D11" s="5"/>
      <c r="E11" s="5"/>
      <c r="F11" s="6"/>
      <c r="G11" s="6"/>
      <c r="H11" s="6"/>
      <c r="I11" s="6"/>
      <c r="J11" s="6"/>
      <c r="K11" s="6"/>
      <c r="L11" s="6"/>
      <c r="M11" s="6"/>
      <c r="N11" s="6"/>
      <c r="O11" s="6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9" t="s">
        <v>39</v>
      </c>
      <c r="C12" s="9"/>
      <c r="D12" s="9"/>
      <c r="E12" s="9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/>
      <c r="C13" s="5"/>
      <c r="D13" s="5"/>
      <c r="E13" s="5"/>
      <c r="F13" s="11"/>
      <c r="G13" s="11"/>
      <c r="H13" s="11"/>
      <c r="I13" s="11"/>
      <c r="J13" s="11"/>
      <c r="K13" s="6"/>
      <c r="L13" s="6"/>
      <c r="M13" s="6"/>
      <c r="N13" s="6"/>
      <c r="O13" s="6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40</v>
      </c>
      <c r="C14" s="5"/>
      <c r="D14" s="5"/>
      <c r="E14" s="5"/>
      <c r="F14" s="6"/>
      <c r="G14" s="6"/>
      <c r="H14" s="6"/>
      <c r="I14" s="6"/>
      <c r="J14" s="6"/>
      <c r="K14" s="6"/>
      <c r="L14" s="6"/>
      <c r="M14" s="6"/>
      <c r="N14" s="6"/>
      <c r="O14" s="6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9" t="s">
        <v>41</v>
      </c>
      <c r="C15" s="12"/>
      <c r="D15" s="12"/>
      <c r="E15" s="12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/>
      <c r="C16" s="5"/>
      <c r="D16" s="5"/>
      <c r="E16" s="5"/>
      <c r="F16" s="13"/>
      <c r="G16" s="13"/>
      <c r="H16" s="13"/>
      <c r="I16" s="13"/>
      <c r="J16" s="13"/>
      <c r="K16" s="6"/>
      <c r="L16" s="6"/>
      <c r="M16" s="6"/>
      <c r="N16" s="6"/>
      <c r="O16" s="6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42</v>
      </c>
      <c r="C17" s="5"/>
      <c r="D17" s="5"/>
      <c r="E17" s="5"/>
      <c r="F17" s="6"/>
      <c r="G17" s="6"/>
      <c r="H17" s="6"/>
      <c r="I17" s="6"/>
      <c r="J17" s="6"/>
      <c r="K17" s="6"/>
      <c r="L17" s="6"/>
      <c r="M17" s="6"/>
      <c r="N17" s="6"/>
      <c r="O17" s="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9" t="s">
        <v>41</v>
      </c>
      <c r="C18" s="12"/>
      <c r="D18" s="12"/>
      <c r="E18" s="12"/>
      <c r="F18" s="13"/>
      <c r="G18" s="13"/>
      <c r="H18" s="13"/>
      <c r="I18" s="13"/>
      <c r="J18" s="13"/>
      <c r="K18" s="6"/>
      <c r="L18" s="6"/>
      <c r="M18" s="6"/>
      <c r="N18" s="6"/>
      <c r="O18" s="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/>
      <c r="C19" s="5"/>
      <c r="D19" s="5"/>
      <c r="E19" s="5"/>
      <c r="F19" s="13"/>
      <c r="G19" s="13"/>
      <c r="H19" s="13"/>
      <c r="I19" s="13"/>
      <c r="J19" s="13"/>
      <c r="K19" s="6"/>
      <c r="L19" s="6"/>
      <c r="M19" s="6"/>
      <c r="N19" s="6"/>
      <c r="O19" s="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43</v>
      </c>
      <c r="C20" s="5"/>
      <c r="D20" s="5"/>
      <c r="E20" s="5"/>
      <c r="F20" s="6"/>
      <c r="G20" s="6"/>
      <c r="H20" s="6"/>
      <c r="I20" s="6"/>
      <c r="J20" s="6"/>
      <c r="K20" s="6"/>
      <c r="L20" s="6"/>
      <c r="M20" s="6"/>
      <c r="N20" s="6"/>
      <c r="O20" s="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9" t="s">
        <v>41</v>
      </c>
      <c r="C21" s="12"/>
      <c r="D21" s="12"/>
      <c r="E21" s="12"/>
      <c r="F21" s="13"/>
      <c r="G21" s="13"/>
      <c r="H21" s="13"/>
      <c r="I21" s="13"/>
      <c r="J21" s="13"/>
      <c r="K21" s="6"/>
      <c r="L21" s="6"/>
      <c r="M21" s="6"/>
      <c r="N21" s="6"/>
      <c r="O21" s="6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1000"/>
  <sheetViews>
    <sheetView workbookViewId="0">
      <selection activeCell="C4" sqref="C4:O1048576"/>
    </sheetView>
  </sheetViews>
  <sheetFormatPr defaultColWidth="14.453125" defaultRowHeight="15" customHeight="1" x14ac:dyDescent="0.35"/>
  <cols>
    <col min="1" max="1" width="5.54296875" customWidth="1"/>
    <col min="2" max="2" width="18.453125" customWidth="1"/>
    <col min="3" max="3" width="10.54296875" customWidth="1"/>
    <col min="4" max="5" width="9.08984375" customWidth="1"/>
    <col min="6" max="6" width="10.54296875" customWidth="1"/>
    <col min="7" max="11" width="9.08984375" customWidth="1"/>
    <col min="12" max="14" width="9.7265625" customWidth="1"/>
    <col min="15" max="15" width="10.54296875" customWidth="1"/>
    <col min="16" max="16" width="2" customWidth="1"/>
    <col min="17" max="26" width="9.08984375" customWidth="1"/>
  </cols>
  <sheetData>
    <row r="1" spans="1:26" ht="11.25" customHeight="1" x14ac:dyDescent="0.35">
      <c r="A1" s="1"/>
      <c r="B1" s="7" t="s">
        <v>44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8" t="s">
        <v>33</v>
      </c>
      <c r="C3" s="3" t="s">
        <v>10</v>
      </c>
      <c r="D3" s="3" t="s">
        <v>11</v>
      </c>
      <c r="E3" s="3" t="s">
        <v>12</v>
      </c>
      <c r="F3" s="4" t="s">
        <v>13</v>
      </c>
      <c r="G3" s="4" t="s">
        <v>14</v>
      </c>
      <c r="H3" s="4" t="s">
        <v>15</v>
      </c>
      <c r="I3" s="4" t="s">
        <v>16</v>
      </c>
      <c r="J3" s="4" t="s">
        <v>17</v>
      </c>
      <c r="K3" s="4" t="s">
        <v>18</v>
      </c>
      <c r="L3" s="4" t="s">
        <v>19</v>
      </c>
      <c r="M3" s="4" t="s">
        <v>20</v>
      </c>
      <c r="N3" s="4" t="s">
        <v>21</v>
      </c>
      <c r="O3" s="4" t="s">
        <v>22</v>
      </c>
      <c r="P3" s="1"/>
      <c r="Q3" s="14" t="s">
        <v>45</v>
      </c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23</v>
      </c>
      <c r="C4" s="5"/>
      <c r="D4" s="5"/>
      <c r="E4" s="5"/>
      <c r="F4" s="15"/>
      <c r="G4" s="15"/>
      <c r="H4" s="15"/>
      <c r="I4" s="15"/>
      <c r="J4" s="15"/>
      <c r="K4" s="15"/>
      <c r="L4" s="15"/>
      <c r="M4" s="15"/>
      <c r="N4" s="15"/>
      <c r="O4" s="15"/>
      <c r="P4" s="1"/>
      <c r="Q4" s="1" t="s">
        <v>46</v>
      </c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25</v>
      </c>
      <c r="C5" s="5"/>
      <c r="D5" s="5"/>
      <c r="E5" s="5"/>
      <c r="F5" s="15"/>
      <c r="G5" s="15"/>
      <c r="H5" s="15"/>
      <c r="I5" s="15"/>
      <c r="J5" s="15"/>
      <c r="K5" s="15"/>
      <c r="L5" s="15"/>
      <c r="M5" s="15"/>
      <c r="N5" s="15"/>
      <c r="O5" s="15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16" t="s">
        <v>47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.75" customHeight="1" x14ac:dyDescent="0.35">
      <c r="A7" s="1"/>
      <c r="B7" s="18"/>
      <c r="C7" s="19"/>
      <c r="D7" s="19"/>
      <c r="E7" s="19"/>
      <c r="F7" s="15"/>
      <c r="G7" s="15"/>
      <c r="H7" s="15"/>
      <c r="I7" s="15"/>
      <c r="J7" s="15"/>
      <c r="K7" s="15"/>
      <c r="L7" s="15"/>
      <c r="M7" s="15"/>
      <c r="N7" s="15"/>
      <c r="O7" s="15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26</v>
      </c>
      <c r="C8" s="5"/>
      <c r="D8" s="5"/>
      <c r="E8" s="5"/>
      <c r="F8" s="15"/>
      <c r="G8" s="15"/>
      <c r="H8" s="15"/>
      <c r="I8" s="15"/>
      <c r="J8" s="15"/>
      <c r="K8" s="15"/>
      <c r="L8" s="15"/>
      <c r="M8" s="15"/>
      <c r="N8" s="15"/>
      <c r="O8" s="15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6" t="s">
        <v>48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.75" customHeight="1" x14ac:dyDescent="0.35">
      <c r="A10" s="1"/>
      <c r="B10" s="1"/>
      <c r="C10" s="1"/>
      <c r="D10" s="1"/>
      <c r="E10" s="1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28</v>
      </c>
      <c r="C11" s="5"/>
      <c r="D11" s="5"/>
      <c r="E11" s="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6" t="s">
        <v>49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.75" customHeight="1" x14ac:dyDescent="0.35">
      <c r="A13" s="1"/>
      <c r="B13" s="1"/>
      <c r="C13" s="5"/>
      <c r="D13" s="5"/>
      <c r="E13" s="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29</v>
      </c>
      <c r="C14" s="5"/>
      <c r="D14" s="5"/>
      <c r="E14" s="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6" t="s">
        <v>50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.75" customHeight="1" x14ac:dyDescent="0.35">
      <c r="A16" s="1"/>
      <c r="B16" s="18"/>
      <c r="C16" s="20"/>
      <c r="D16" s="20"/>
      <c r="E16" s="20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" customHeight="1" x14ac:dyDescent="0.35">
      <c r="A17" s="1"/>
      <c r="B17" s="1" t="s">
        <v>30</v>
      </c>
      <c r="C17" s="5"/>
      <c r="D17" s="5"/>
      <c r="E17" s="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" customHeight="1" x14ac:dyDescent="0.35">
      <c r="A18" s="1"/>
      <c r="B18" s="1" t="s">
        <v>31</v>
      </c>
      <c r="C18" s="5"/>
      <c r="D18" s="5"/>
      <c r="E18" s="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" customHeight="1" x14ac:dyDescent="0.35">
      <c r="A19" s="1"/>
      <c r="B19" s="16" t="s">
        <v>51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.75" customHeight="1" x14ac:dyDescent="0.35">
      <c r="A20" s="1"/>
      <c r="B20" s="5"/>
      <c r="C20" s="5"/>
      <c r="D20" s="5"/>
      <c r="E20" s="5"/>
      <c r="F20" s="15"/>
      <c r="G20" s="15"/>
      <c r="H20" s="15"/>
      <c r="I20" s="15"/>
      <c r="J20" s="15"/>
      <c r="K20" s="15"/>
      <c r="L20" s="15"/>
      <c r="M20" s="15"/>
      <c r="N20" s="15"/>
      <c r="O20" s="2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52</v>
      </c>
      <c r="C21" s="22"/>
      <c r="D21" s="22"/>
      <c r="E21" s="22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53</v>
      </c>
      <c r="C22" s="24"/>
      <c r="D22" s="24"/>
      <c r="E22" s="24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.75" customHeight="1" x14ac:dyDescent="0.35">
      <c r="A23" s="1"/>
      <c r="B23" s="1"/>
      <c r="C23" s="5"/>
      <c r="D23" s="5"/>
      <c r="E23" s="5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26" t="s">
        <v>54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/>
      <c r="C25" s="5"/>
      <c r="D25" s="5"/>
      <c r="E25" s="5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5"/>
      <c r="D26" s="5"/>
      <c r="E26" s="5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5"/>
      <c r="D27" s="5"/>
      <c r="E27" s="5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5"/>
      <c r="D28" s="5"/>
      <c r="E28" s="5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>
        <v>1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workbookViewId="0">
      <selection activeCell="C4" sqref="C4:O26"/>
    </sheetView>
  </sheetViews>
  <sheetFormatPr defaultColWidth="14.453125" defaultRowHeight="15" customHeight="1" x14ac:dyDescent="0.35"/>
  <cols>
    <col min="1" max="1" width="4.08984375" customWidth="1"/>
    <col min="2" max="2" width="22.54296875" customWidth="1"/>
    <col min="3" max="3" width="9.08984375" customWidth="1"/>
    <col min="4" max="4" width="9.54296875" customWidth="1"/>
    <col min="5" max="6" width="8.26953125" customWidth="1"/>
    <col min="7" max="8" width="8.81640625" customWidth="1"/>
    <col min="9" max="9" width="10.08984375" customWidth="1"/>
    <col min="10" max="10" width="8.81640625" customWidth="1"/>
    <col min="11" max="11" width="9.7265625" customWidth="1"/>
    <col min="12" max="15" width="11.08984375" customWidth="1"/>
    <col min="16" max="16" width="19" customWidth="1"/>
    <col min="17" max="26" width="9.08984375" customWidth="1"/>
  </cols>
  <sheetData>
    <row r="1" spans="1:26" ht="11.25" customHeight="1" x14ac:dyDescent="0.35">
      <c r="A1" s="1"/>
      <c r="B1" s="7" t="s">
        <v>55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8" t="s">
        <v>33</v>
      </c>
      <c r="C3" s="3" t="s">
        <v>10</v>
      </c>
      <c r="D3" s="3" t="s">
        <v>11</v>
      </c>
      <c r="E3" s="3" t="s">
        <v>12</v>
      </c>
      <c r="F3" s="4" t="s">
        <v>13</v>
      </c>
      <c r="G3" s="4" t="s">
        <v>14</v>
      </c>
      <c r="H3" s="4" t="s">
        <v>15</v>
      </c>
      <c r="I3" s="4" t="s">
        <v>16</v>
      </c>
      <c r="J3" s="4" t="s">
        <v>17</v>
      </c>
      <c r="K3" s="4" t="s">
        <v>18</v>
      </c>
      <c r="L3" s="4" t="s">
        <v>19</v>
      </c>
      <c r="M3" s="4" t="s">
        <v>20</v>
      </c>
      <c r="N3" s="4" t="s">
        <v>21</v>
      </c>
      <c r="O3" s="4" t="s">
        <v>22</v>
      </c>
      <c r="P3" s="14" t="s">
        <v>45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56</v>
      </c>
      <c r="C4" s="5"/>
      <c r="D4" s="5"/>
      <c r="E4" s="5"/>
      <c r="F4" s="6"/>
      <c r="G4" s="6"/>
      <c r="H4" s="6"/>
      <c r="I4" s="6"/>
      <c r="J4" s="6"/>
      <c r="K4" s="6"/>
      <c r="L4" s="6"/>
      <c r="M4" s="6"/>
      <c r="N4" s="6"/>
      <c r="O4" s="6"/>
      <c r="P4" s="1" t="s">
        <v>57</v>
      </c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40</v>
      </c>
      <c r="C5" s="5"/>
      <c r="D5" s="5"/>
      <c r="E5" s="5"/>
      <c r="F5" s="6"/>
      <c r="G5" s="6"/>
      <c r="H5" s="6"/>
      <c r="I5" s="6"/>
      <c r="J5" s="6"/>
      <c r="K5" s="6"/>
      <c r="L5" s="6"/>
      <c r="M5" s="6"/>
      <c r="N5" s="6"/>
      <c r="O5" s="6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1" t="s">
        <v>58</v>
      </c>
      <c r="C6" s="5"/>
      <c r="D6" s="5"/>
      <c r="E6" s="5"/>
      <c r="F6" s="6"/>
      <c r="G6" s="6"/>
      <c r="H6" s="6"/>
      <c r="I6" s="6"/>
      <c r="J6" s="6"/>
      <c r="K6" s="6"/>
      <c r="L6" s="6"/>
      <c r="M6" s="6"/>
      <c r="N6" s="6"/>
      <c r="O6" s="6"/>
      <c r="P6" s="1" t="s">
        <v>57</v>
      </c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.75" customHeight="1" x14ac:dyDescent="0.35">
      <c r="A7" s="1"/>
      <c r="B7" s="1"/>
      <c r="C7" s="5"/>
      <c r="D7" s="5"/>
      <c r="E7" s="5"/>
      <c r="F7" s="6"/>
      <c r="G7" s="6"/>
      <c r="H7" s="6"/>
      <c r="I7" s="6"/>
      <c r="J7" s="6"/>
      <c r="K7" s="6"/>
      <c r="L7" s="6"/>
      <c r="M7" s="6"/>
      <c r="N7" s="6"/>
      <c r="O7" s="6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36</v>
      </c>
      <c r="C8" s="5"/>
      <c r="D8" s="5"/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34</v>
      </c>
      <c r="C9" s="5"/>
      <c r="D9" s="5"/>
      <c r="E9" s="5"/>
      <c r="F9" s="6"/>
      <c r="G9" s="6"/>
      <c r="H9" s="6"/>
      <c r="I9" s="6"/>
      <c r="J9" s="6"/>
      <c r="K9" s="6"/>
      <c r="L9" s="6"/>
      <c r="M9" s="6"/>
      <c r="N9" s="6"/>
      <c r="O9" s="6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42</v>
      </c>
      <c r="C10" s="5"/>
      <c r="D10" s="5"/>
      <c r="E10" s="5"/>
      <c r="F10" s="6"/>
      <c r="G10" s="6"/>
      <c r="H10" s="6"/>
      <c r="I10" s="6"/>
      <c r="J10" s="6"/>
      <c r="K10" s="6"/>
      <c r="L10" s="6"/>
      <c r="M10" s="6"/>
      <c r="N10" s="6"/>
      <c r="O10" s="6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.75" customHeight="1" x14ac:dyDescent="0.35">
      <c r="A11" s="1"/>
      <c r="B11" s="1"/>
      <c r="C11" s="5"/>
      <c r="D11" s="5"/>
      <c r="E11" s="5"/>
      <c r="F11" s="6"/>
      <c r="G11" s="6"/>
      <c r="H11" s="6"/>
      <c r="I11" s="6"/>
      <c r="J11" s="6"/>
      <c r="K11" s="6"/>
      <c r="L11" s="6"/>
      <c r="M11" s="6"/>
      <c r="N11" s="6"/>
      <c r="O11" s="6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 t="s">
        <v>59</v>
      </c>
      <c r="C12" s="5"/>
      <c r="D12" s="5"/>
      <c r="E12" s="5"/>
      <c r="F12" s="6"/>
      <c r="G12" s="6"/>
      <c r="H12" s="6"/>
      <c r="I12" s="6"/>
      <c r="J12" s="6"/>
      <c r="K12" s="6"/>
      <c r="L12" s="6"/>
      <c r="M12" s="6"/>
      <c r="N12" s="6"/>
      <c r="O12" s="6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.75" customHeight="1" x14ac:dyDescent="0.35">
      <c r="A13" s="1"/>
      <c r="B13" s="1"/>
      <c r="C13" s="1"/>
      <c r="D13" s="1"/>
      <c r="E13" s="1"/>
      <c r="F13" s="6"/>
      <c r="G13" s="6"/>
      <c r="H13" s="6"/>
      <c r="I13" s="6"/>
      <c r="J13" s="6"/>
      <c r="K13" s="6"/>
      <c r="L13" s="6"/>
      <c r="M13" s="6"/>
      <c r="N13" s="6"/>
      <c r="O13" s="6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28" t="s">
        <v>60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/>
      <c r="C15" s="5"/>
      <c r="D15" s="5"/>
      <c r="E15" s="5"/>
      <c r="F15" s="6"/>
      <c r="G15" s="6"/>
      <c r="H15" s="6"/>
      <c r="I15" s="6"/>
      <c r="J15" s="6"/>
      <c r="K15" s="6"/>
      <c r="L15" s="6"/>
      <c r="M15" s="6"/>
      <c r="N15" s="6"/>
      <c r="O15" s="6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38</v>
      </c>
      <c r="C16" s="5"/>
      <c r="D16" s="5"/>
      <c r="E16" s="5"/>
      <c r="F16" s="6"/>
      <c r="G16" s="6"/>
      <c r="H16" s="6"/>
      <c r="I16" s="6"/>
      <c r="J16" s="6"/>
      <c r="K16" s="6"/>
      <c r="L16" s="6"/>
      <c r="M16" s="6"/>
      <c r="N16" s="6"/>
      <c r="O16" s="6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43</v>
      </c>
      <c r="C17" s="5"/>
      <c r="D17" s="5"/>
      <c r="E17" s="5"/>
      <c r="F17" s="6"/>
      <c r="G17" s="6"/>
      <c r="H17" s="6"/>
      <c r="I17" s="6"/>
      <c r="J17" s="6"/>
      <c r="K17" s="6"/>
      <c r="L17" s="6"/>
      <c r="M17" s="6"/>
      <c r="N17" s="6"/>
      <c r="O17" s="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.75" customHeight="1" x14ac:dyDescent="0.35">
      <c r="A18" s="1"/>
      <c r="B18" s="1"/>
      <c r="C18" s="5"/>
      <c r="D18" s="5"/>
      <c r="E18" s="5"/>
      <c r="F18" s="6"/>
      <c r="G18" s="6"/>
      <c r="H18" s="6"/>
      <c r="I18" s="6"/>
      <c r="J18" s="6"/>
      <c r="K18" s="6"/>
      <c r="L18" s="6"/>
      <c r="M18" s="6"/>
      <c r="N18" s="6"/>
      <c r="O18" s="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61</v>
      </c>
      <c r="C19" s="5"/>
      <c r="D19" s="5"/>
      <c r="E19" s="5"/>
      <c r="F19" s="6"/>
      <c r="G19" s="6"/>
      <c r="H19" s="6"/>
      <c r="I19" s="6"/>
      <c r="J19" s="6"/>
      <c r="K19" s="6"/>
      <c r="L19" s="6"/>
      <c r="M19" s="6"/>
      <c r="N19" s="6"/>
      <c r="O19" s="6"/>
      <c r="P19" s="1" t="s">
        <v>57</v>
      </c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.75" customHeight="1" x14ac:dyDescent="0.35">
      <c r="A20" s="1"/>
      <c r="B20" s="1"/>
      <c r="C20" s="5"/>
      <c r="D20" s="5"/>
      <c r="E20" s="5"/>
      <c r="F20" s="6"/>
      <c r="G20" s="6"/>
      <c r="H20" s="6"/>
      <c r="I20" s="6"/>
      <c r="J20" s="6"/>
      <c r="K20" s="6"/>
      <c r="L20" s="6"/>
      <c r="M20" s="6"/>
      <c r="N20" s="6"/>
      <c r="O20" s="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62</v>
      </c>
      <c r="C21" s="5"/>
      <c r="D21" s="5"/>
      <c r="E21" s="5"/>
      <c r="F21" s="6"/>
      <c r="G21" s="6"/>
      <c r="H21" s="6"/>
      <c r="I21" s="6"/>
      <c r="J21" s="6"/>
      <c r="K21" s="6"/>
      <c r="L21" s="6"/>
      <c r="M21" s="6"/>
      <c r="N21" s="6"/>
      <c r="O21" s="6"/>
      <c r="P21" s="1" t="s">
        <v>63</v>
      </c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.75" customHeight="1" x14ac:dyDescent="0.35">
      <c r="A22" s="1"/>
      <c r="B22" s="1"/>
      <c r="C22" s="5"/>
      <c r="D22" s="5"/>
      <c r="E22" s="5"/>
      <c r="F22" s="6"/>
      <c r="G22" s="6"/>
      <c r="H22" s="6"/>
      <c r="I22" s="6"/>
      <c r="J22" s="6"/>
      <c r="K22" s="6"/>
      <c r="L22" s="6"/>
      <c r="M22" s="6"/>
      <c r="N22" s="6"/>
      <c r="O22" s="6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28" t="s">
        <v>64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/>
      <c r="C24" s="1"/>
      <c r="D24" s="1"/>
      <c r="E24" s="1"/>
      <c r="F24" s="5"/>
      <c r="G24" s="5"/>
      <c r="H24" s="5"/>
      <c r="I24" s="5"/>
      <c r="J24" s="5"/>
      <c r="K24" s="5"/>
      <c r="L24" s="5"/>
      <c r="M24" s="5"/>
      <c r="N24" s="5"/>
      <c r="O24" s="5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65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5"/>
      <c r="G26" s="5"/>
      <c r="H26" s="5"/>
      <c r="I26" s="5"/>
      <c r="J26" s="5"/>
      <c r="K26" s="5"/>
      <c r="L26" s="5"/>
      <c r="M26" s="5"/>
      <c r="N26" s="5"/>
      <c r="O26" s="5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Z1000"/>
  <sheetViews>
    <sheetView tabSelected="1" workbookViewId="0">
      <selection activeCell="D10" sqref="D10"/>
    </sheetView>
  </sheetViews>
  <sheetFormatPr defaultColWidth="14.453125" defaultRowHeight="15" customHeight="1" x14ac:dyDescent="0.35"/>
  <cols>
    <col min="1" max="1" width="2" customWidth="1"/>
    <col min="2" max="2" width="37.81640625" customWidth="1"/>
    <col min="3" max="4" width="9.08984375" customWidth="1"/>
    <col min="5" max="5" width="1.54296875" customWidth="1"/>
    <col min="6" max="6" width="9.08984375" customWidth="1"/>
    <col min="7" max="10" width="10.08984375" customWidth="1"/>
    <col min="11" max="15" width="11.08984375" customWidth="1"/>
    <col min="16" max="16" width="19.54296875" customWidth="1"/>
    <col min="17" max="26" width="9.08984375" customWidth="1"/>
  </cols>
  <sheetData>
    <row r="1" spans="1:26" ht="11.25" customHeight="1" x14ac:dyDescent="0.35">
      <c r="A1" s="30"/>
      <c r="B1" s="31" t="s">
        <v>66</v>
      </c>
      <c r="C1" s="31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2" spans="1:26" ht="11.25" customHeight="1" x14ac:dyDescent="0.35">
      <c r="A2" s="30"/>
      <c r="B2" s="32" t="s">
        <v>67</v>
      </c>
      <c r="C2" s="31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 spans="1:26" ht="11.25" customHeight="1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</row>
    <row r="4" spans="1:26" ht="11.25" customHeight="1" x14ac:dyDescent="0.35">
      <c r="A4" s="30"/>
      <c r="B4" s="8" t="s">
        <v>33</v>
      </c>
      <c r="C4" s="3" t="s">
        <v>11</v>
      </c>
      <c r="D4" s="3" t="s">
        <v>12</v>
      </c>
      <c r="E4" s="3"/>
      <c r="F4" s="4" t="s">
        <v>13</v>
      </c>
      <c r="G4" s="4" t="s">
        <v>14</v>
      </c>
      <c r="H4" s="4" t="s">
        <v>15</v>
      </c>
      <c r="I4" s="4" t="s">
        <v>16</v>
      </c>
      <c r="J4" s="4" t="s">
        <v>17</v>
      </c>
      <c r="K4" s="4" t="s">
        <v>18</v>
      </c>
      <c r="L4" s="4" t="s">
        <v>19</v>
      </c>
      <c r="M4" s="4" t="s">
        <v>20</v>
      </c>
      <c r="N4" s="4" t="s">
        <v>21</v>
      </c>
      <c r="O4" s="4" t="s">
        <v>22</v>
      </c>
      <c r="P4" s="14" t="s">
        <v>45</v>
      </c>
      <c r="Q4" s="30"/>
      <c r="R4" s="30"/>
      <c r="S4" s="30"/>
      <c r="T4" s="30"/>
      <c r="U4" s="30"/>
      <c r="V4" s="30"/>
      <c r="W4" s="30"/>
      <c r="X4" s="30"/>
      <c r="Y4" s="30"/>
      <c r="Z4" s="30"/>
    </row>
    <row r="5" spans="1:26" ht="11.25" customHeight="1" x14ac:dyDescent="0.35">
      <c r="A5" s="30"/>
      <c r="B5" s="30" t="s">
        <v>68</v>
      </c>
      <c r="C5" s="30"/>
      <c r="D5" s="30"/>
      <c r="E5" s="30"/>
      <c r="F5" s="33"/>
      <c r="G5" s="33"/>
      <c r="H5" s="33"/>
      <c r="I5" s="33"/>
      <c r="J5" s="33"/>
      <c r="K5" s="33"/>
      <c r="L5" s="33"/>
      <c r="M5" s="33"/>
      <c r="N5" s="33"/>
      <c r="O5" s="33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</row>
    <row r="6" spans="1:26" ht="11.25" customHeight="1" x14ac:dyDescent="0.35">
      <c r="A6" s="30"/>
      <c r="B6" s="30" t="s">
        <v>69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 t="s">
        <v>70</v>
      </c>
      <c r="Q6" s="30"/>
      <c r="R6" s="30"/>
      <c r="S6" s="30"/>
      <c r="T6" s="30"/>
      <c r="U6" s="30"/>
      <c r="V6" s="30"/>
      <c r="W6" s="30"/>
      <c r="X6" s="30"/>
      <c r="Y6" s="30"/>
      <c r="Z6" s="30"/>
    </row>
    <row r="7" spans="1:26" ht="11.25" customHeight="1" x14ac:dyDescent="0.35">
      <c r="A7" s="30"/>
      <c r="B7" s="30" t="s">
        <v>71</v>
      </c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</row>
    <row r="8" spans="1:26" ht="11.25" customHeight="1" x14ac:dyDescent="0.35">
      <c r="A8" s="30"/>
      <c r="B8" s="16" t="s">
        <v>72</v>
      </c>
      <c r="C8" s="34"/>
      <c r="D8" s="34"/>
      <c r="E8" s="34"/>
      <c r="F8" s="35"/>
      <c r="G8" s="36"/>
      <c r="H8" s="36"/>
      <c r="I8" s="36"/>
      <c r="J8" s="36"/>
      <c r="K8" s="36"/>
      <c r="L8" s="36"/>
      <c r="M8" s="36"/>
      <c r="N8" s="36"/>
      <c r="O8" s="36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</row>
    <row r="9" spans="1:26" ht="11.25" customHeight="1" x14ac:dyDescent="0.35">
      <c r="A9" s="30"/>
      <c r="B9" s="18"/>
      <c r="C9" s="30"/>
      <c r="D9" s="30"/>
      <c r="E9" s="30"/>
      <c r="F9" s="6"/>
      <c r="G9" s="6"/>
      <c r="H9" s="6"/>
      <c r="I9" s="6"/>
      <c r="J9" s="6"/>
      <c r="K9" s="6"/>
      <c r="L9" s="6"/>
      <c r="M9" s="6"/>
      <c r="N9" s="6"/>
      <c r="O9" s="6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</row>
    <row r="10" spans="1:26" ht="11.25" customHeight="1" x14ac:dyDescent="0.35">
      <c r="A10" s="30"/>
      <c r="B10" s="30" t="s">
        <v>73</v>
      </c>
      <c r="C10" s="30"/>
      <c r="D10" s="30"/>
      <c r="E10" s="30"/>
      <c r="F10" s="6"/>
      <c r="G10" s="6"/>
      <c r="H10" s="6"/>
      <c r="I10" s="6"/>
      <c r="J10" s="6"/>
      <c r="K10" s="6"/>
      <c r="L10" s="6"/>
      <c r="M10" s="6"/>
      <c r="N10" s="6"/>
      <c r="O10" s="6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</row>
    <row r="11" spans="1:26" ht="11.25" customHeight="1" x14ac:dyDescent="0.35">
      <c r="A11" s="30"/>
      <c r="B11" s="16" t="s">
        <v>74</v>
      </c>
      <c r="C11" s="34"/>
      <c r="D11" s="34"/>
      <c r="E11" s="34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0" t="s">
        <v>75</v>
      </c>
      <c r="Q11" s="30"/>
      <c r="R11" s="30"/>
      <c r="S11" s="30"/>
      <c r="T11" s="30"/>
      <c r="U11" s="30"/>
      <c r="V11" s="30"/>
      <c r="W11" s="30"/>
      <c r="X11" s="30"/>
      <c r="Y11" s="30"/>
      <c r="Z11" s="30"/>
    </row>
    <row r="12" spans="1:26" ht="11.25" customHeight="1" x14ac:dyDescent="0.35">
      <c r="A12" s="30"/>
      <c r="C12" s="30"/>
      <c r="D12" s="30"/>
      <c r="E12" s="30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</row>
    <row r="13" spans="1:26" ht="11.25" customHeight="1" x14ac:dyDescent="0.35">
      <c r="A13" s="30"/>
      <c r="B13" s="30" t="s">
        <v>76</v>
      </c>
      <c r="C13" s="30"/>
      <c r="D13" s="30"/>
      <c r="E13" s="30"/>
      <c r="F13" s="39"/>
      <c r="G13" s="38"/>
      <c r="H13" s="38"/>
      <c r="I13" s="38"/>
      <c r="J13" s="38"/>
      <c r="K13" s="38"/>
      <c r="L13" s="38"/>
      <c r="M13" s="38"/>
      <c r="N13" s="38"/>
      <c r="O13" s="38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</row>
    <row r="14" spans="1:26" ht="11.25" customHeight="1" x14ac:dyDescent="0.35">
      <c r="A14" s="30"/>
      <c r="B14" s="30" t="s">
        <v>77</v>
      </c>
      <c r="C14" s="30"/>
      <c r="D14" s="30"/>
      <c r="E14" s="30"/>
      <c r="F14" s="6"/>
      <c r="G14" s="6"/>
      <c r="H14" s="6"/>
      <c r="I14" s="6"/>
      <c r="J14" s="6"/>
      <c r="K14" s="6"/>
      <c r="L14" s="6"/>
      <c r="M14" s="6"/>
      <c r="N14" s="6"/>
      <c r="O14" s="6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</row>
    <row r="15" spans="1:26" ht="11.25" customHeight="1" x14ac:dyDescent="0.35">
      <c r="A15" s="30"/>
      <c r="B15" s="30" t="s">
        <v>78</v>
      </c>
      <c r="C15" s="30"/>
      <c r="D15" s="30"/>
      <c r="E15" s="30"/>
      <c r="F15" s="39"/>
      <c r="G15" s="38"/>
      <c r="H15" s="38"/>
      <c r="I15" s="38"/>
      <c r="J15" s="38"/>
      <c r="K15" s="38"/>
      <c r="L15" s="38"/>
      <c r="M15" s="38"/>
      <c r="N15" s="38"/>
      <c r="O15" s="38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</row>
    <row r="16" spans="1:26" ht="11.25" customHeight="1" x14ac:dyDescent="0.35">
      <c r="A16" s="30"/>
      <c r="B16" s="16" t="s">
        <v>79</v>
      </c>
      <c r="C16" s="34"/>
      <c r="D16" s="34"/>
      <c r="E16" s="34"/>
      <c r="F16" s="35"/>
      <c r="G16" s="36"/>
      <c r="H16" s="36"/>
      <c r="I16" s="36"/>
      <c r="J16" s="36"/>
      <c r="K16" s="36"/>
      <c r="L16" s="36"/>
      <c r="M16" s="36"/>
      <c r="N16" s="36"/>
      <c r="O16" s="36"/>
      <c r="P16" s="30" t="s">
        <v>80</v>
      </c>
      <c r="Q16" s="30"/>
      <c r="R16" s="30"/>
      <c r="S16" s="30"/>
      <c r="T16" s="30"/>
      <c r="U16" s="30"/>
      <c r="V16" s="30"/>
      <c r="W16" s="30"/>
      <c r="X16" s="30"/>
      <c r="Y16" s="30"/>
      <c r="Z16" s="30"/>
    </row>
    <row r="17" spans="1:26" ht="11.25" customHeight="1" x14ac:dyDescent="0.35">
      <c r="A17" s="30"/>
      <c r="B17" s="40" t="s">
        <v>81</v>
      </c>
      <c r="C17" s="30"/>
      <c r="D17" s="30"/>
      <c r="E17" s="30"/>
      <c r="F17" s="39"/>
      <c r="G17" s="38"/>
      <c r="H17" s="38"/>
      <c r="I17" s="38"/>
      <c r="J17" s="38"/>
      <c r="K17" s="38"/>
      <c r="L17" s="38"/>
      <c r="M17" s="38"/>
      <c r="N17" s="38"/>
      <c r="O17" s="38"/>
      <c r="P17" s="30" t="s">
        <v>82</v>
      </c>
      <c r="Q17" s="30"/>
      <c r="R17" s="30"/>
      <c r="S17" s="30"/>
      <c r="T17" s="30"/>
      <c r="U17" s="30"/>
      <c r="V17" s="30"/>
      <c r="W17" s="30"/>
      <c r="X17" s="30"/>
      <c r="Y17" s="30"/>
      <c r="Z17" s="30"/>
    </row>
    <row r="18" spans="1:26" ht="11.25" customHeight="1" x14ac:dyDescent="0.35">
      <c r="A18" s="30"/>
      <c r="B18" s="40"/>
      <c r="C18" s="30"/>
      <c r="D18" s="30"/>
      <c r="E18" s="30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</row>
    <row r="19" spans="1:26" ht="11.25" customHeight="1" x14ac:dyDescent="0.35">
      <c r="A19" s="30"/>
      <c r="B19" s="40" t="s">
        <v>83</v>
      </c>
      <c r="C19" s="30"/>
      <c r="D19" s="30"/>
      <c r="E19" s="30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30" t="s">
        <v>84</v>
      </c>
      <c r="Q19" s="30"/>
      <c r="R19" s="30"/>
      <c r="S19" s="30"/>
      <c r="T19" s="30"/>
      <c r="U19" s="30"/>
      <c r="V19" s="30"/>
      <c r="W19" s="30"/>
      <c r="X19" s="30"/>
      <c r="Y19" s="30"/>
      <c r="Z19" s="30"/>
    </row>
    <row r="20" spans="1:26" ht="11.25" customHeight="1" x14ac:dyDescent="0.35">
      <c r="A20" s="30"/>
      <c r="B20" s="40" t="s">
        <v>85</v>
      </c>
      <c r="C20" s="30"/>
      <c r="D20" s="30"/>
      <c r="E20" s="30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30" t="s">
        <v>86</v>
      </c>
      <c r="Q20" s="30"/>
      <c r="R20" s="30"/>
      <c r="S20" s="30"/>
      <c r="T20" s="30"/>
      <c r="U20" s="30"/>
      <c r="V20" s="30"/>
      <c r="W20" s="30"/>
      <c r="X20" s="30"/>
      <c r="Y20" s="30"/>
      <c r="Z20" s="30"/>
    </row>
    <row r="21" spans="1:26" ht="11.25" customHeight="1" x14ac:dyDescent="0.35">
      <c r="A21" s="30"/>
      <c r="C21" s="30"/>
      <c r="D21" s="30"/>
      <c r="E21" s="30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</row>
    <row r="22" spans="1:26" ht="11.25" customHeight="1" x14ac:dyDescent="0.35">
      <c r="A22" s="30"/>
      <c r="B22" s="40" t="s">
        <v>87</v>
      </c>
      <c r="C22" s="30"/>
      <c r="D22" s="30"/>
      <c r="E22" s="30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30" t="s">
        <v>88</v>
      </c>
      <c r="Q22" s="30"/>
      <c r="R22" s="30"/>
      <c r="S22" s="30"/>
      <c r="T22" s="30"/>
      <c r="U22" s="30"/>
      <c r="V22" s="30"/>
      <c r="W22" s="30"/>
      <c r="X22" s="30"/>
      <c r="Y22" s="30"/>
      <c r="Z22" s="30"/>
    </row>
    <row r="23" spans="1:26" ht="11.25" customHeight="1" x14ac:dyDescent="0.35">
      <c r="A23" s="30"/>
      <c r="C23" s="30"/>
      <c r="D23" s="30"/>
      <c r="E23" s="30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</row>
    <row r="24" spans="1:26" ht="11.25" customHeight="1" x14ac:dyDescent="0.35">
      <c r="A24" s="30"/>
      <c r="B24" s="26" t="s">
        <v>89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30" t="s">
        <v>90</v>
      </c>
      <c r="Q24" s="30"/>
      <c r="R24" s="30"/>
      <c r="S24" s="30"/>
      <c r="T24" s="30"/>
      <c r="U24" s="30"/>
      <c r="V24" s="30"/>
      <c r="W24" s="30"/>
      <c r="X24" s="30"/>
      <c r="Y24" s="30"/>
      <c r="Z24" s="30"/>
    </row>
    <row r="25" spans="1:26" ht="11.25" customHeight="1" x14ac:dyDescent="0.3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 spans="1:26" ht="11.25" customHeight="1" x14ac:dyDescent="0.35">
      <c r="A26" s="30"/>
      <c r="B26" s="30" t="s">
        <v>91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 spans="1:26" ht="11.25" customHeight="1" x14ac:dyDescent="0.35">
      <c r="A27" s="30"/>
      <c r="B27" s="30" t="s">
        <v>92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</row>
    <row r="28" spans="1:26" ht="11.25" customHeight="1" x14ac:dyDescent="0.35">
      <c r="A28" s="30"/>
      <c r="B28" s="30" t="s">
        <v>93</v>
      </c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</row>
    <row r="29" spans="1:26" ht="11.25" customHeight="1" x14ac:dyDescent="0.35">
      <c r="A29" s="30"/>
      <c r="B29" s="26" t="s">
        <v>94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</row>
    <row r="30" spans="1:26" ht="11.25" customHeight="1" x14ac:dyDescent="0.3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</row>
    <row r="31" spans="1:26" ht="11.25" customHeight="1" x14ac:dyDescent="0.35">
      <c r="A31" s="30"/>
      <c r="B31" s="30" t="s">
        <v>95</v>
      </c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</row>
    <row r="32" spans="1:26" ht="11.25" customHeight="1" x14ac:dyDescent="0.35">
      <c r="A32" s="30"/>
      <c r="B32" s="30" t="s">
        <v>96</v>
      </c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</row>
    <row r="33" spans="1:26" ht="11.25" customHeight="1" x14ac:dyDescent="0.3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</row>
    <row r="34" spans="1:26" ht="11.25" customHeight="1" x14ac:dyDescent="0.35">
      <c r="A34" s="30"/>
      <c r="B34" s="30" t="s">
        <v>65</v>
      </c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</row>
    <row r="35" spans="1:26" ht="11.25" customHeight="1" x14ac:dyDescent="0.3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</row>
    <row r="36" spans="1:26" ht="11.25" customHeight="1" x14ac:dyDescent="0.3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</row>
    <row r="37" spans="1:26" ht="11.25" customHeight="1" x14ac:dyDescent="0.3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</row>
    <row r="38" spans="1:26" ht="11.25" customHeight="1" x14ac:dyDescent="0.3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</row>
    <row r="39" spans="1:26" ht="11.25" customHeight="1" x14ac:dyDescent="0.3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</row>
    <row r="40" spans="1:26" ht="11.25" customHeight="1" x14ac:dyDescent="0.3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</row>
    <row r="41" spans="1:26" ht="11.25" customHeight="1" x14ac:dyDescent="0.3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</row>
    <row r="42" spans="1:26" ht="11.25" customHeight="1" x14ac:dyDescent="0.3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</row>
    <row r="43" spans="1:26" ht="11.25" customHeight="1" x14ac:dyDescent="0.3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</row>
    <row r="44" spans="1:26" ht="11.25" customHeight="1" x14ac:dyDescent="0.3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</row>
    <row r="45" spans="1:26" ht="11.25" customHeight="1" x14ac:dyDescent="0.3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</row>
    <row r="46" spans="1:26" ht="11.25" customHeight="1" x14ac:dyDescent="0.3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</row>
    <row r="47" spans="1:26" ht="11.25" customHeight="1" x14ac:dyDescent="0.3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</row>
    <row r="48" spans="1:26" ht="11.25" customHeight="1" x14ac:dyDescent="0.3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</row>
    <row r="49" spans="1:26" ht="11.25" customHeight="1" x14ac:dyDescent="0.3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</row>
    <row r="50" spans="1:26" ht="11.25" customHeight="1" x14ac:dyDescent="0.3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</row>
    <row r="51" spans="1:26" ht="11.25" customHeight="1" x14ac:dyDescent="0.3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</row>
    <row r="52" spans="1:26" ht="11.25" customHeight="1" x14ac:dyDescent="0.3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</row>
    <row r="53" spans="1:26" ht="11.25" customHeight="1" x14ac:dyDescent="0.3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</row>
    <row r="54" spans="1:26" ht="11.25" customHeight="1" x14ac:dyDescent="0.3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</row>
    <row r="55" spans="1:26" ht="11.25" customHeight="1" x14ac:dyDescent="0.3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</row>
    <row r="56" spans="1:26" ht="11.25" customHeight="1" x14ac:dyDescent="0.3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</row>
    <row r="57" spans="1:26" ht="11.25" customHeight="1" x14ac:dyDescent="0.3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</row>
    <row r="58" spans="1:26" ht="11.25" customHeight="1" x14ac:dyDescent="0.3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</row>
    <row r="59" spans="1:26" ht="11.25" customHeight="1" x14ac:dyDescent="0.3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</row>
    <row r="60" spans="1:26" ht="11.25" customHeight="1" x14ac:dyDescent="0.3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</row>
    <row r="61" spans="1:26" ht="11.25" customHeight="1" x14ac:dyDescent="0.3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</row>
    <row r="62" spans="1:26" ht="11.25" customHeight="1" x14ac:dyDescent="0.3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</row>
    <row r="63" spans="1:26" ht="11.25" customHeight="1" x14ac:dyDescent="0.3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</row>
    <row r="64" spans="1:26" ht="11.25" customHeight="1" x14ac:dyDescent="0.3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</row>
    <row r="65" spans="1:26" ht="11.25" customHeight="1" x14ac:dyDescent="0.3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</row>
    <row r="66" spans="1:26" ht="11.25" customHeight="1" x14ac:dyDescent="0.3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</row>
    <row r="67" spans="1:26" ht="11.25" customHeight="1" x14ac:dyDescent="0.3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</row>
    <row r="68" spans="1:26" ht="11.25" customHeight="1" x14ac:dyDescent="0.3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</row>
    <row r="69" spans="1:26" ht="11.25" customHeight="1" x14ac:dyDescent="0.3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</row>
    <row r="70" spans="1:26" ht="11.25" customHeight="1" x14ac:dyDescent="0.3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</row>
    <row r="71" spans="1:26" ht="11.25" customHeight="1" x14ac:dyDescent="0.3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</row>
    <row r="72" spans="1:26" ht="11.25" customHeight="1" x14ac:dyDescent="0.3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</row>
    <row r="73" spans="1:26" ht="11.25" customHeight="1" x14ac:dyDescent="0.3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</row>
    <row r="74" spans="1:26" ht="11.25" customHeight="1" x14ac:dyDescent="0.3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</row>
    <row r="75" spans="1:26" ht="11.25" customHeight="1" x14ac:dyDescent="0.3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</row>
    <row r="76" spans="1:26" ht="11.25" customHeight="1" x14ac:dyDescent="0.3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</row>
    <row r="77" spans="1:26" ht="11.25" customHeight="1" x14ac:dyDescent="0.3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</row>
    <row r="78" spans="1:26" ht="11.25" customHeight="1" x14ac:dyDescent="0.3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</row>
    <row r="79" spans="1:26" ht="11.25" customHeight="1" x14ac:dyDescent="0.3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</row>
    <row r="80" spans="1:26" ht="11.25" customHeight="1" x14ac:dyDescent="0.3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</row>
    <row r="81" spans="1:26" ht="11.25" customHeight="1" x14ac:dyDescent="0.3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</row>
    <row r="82" spans="1:26" ht="11.25" customHeight="1" x14ac:dyDescent="0.3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</row>
    <row r="83" spans="1:26" ht="11.25" customHeight="1" x14ac:dyDescent="0.3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</row>
    <row r="84" spans="1:26" ht="11.25" customHeight="1" x14ac:dyDescent="0.3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</row>
    <row r="85" spans="1:26" ht="11.25" customHeight="1" x14ac:dyDescent="0.3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</row>
    <row r="86" spans="1:26" ht="11.25" customHeight="1" x14ac:dyDescent="0.3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</row>
    <row r="87" spans="1:26" ht="11.25" customHeight="1" x14ac:dyDescent="0.3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</row>
    <row r="88" spans="1:26" ht="11.25" customHeight="1" x14ac:dyDescent="0.3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</row>
    <row r="89" spans="1:26" ht="11.25" customHeight="1" x14ac:dyDescent="0.3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</row>
    <row r="90" spans="1:26" ht="11.25" customHeight="1" x14ac:dyDescent="0.3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</row>
    <row r="91" spans="1:26" ht="11.25" customHeight="1" x14ac:dyDescent="0.3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</row>
    <row r="92" spans="1:26" ht="11.25" customHeight="1" x14ac:dyDescent="0.3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</row>
    <row r="93" spans="1:26" ht="11.25" customHeight="1" x14ac:dyDescent="0.3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</row>
    <row r="94" spans="1:26" ht="11.25" customHeight="1" x14ac:dyDescent="0.3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</row>
    <row r="95" spans="1:26" ht="11.25" customHeight="1" x14ac:dyDescent="0.3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</row>
    <row r="96" spans="1:26" ht="11.25" customHeight="1" x14ac:dyDescent="0.3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</row>
    <row r="97" spans="1:26" ht="11.25" customHeight="1" x14ac:dyDescent="0.3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</row>
    <row r="98" spans="1:26" ht="11.25" customHeight="1" x14ac:dyDescent="0.3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</row>
    <row r="99" spans="1:26" ht="11.25" customHeight="1" x14ac:dyDescent="0.3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</row>
    <row r="100" spans="1:26" ht="11.25" customHeight="1" x14ac:dyDescent="0.3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</row>
    <row r="101" spans="1:26" ht="11.25" customHeight="1" x14ac:dyDescent="0.3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</row>
    <row r="102" spans="1:26" ht="11.25" customHeight="1" x14ac:dyDescent="0.3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</row>
    <row r="103" spans="1:26" ht="11.25" customHeight="1" x14ac:dyDescent="0.3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</row>
    <row r="104" spans="1:26" ht="11.25" customHeight="1" x14ac:dyDescent="0.3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</row>
    <row r="105" spans="1:26" ht="11.25" customHeight="1" x14ac:dyDescent="0.3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</row>
    <row r="106" spans="1:26" ht="11.25" customHeight="1" x14ac:dyDescent="0.3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</row>
    <row r="107" spans="1:26" ht="11.25" customHeight="1" x14ac:dyDescent="0.3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</row>
    <row r="108" spans="1:26" ht="11.25" customHeight="1" x14ac:dyDescent="0.3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</row>
    <row r="109" spans="1:26" ht="11.25" customHeight="1" x14ac:dyDescent="0.3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</row>
    <row r="110" spans="1:26" ht="11.25" customHeight="1" x14ac:dyDescent="0.3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</row>
    <row r="111" spans="1:26" ht="11.25" customHeight="1" x14ac:dyDescent="0.3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</row>
    <row r="112" spans="1:26" ht="11.25" customHeight="1" x14ac:dyDescent="0.3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</row>
    <row r="113" spans="1:26" ht="11.25" customHeight="1" x14ac:dyDescent="0.3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</row>
    <row r="114" spans="1:26" ht="11.25" customHeight="1" x14ac:dyDescent="0.3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</row>
    <row r="115" spans="1:26" ht="11.25" customHeight="1" x14ac:dyDescent="0.3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</row>
    <row r="116" spans="1:26" ht="11.25" customHeight="1" x14ac:dyDescent="0.3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</row>
    <row r="117" spans="1:26" ht="11.25" customHeight="1" x14ac:dyDescent="0.3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</row>
    <row r="118" spans="1:26" ht="11.25" customHeight="1" x14ac:dyDescent="0.3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</row>
    <row r="119" spans="1:26" ht="11.25" customHeight="1" x14ac:dyDescent="0.3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</row>
    <row r="120" spans="1:26" ht="11.25" customHeight="1" x14ac:dyDescent="0.3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</row>
    <row r="121" spans="1:26" ht="11.25" customHeight="1" x14ac:dyDescent="0.3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</row>
    <row r="122" spans="1:26" ht="11.25" customHeight="1" x14ac:dyDescent="0.3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</row>
    <row r="123" spans="1:26" ht="11.25" customHeight="1" x14ac:dyDescent="0.3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</row>
    <row r="124" spans="1:26" ht="11.25" customHeight="1" x14ac:dyDescent="0.3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</row>
    <row r="125" spans="1:26" ht="11.25" customHeight="1" x14ac:dyDescent="0.3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</row>
    <row r="126" spans="1:26" ht="11.25" customHeight="1" x14ac:dyDescent="0.3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</row>
    <row r="127" spans="1:26" ht="11.25" customHeight="1" x14ac:dyDescent="0.3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</row>
    <row r="128" spans="1:26" ht="11.25" customHeight="1" x14ac:dyDescent="0.3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</row>
    <row r="129" spans="1:26" ht="11.25" customHeight="1" x14ac:dyDescent="0.3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</row>
    <row r="130" spans="1:26" ht="11.25" customHeight="1" x14ac:dyDescent="0.3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</row>
    <row r="131" spans="1:26" ht="11.25" customHeight="1" x14ac:dyDescent="0.3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</row>
    <row r="132" spans="1:26" ht="11.25" customHeight="1" x14ac:dyDescent="0.3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</row>
    <row r="133" spans="1:26" ht="11.25" customHeight="1" x14ac:dyDescent="0.3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</row>
    <row r="134" spans="1:26" ht="11.25" customHeight="1" x14ac:dyDescent="0.3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</row>
    <row r="135" spans="1:26" ht="11.25" customHeight="1" x14ac:dyDescent="0.3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</row>
    <row r="136" spans="1:26" ht="11.25" customHeight="1" x14ac:dyDescent="0.3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</row>
    <row r="137" spans="1:26" ht="11.25" customHeight="1" x14ac:dyDescent="0.3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</row>
    <row r="138" spans="1:26" ht="11.25" customHeight="1" x14ac:dyDescent="0.3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</row>
    <row r="139" spans="1:26" ht="11.25" customHeight="1" x14ac:dyDescent="0.3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</row>
    <row r="140" spans="1:26" ht="11.25" customHeight="1" x14ac:dyDescent="0.3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</row>
    <row r="141" spans="1:26" ht="11.25" customHeight="1" x14ac:dyDescent="0.3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</row>
    <row r="142" spans="1:26" ht="11.25" customHeight="1" x14ac:dyDescent="0.3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</row>
    <row r="143" spans="1:26" ht="11.25" customHeight="1" x14ac:dyDescent="0.3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</row>
    <row r="144" spans="1:26" ht="11.25" customHeight="1" x14ac:dyDescent="0.3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</row>
    <row r="145" spans="1:26" ht="11.25" customHeight="1" x14ac:dyDescent="0.3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</row>
    <row r="146" spans="1:26" ht="11.25" customHeight="1" x14ac:dyDescent="0.3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</row>
    <row r="147" spans="1:26" ht="11.25" customHeight="1" x14ac:dyDescent="0.3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</row>
    <row r="148" spans="1:26" ht="11.25" customHeight="1" x14ac:dyDescent="0.3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</row>
    <row r="149" spans="1:26" ht="11.25" customHeight="1" x14ac:dyDescent="0.3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</row>
    <row r="150" spans="1:26" ht="11.25" customHeight="1" x14ac:dyDescent="0.3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</row>
    <row r="151" spans="1:26" ht="11.25" customHeight="1" x14ac:dyDescent="0.3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</row>
    <row r="152" spans="1:26" ht="11.25" customHeight="1" x14ac:dyDescent="0.3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</row>
    <row r="153" spans="1:26" ht="11.25" customHeight="1" x14ac:dyDescent="0.3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</row>
    <row r="154" spans="1:26" ht="11.25" customHeight="1" x14ac:dyDescent="0.3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</row>
    <row r="155" spans="1:26" ht="11.25" customHeight="1" x14ac:dyDescent="0.3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</row>
    <row r="156" spans="1:26" ht="11.25" customHeight="1" x14ac:dyDescent="0.3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</row>
    <row r="157" spans="1:26" ht="11.25" customHeight="1" x14ac:dyDescent="0.3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</row>
    <row r="158" spans="1:26" ht="11.25" customHeight="1" x14ac:dyDescent="0.3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</row>
    <row r="159" spans="1:26" ht="11.25" customHeight="1" x14ac:dyDescent="0.3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</row>
    <row r="160" spans="1:26" ht="11.25" customHeight="1" x14ac:dyDescent="0.3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</row>
    <row r="161" spans="1:26" ht="11.25" customHeight="1" x14ac:dyDescent="0.3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</row>
    <row r="162" spans="1:26" ht="11.25" customHeight="1" x14ac:dyDescent="0.3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</row>
    <row r="163" spans="1:26" ht="11.25" customHeight="1" x14ac:dyDescent="0.3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</row>
    <row r="164" spans="1:26" ht="11.25" customHeight="1" x14ac:dyDescent="0.3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</row>
    <row r="165" spans="1:26" ht="11.25" customHeight="1" x14ac:dyDescent="0.3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</row>
    <row r="166" spans="1:26" ht="11.25" customHeight="1" x14ac:dyDescent="0.3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</row>
    <row r="167" spans="1:26" ht="11.25" customHeight="1" x14ac:dyDescent="0.3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</row>
    <row r="168" spans="1:26" ht="11.25" customHeight="1" x14ac:dyDescent="0.3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</row>
    <row r="169" spans="1:26" ht="11.25" customHeight="1" x14ac:dyDescent="0.3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</row>
    <row r="170" spans="1:26" ht="11.25" customHeight="1" x14ac:dyDescent="0.3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</row>
    <row r="171" spans="1:26" ht="11.25" customHeight="1" x14ac:dyDescent="0.3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</row>
    <row r="172" spans="1:26" ht="11.25" customHeight="1" x14ac:dyDescent="0.3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</row>
    <row r="173" spans="1:26" ht="11.25" customHeight="1" x14ac:dyDescent="0.3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</row>
    <row r="174" spans="1:26" ht="11.25" customHeight="1" x14ac:dyDescent="0.3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</row>
    <row r="175" spans="1:26" ht="11.25" customHeight="1" x14ac:dyDescent="0.3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</row>
    <row r="176" spans="1:26" ht="11.25" customHeight="1" x14ac:dyDescent="0.3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</row>
    <row r="177" spans="1:26" ht="11.25" customHeight="1" x14ac:dyDescent="0.3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</row>
    <row r="178" spans="1:26" ht="11.25" customHeight="1" x14ac:dyDescent="0.3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</row>
    <row r="179" spans="1:26" ht="11.25" customHeight="1" x14ac:dyDescent="0.3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</row>
    <row r="180" spans="1:26" ht="11.25" customHeight="1" x14ac:dyDescent="0.3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</row>
    <row r="181" spans="1:26" ht="11.25" customHeight="1" x14ac:dyDescent="0.3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</row>
    <row r="182" spans="1:26" ht="11.25" customHeight="1" x14ac:dyDescent="0.3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</row>
    <row r="183" spans="1:26" ht="11.25" customHeight="1" x14ac:dyDescent="0.3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</row>
    <row r="184" spans="1:26" ht="11.25" customHeight="1" x14ac:dyDescent="0.3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</row>
    <row r="185" spans="1:26" ht="11.25" customHeight="1" x14ac:dyDescent="0.3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</row>
    <row r="186" spans="1:26" ht="11.25" customHeight="1" x14ac:dyDescent="0.3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</row>
    <row r="187" spans="1:26" ht="11.25" customHeight="1" x14ac:dyDescent="0.3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</row>
    <row r="188" spans="1:26" ht="11.25" customHeight="1" x14ac:dyDescent="0.3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</row>
    <row r="189" spans="1:26" ht="11.25" customHeight="1" x14ac:dyDescent="0.3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</row>
    <row r="190" spans="1:26" ht="11.25" customHeight="1" x14ac:dyDescent="0.3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</row>
    <row r="191" spans="1:26" ht="11.25" customHeight="1" x14ac:dyDescent="0.3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</row>
    <row r="192" spans="1:26" ht="11.25" customHeight="1" x14ac:dyDescent="0.3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</row>
    <row r="193" spans="1:26" ht="11.25" customHeight="1" x14ac:dyDescent="0.3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</row>
    <row r="194" spans="1:26" ht="11.25" customHeight="1" x14ac:dyDescent="0.3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</row>
    <row r="195" spans="1:26" ht="11.25" customHeight="1" x14ac:dyDescent="0.3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</row>
    <row r="196" spans="1:26" ht="11.25" customHeight="1" x14ac:dyDescent="0.3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</row>
    <row r="197" spans="1:26" ht="11.25" customHeight="1" x14ac:dyDescent="0.3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</row>
    <row r="198" spans="1:26" ht="11.25" customHeight="1" x14ac:dyDescent="0.3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</row>
    <row r="199" spans="1:26" ht="11.25" customHeight="1" x14ac:dyDescent="0.3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</row>
    <row r="200" spans="1:26" ht="11.25" customHeight="1" x14ac:dyDescent="0.3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</row>
    <row r="201" spans="1:26" ht="11.25" customHeight="1" x14ac:dyDescent="0.3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</row>
    <row r="202" spans="1:26" ht="11.25" customHeight="1" x14ac:dyDescent="0.3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</row>
    <row r="203" spans="1:26" ht="11.25" customHeight="1" x14ac:dyDescent="0.3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</row>
    <row r="204" spans="1:26" ht="11.25" customHeight="1" x14ac:dyDescent="0.3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</row>
    <row r="205" spans="1:26" ht="11.25" customHeight="1" x14ac:dyDescent="0.3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</row>
    <row r="206" spans="1:26" ht="11.25" customHeight="1" x14ac:dyDescent="0.3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</row>
    <row r="207" spans="1:26" ht="11.25" customHeight="1" x14ac:dyDescent="0.3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</row>
    <row r="208" spans="1:26" ht="11.25" customHeight="1" x14ac:dyDescent="0.3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</row>
    <row r="209" spans="1:26" ht="11.25" customHeight="1" x14ac:dyDescent="0.3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</row>
    <row r="210" spans="1:26" ht="11.25" customHeight="1" x14ac:dyDescent="0.3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</row>
    <row r="211" spans="1:26" ht="11.25" customHeight="1" x14ac:dyDescent="0.3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</row>
    <row r="212" spans="1:26" ht="11.25" customHeight="1" x14ac:dyDescent="0.3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</row>
    <row r="213" spans="1:26" ht="11.25" customHeight="1" x14ac:dyDescent="0.3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</row>
    <row r="214" spans="1:26" ht="11.25" customHeight="1" x14ac:dyDescent="0.3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</row>
    <row r="215" spans="1:26" ht="11.25" customHeight="1" x14ac:dyDescent="0.3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</row>
    <row r="216" spans="1:26" ht="11.25" customHeight="1" x14ac:dyDescent="0.3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</row>
    <row r="217" spans="1:26" ht="11.25" customHeight="1" x14ac:dyDescent="0.3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</row>
    <row r="218" spans="1:26" ht="11.25" customHeight="1" x14ac:dyDescent="0.3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</row>
    <row r="219" spans="1:26" ht="11.25" customHeight="1" x14ac:dyDescent="0.3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</row>
    <row r="220" spans="1:26" ht="11.25" customHeight="1" x14ac:dyDescent="0.3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</row>
    <row r="221" spans="1:26" ht="11.25" customHeight="1" x14ac:dyDescent="0.3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</row>
    <row r="222" spans="1:26" ht="11.25" customHeight="1" x14ac:dyDescent="0.3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</row>
    <row r="223" spans="1:26" ht="11.25" customHeight="1" x14ac:dyDescent="0.3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</row>
    <row r="224" spans="1:26" ht="11.25" customHeight="1" x14ac:dyDescent="0.3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</row>
    <row r="225" spans="1:26" ht="11.25" customHeight="1" x14ac:dyDescent="0.3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</row>
    <row r="226" spans="1:26" ht="11.25" customHeight="1" x14ac:dyDescent="0.3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</row>
    <row r="227" spans="1:26" ht="11.25" customHeight="1" x14ac:dyDescent="0.3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</row>
    <row r="228" spans="1:26" ht="11.25" customHeight="1" x14ac:dyDescent="0.3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</row>
    <row r="229" spans="1:26" ht="11.25" customHeight="1" x14ac:dyDescent="0.3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</row>
    <row r="230" spans="1:26" ht="11.25" customHeight="1" x14ac:dyDescent="0.3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</row>
    <row r="231" spans="1:26" ht="11.25" customHeight="1" x14ac:dyDescent="0.3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</row>
    <row r="232" spans="1:26" ht="11.25" customHeight="1" x14ac:dyDescent="0.3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</row>
    <row r="233" spans="1:26" ht="11.25" customHeight="1" x14ac:dyDescent="0.3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</row>
    <row r="234" spans="1:26" ht="11.25" customHeight="1" x14ac:dyDescent="0.3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</row>
    <row r="235" spans="1:26" ht="11.25" customHeight="1" x14ac:dyDescent="0.3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</row>
    <row r="236" spans="1:26" ht="11.25" customHeight="1" x14ac:dyDescent="0.3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</row>
    <row r="237" spans="1:26" ht="11.25" customHeight="1" x14ac:dyDescent="0.3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</row>
    <row r="238" spans="1:26" ht="11.25" customHeight="1" x14ac:dyDescent="0.3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</row>
    <row r="239" spans="1:26" ht="11.25" customHeight="1" x14ac:dyDescent="0.3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</row>
    <row r="240" spans="1:26" ht="11.25" customHeight="1" x14ac:dyDescent="0.3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</row>
    <row r="241" spans="1:26" ht="11.25" customHeight="1" x14ac:dyDescent="0.3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</row>
    <row r="242" spans="1:26" ht="11.25" customHeight="1" x14ac:dyDescent="0.3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</row>
    <row r="243" spans="1:26" ht="11.25" customHeight="1" x14ac:dyDescent="0.3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</row>
    <row r="244" spans="1:26" ht="11.25" customHeight="1" x14ac:dyDescent="0.3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</row>
    <row r="245" spans="1:26" ht="11.25" customHeight="1" x14ac:dyDescent="0.3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</row>
    <row r="246" spans="1:26" ht="11.25" customHeight="1" x14ac:dyDescent="0.3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</row>
    <row r="247" spans="1:26" ht="11.25" customHeight="1" x14ac:dyDescent="0.3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</row>
    <row r="248" spans="1:26" ht="11.25" customHeight="1" x14ac:dyDescent="0.3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</row>
    <row r="249" spans="1:26" ht="11.25" customHeight="1" x14ac:dyDescent="0.3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</row>
    <row r="250" spans="1:26" ht="11.25" customHeight="1" x14ac:dyDescent="0.3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</row>
    <row r="251" spans="1:26" ht="11.25" customHeight="1" x14ac:dyDescent="0.3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</row>
    <row r="252" spans="1:26" ht="11.25" customHeight="1" x14ac:dyDescent="0.3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</row>
    <row r="253" spans="1:26" ht="11.25" customHeight="1" x14ac:dyDescent="0.3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</row>
    <row r="254" spans="1:26" ht="11.25" customHeight="1" x14ac:dyDescent="0.3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</row>
    <row r="255" spans="1:26" ht="11.25" customHeight="1" x14ac:dyDescent="0.3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</row>
    <row r="256" spans="1:26" ht="11.25" customHeight="1" x14ac:dyDescent="0.3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</row>
    <row r="257" spans="1:26" ht="11.25" customHeight="1" x14ac:dyDescent="0.3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</row>
    <row r="258" spans="1:26" ht="11.25" customHeight="1" x14ac:dyDescent="0.3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</row>
    <row r="259" spans="1:26" ht="11.25" customHeight="1" x14ac:dyDescent="0.3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</row>
    <row r="260" spans="1:26" ht="11.25" customHeight="1" x14ac:dyDescent="0.3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</row>
    <row r="261" spans="1:26" ht="11.25" customHeight="1" x14ac:dyDescent="0.3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</row>
    <row r="262" spans="1:26" ht="11.25" customHeight="1" x14ac:dyDescent="0.3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</row>
    <row r="263" spans="1:26" ht="11.25" customHeight="1" x14ac:dyDescent="0.3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</row>
    <row r="264" spans="1:26" ht="11.25" customHeight="1" x14ac:dyDescent="0.3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</row>
    <row r="265" spans="1:26" ht="11.25" customHeight="1" x14ac:dyDescent="0.3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</row>
    <row r="266" spans="1:26" ht="11.25" customHeight="1" x14ac:dyDescent="0.3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</row>
    <row r="267" spans="1:26" ht="11.25" customHeight="1" x14ac:dyDescent="0.3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</row>
    <row r="268" spans="1:26" ht="11.25" customHeight="1" x14ac:dyDescent="0.3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</row>
    <row r="269" spans="1:26" ht="11.25" customHeight="1" x14ac:dyDescent="0.3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</row>
    <row r="270" spans="1:26" ht="11.25" customHeight="1" x14ac:dyDescent="0.3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</row>
    <row r="271" spans="1:26" ht="11.25" customHeight="1" x14ac:dyDescent="0.3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</row>
    <row r="272" spans="1:26" ht="11.25" customHeight="1" x14ac:dyDescent="0.3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</row>
    <row r="273" spans="1:26" ht="11.25" customHeight="1" x14ac:dyDescent="0.3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</row>
    <row r="274" spans="1:26" ht="11.25" customHeight="1" x14ac:dyDescent="0.3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</row>
    <row r="275" spans="1:26" ht="11.25" customHeight="1" x14ac:dyDescent="0.3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</row>
    <row r="276" spans="1:26" ht="11.25" customHeight="1" x14ac:dyDescent="0.3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</row>
    <row r="277" spans="1:26" ht="11.25" customHeight="1" x14ac:dyDescent="0.3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</row>
    <row r="278" spans="1:26" ht="11.25" customHeight="1" x14ac:dyDescent="0.3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</row>
    <row r="279" spans="1:26" ht="11.25" customHeight="1" x14ac:dyDescent="0.3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</row>
    <row r="280" spans="1:26" ht="11.25" customHeight="1" x14ac:dyDescent="0.3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</row>
    <row r="281" spans="1:26" ht="11.25" customHeight="1" x14ac:dyDescent="0.3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</row>
    <row r="282" spans="1:26" ht="11.25" customHeight="1" x14ac:dyDescent="0.3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</row>
    <row r="283" spans="1:26" ht="11.25" customHeight="1" x14ac:dyDescent="0.3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</row>
    <row r="284" spans="1:26" ht="11.25" customHeight="1" x14ac:dyDescent="0.3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</row>
    <row r="285" spans="1:26" ht="11.25" customHeight="1" x14ac:dyDescent="0.3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</row>
    <row r="286" spans="1:26" ht="11.25" customHeight="1" x14ac:dyDescent="0.3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</row>
    <row r="287" spans="1:26" ht="11.25" customHeight="1" x14ac:dyDescent="0.3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</row>
    <row r="288" spans="1:26" ht="11.25" customHeight="1" x14ac:dyDescent="0.3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</row>
    <row r="289" spans="1:26" ht="11.25" customHeight="1" x14ac:dyDescent="0.3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</row>
    <row r="290" spans="1:26" ht="11.25" customHeight="1" x14ac:dyDescent="0.3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</row>
    <row r="291" spans="1:26" ht="11.25" customHeight="1" x14ac:dyDescent="0.3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</row>
    <row r="292" spans="1:26" ht="11.25" customHeight="1" x14ac:dyDescent="0.3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</row>
    <row r="293" spans="1:26" ht="11.25" customHeight="1" x14ac:dyDescent="0.3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</row>
    <row r="294" spans="1:26" ht="11.25" customHeight="1" x14ac:dyDescent="0.3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</row>
    <row r="295" spans="1:26" ht="11.25" customHeight="1" x14ac:dyDescent="0.3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</row>
    <row r="296" spans="1:26" ht="11.25" customHeight="1" x14ac:dyDescent="0.3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</row>
    <row r="297" spans="1:26" ht="11.25" customHeight="1" x14ac:dyDescent="0.3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</row>
    <row r="298" spans="1:26" ht="11.25" customHeight="1" x14ac:dyDescent="0.3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</row>
    <row r="299" spans="1:26" ht="11.25" customHeight="1" x14ac:dyDescent="0.3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</row>
    <row r="300" spans="1:26" ht="11.25" customHeight="1" x14ac:dyDescent="0.3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</row>
    <row r="301" spans="1:26" ht="11.25" customHeight="1" x14ac:dyDescent="0.3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</row>
    <row r="302" spans="1:26" ht="11.25" customHeight="1" x14ac:dyDescent="0.3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</row>
    <row r="303" spans="1:26" ht="11.25" customHeight="1" x14ac:dyDescent="0.3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</row>
    <row r="304" spans="1:26" ht="11.25" customHeight="1" x14ac:dyDescent="0.3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</row>
    <row r="305" spans="1:26" ht="11.25" customHeight="1" x14ac:dyDescent="0.3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</row>
    <row r="306" spans="1:26" ht="11.25" customHeight="1" x14ac:dyDescent="0.3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</row>
    <row r="307" spans="1:26" ht="11.25" customHeight="1" x14ac:dyDescent="0.3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</row>
    <row r="308" spans="1:26" ht="11.25" customHeight="1" x14ac:dyDescent="0.3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</row>
    <row r="309" spans="1:26" ht="11.25" customHeight="1" x14ac:dyDescent="0.3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</row>
    <row r="310" spans="1:26" ht="11.25" customHeight="1" x14ac:dyDescent="0.3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</row>
    <row r="311" spans="1:26" ht="11.25" customHeight="1" x14ac:dyDescent="0.3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</row>
    <row r="312" spans="1:26" ht="11.25" customHeight="1" x14ac:dyDescent="0.3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</row>
    <row r="313" spans="1:26" ht="11.25" customHeight="1" x14ac:dyDescent="0.3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</row>
    <row r="314" spans="1:26" ht="11.25" customHeight="1" x14ac:dyDescent="0.3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</row>
    <row r="315" spans="1:26" ht="11.25" customHeight="1" x14ac:dyDescent="0.3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</row>
    <row r="316" spans="1:26" ht="11.25" customHeight="1" x14ac:dyDescent="0.3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</row>
    <row r="317" spans="1:26" ht="11.25" customHeight="1" x14ac:dyDescent="0.3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</row>
    <row r="318" spans="1:26" ht="11.25" customHeight="1" x14ac:dyDescent="0.3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</row>
    <row r="319" spans="1:26" ht="11.25" customHeight="1" x14ac:dyDescent="0.3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</row>
    <row r="320" spans="1:26" ht="11.25" customHeight="1" x14ac:dyDescent="0.3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</row>
    <row r="321" spans="1:26" ht="11.25" customHeight="1" x14ac:dyDescent="0.3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</row>
    <row r="322" spans="1:26" ht="11.25" customHeight="1" x14ac:dyDescent="0.3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</row>
    <row r="323" spans="1:26" ht="11.25" customHeight="1" x14ac:dyDescent="0.3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</row>
    <row r="324" spans="1:26" ht="11.25" customHeight="1" x14ac:dyDescent="0.3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</row>
    <row r="325" spans="1:26" ht="11.25" customHeight="1" x14ac:dyDescent="0.3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</row>
    <row r="326" spans="1:26" ht="11.25" customHeight="1" x14ac:dyDescent="0.3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</row>
    <row r="327" spans="1:26" ht="11.25" customHeight="1" x14ac:dyDescent="0.3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</row>
    <row r="328" spans="1:26" ht="11.25" customHeight="1" x14ac:dyDescent="0.3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</row>
    <row r="329" spans="1:26" ht="11.25" customHeight="1" x14ac:dyDescent="0.3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</row>
    <row r="330" spans="1:26" ht="11.25" customHeight="1" x14ac:dyDescent="0.3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</row>
    <row r="331" spans="1:26" ht="11.25" customHeight="1" x14ac:dyDescent="0.3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</row>
    <row r="332" spans="1:26" ht="11.25" customHeight="1" x14ac:dyDescent="0.3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</row>
    <row r="333" spans="1:26" ht="11.25" customHeight="1" x14ac:dyDescent="0.3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</row>
    <row r="334" spans="1:26" ht="11.25" customHeight="1" x14ac:dyDescent="0.3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</row>
    <row r="335" spans="1:26" ht="11.25" customHeight="1" x14ac:dyDescent="0.3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</row>
    <row r="336" spans="1:26" ht="11.25" customHeight="1" x14ac:dyDescent="0.3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</row>
    <row r="337" spans="1:26" ht="11.25" customHeight="1" x14ac:dyDescent="0.3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</row>
    <row r="338" spans="1:26" ht="11.25" customHeight="1" x14ac:dyDescent="0.3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</row>
    <row r="339" spans="1:26" ht="11.25" customHeight="1" x14ac:dyDescent="0.3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</row>
    <row r="340" spans="1:26" ht="11.25" customHeight="1" x14ac:dyDescent="0.3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</row>
    <row r="341" spans="1:26" ht="11.25" customHeight="1" x14ac:dyDescent="0.3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</row>
    <row r="342" spans="1:26" ht="11.25" customHeight="1" x14ac:dyDescent="0.3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</row>
    <row r="343" spans="1:26" ht="11.25" customHeight="1" x14ac:dyDescent="0.3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</row>
    <row r="344" spans="1:26" ht="11.25" customHeight="1" x14ac:dyDescent="0.3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</row>
    <row r="345" spans="1:26" ht="11.25" customHeight="1" x14ac:dyDescent="0.3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</row>
    <row r="346" spans="1:26" ht="11.25" customHeight="1" x14ac:dyDescent="0.3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</row>
    <row r="347" spans="1:26" ht="11.25" customHeight="1" x14ac:dyDescent="0.3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</row>
    <row r="348" spans="1:26" ht="11.25" customHeight="1" x14ac:dyDescent="0.3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</row>
    <row r="349" spans="1:26" ht="11.25" customHeight="1" x14ac:dyDescent="0.3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</row>
    <row r="350" spans="1:26" ht="11.25" customHeight="1" x14ac:dyDescent="0.3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</row>
    <row r="351" spans="1:26" ht="11.25" customHeight="1" x14ac:dyDescent="0.3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</row>
    <row r="352" spans="1:26" ht="11.25" customHeight="1" x14ac:dyDescent="0.3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</row>
    <row r="353" spans="1:26" ht="11.25" customHeight="1" x14ac:dyDescent="0.3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</row>
    <row r="354" spans="1:26" ht="11.25" customHeight="1" x14ac:dyDescent="0.3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</row>
    <row r="355" spans="1:26" ht="11.25" customHeight="1" x14ac:dyDescent="0.3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</row>
    <row r="356" spans="1:26" ht="11.25" customHeight="1" x14ac:dyDescent="0.3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</row>
    <row r="357" spans="1:26" ht="11.25" customHeight="1" x14ac:dyDescent="0.3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</row>
    <row r="358" spans="1:26" ht="11.25" customHeight="1" x14ac:dyDescent="0.3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</row>
    <row r="359" spans="1:26" ht="11.25" customHeight="1" x14ac:dyDescent="0.3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</row>
    <row r="360" spans="1:26" ht="11.25" customHeight="1" x14ac:dyDescent="0.3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</row>
    <row r="361" spans="1:26" ht="11.25" customHeight="1" x14ac:dyDescent="0.3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</row>
    <row r="362" spans="1:26" ht="11.25" customHeight="1" x14ac:dyDescent="0.3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</row>
    <row r="363" spans="1:26" ht="11.25" customHeight="1" x14ac:dyDescent="0.3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</row>
    <row r="364" spans="1:26" ht="11.25" customHeight="1" x14ac:dyDescent="0.3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</row>
    <row r="365" spans="1:26" ht="11.25" customHeight="1" x14ac:dyDescent="0.3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</row>
    <row r="366" spans="1:26" ht="11.25" customHeight="1" x14ac:dyDescent="0.3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</row>
    <row r="367" spans="1:26" ht="11.25" customHeight="1" x14ac:dyDescent="0.3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</row>
    <row r="368" spans="1:26" ht="11.25" customHeight="1" x14ac:dyDescent="0.3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</row>
    <row r="369" spans="1:26" ht="11.25" customHeight="1" x14ac:dyDescent="0.3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</row>
    <row r="370" spans="1:26" ht="11.25" customHeight="1" x14ac:dyDescent="0.3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</row>
    <row r="371" spans="1:26" ht="11.25" customHeight="1" x14ac:dyDescent="0.3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</row>
    <row r="372" spans="1:26" ht="11.25" customHeight="1" x14ac:dyDescent="0.3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</row>
    <row r="373" spans="1:26" ht="11.25" customHeight="1" x14ac:dyDescent="0.3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</row>
    <row r="374" spans="1:26" ht="11.25" customHeight="1" x14ac:dyDescent="0.3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</row>
    <row r="375" spans="1:26" ht="11.25" customHeight="1" x14ac:dyDescent="0.3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</row>
    <row r="376" spans="1:26" ht="11.25" customHeight="1" x14ac:dyDescent="0.3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</row>
    <row r="377" spans="1:26" ht="11.25" customHeight="1" x14ac:dyDescent="0.3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</row>
    <row r="378" spans="1:26" ht="11.25" customHeight="1" x14ac:dyDescent="0.3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</row>
    <row r="379" spans="1:26" ht="11.25" customHeight="1" x14ac:dyDescent="0.3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</row>
    <row r="380" spans="1:26" ht="11.25" customHeight="1" x14ac:dyDescent="0.3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</row>
    <row r="381" spans="1:26" ht="11.25" customHeight="1" x14ac:dyDescent="0.3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</row>
    <row r="382" spans="1:26" ht="11.25" customHeight="1" x14ac:dyDescent="0.3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</row>
    <row r="383" spans="1:26" ht="11.25" customHeight="1" x14ac:dyDescent="0.3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</row>
    <row r="384" spans="1:26" ht="11.25" customHeight="1" x14ac:dyDescent="0.3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</row>
    <row r="385" spans="1:26" ht="11.25" customHeight="1" x14ac:dyDescent="0.3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</row>
    <row r="386" spans="1:26" ht="11.25" customHeight="1" x14ac:dyDescent="0.3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</row>
    <row r="387" spans="1:26" ht="11.25" customHeight="1" x14ac:dyDescent="0.3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</row>
    <row r="388" spans="1:26" ht="11.25" customHeight="1" x14ac:dyDescent="0.3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</row>
    <row r="389" spans="1:26" ht="11.25" customHeight="1" x14ac:dyDescent="0.3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</row>
    <row r="390" spans="1:26" ht="11.25" customHeight="1" x14ac:dyDescent="0.3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</row>
    <row r="391" spans="1:26" ht="11.25" customHeight="1" x14ac:dyDescent="0.3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</row>
    <row r="392" spans="1:26" ht="11.25" customHeight="1" x14ac:dyDescent="0.3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</row>
    <row r="393" spans="1:26" ht="11.25" customHeight="1" x14ac:dyDescent="0.3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</row>
    <row r="394" spans="1:26" ht="11.25" customHeight="1" x14ac:dyDescent="0.3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</row>
    <row r="395" spans="1:26" ht="11.25" customHeight="1" x14ac:dyDescent="0.3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</row>
    <row r="396" spans="1:26" ht="11.25" customHeight="1" x14ac:dyDescent="0.3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</row>
    <row r="397" spans="1:26" ht="11.25" customHeight="1" x14ac:dyDescent="0.3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</row>
    <row r="398" spans="1:26" ht="11.25" customHeight="1" x14ac:dyDescent="0.3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</row>
    <row r="399" spans="1:26" ht="11.25" customHeight="1" x14ac:dyDescent="0.3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</row>
    <row r="400" spans="1:26" ht="11.25" customHeight="1" x14ac:dyDescent="0.3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</row>
    <row r="401" spans="1:26" ht="11.25" customHeight="1" x14ac:dyDescent="0.3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</row>
    <row r="402" spans="1:26" ht="11.25" customHeight="1" x14ac:dyDescent="0.3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</row>
    <row r="403" spans="1:26" ht="11.25" customHeight="1" x14ac:dyDescent="0.3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</row>
    <row r="404" spans="1:26" ht="11.25" customHeight="1" x14ac:dyDescent="0.3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</row>
    <row r="405" spans="1:26" ht="11.25" customHeight="1" x14ac:dyDescent="0.3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</row>
    <row r="406" spans="1:26" ht="11.25" customHeight="1" x14ac:dyDescent="0.3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</row>
    <row r="407" spans="1:26" ht="11.25" customHeight="1" x14ac:dyDescent="0.3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</row>
    <row r="408" spans="1:26" ht="11.25" customHeight="1" x14ac:dyDescent="0.3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</row>
    <row r="409" spans="1:26" ht="11.25" customHeight="1" x14ac:dyDescent="0.3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</row>
    <row r="410" spans="1:26" ht="11.25" customHeight="1" x14ac:dyDescent="0.3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</row>
    <row r="411" spans="1:26" ht="11.25" customHeight="1" x14ac:dyDescent="0.3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</row>
    <row r="412" spans="1:26" ht="11.25" customHeight="1" x14ac:dyDescent="0.3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</row>
    <row r="413" spans="1:26" ht="11.25" customHeight="1" x14ac:dyDescent="0.3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</row>
    <row r="414" spans="1:26" ht="11.25" customHeight="1" x14ac:dyDescent="0.3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</row>
    <row r="415" spans="1:26" ht="11.25" customHeight="1" x14ac:dyDescent="0.3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</row>
    <row r="416" spans="1:26" ht="11.25" customHeight="1" x14ac:dyDescent="0.3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</row>
    <row r="417" spans="1:26" ht="11.25" customHeight="1" x14ac:dyDescent="0.3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</row>
    <row r="418" spans="1:26" ht="11.25" customHeight="1" x14ac:dyDescent="0.3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</row>
    <row r="419" spans="1:26" ht="11.25" customHeight="1" x14ac:dyDescent="0.3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</row>
    <row r="420" spans="1:26" ht="11.25" customHeight="1" x14ac:dyDescent="0.3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</row>
    <row r="421" spans="1:26" ht="11.25" customHeight="1" x14ac:dyDescent="0.3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</row>
    <row r="422" spans="1:26" ht="11.25" customHeight="1" x14ac:dyDescent="0.3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</row>
    <row r="423" spans="1:26" ht="11.25" customHeight="1" x14ac:dyDescent="0.3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</row>
    <row r="424" spans="1:26" ht="11.25" customHeight="1" x14ac:dyDescent="0.3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</row>
    <row r="425" spans="1:26" ht="11.25" customHeight="1" x14ac:dyDescent="0.3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</row>
    <row r="426" spans="1:26" ht="11.25" customHeight="1" x14ac:dyDescent="0.3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</row>
    <row r="427" spans="1:26" ht="11.25" customHeight="1" x14ac:dyDescent="0.3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</row>
    <row r="428" spans="1:26" ht="11.25" customHeight="1" x14ac:dyDescent="0.3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</row>
    <row r="429" spans="1:26" ht="11.25" customHeight="1" x14ac:dyDescent="0.3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</row>
    <row r="430" spans="1:26" ht="11.25" customHeight="1" x14ac:dyDescent="0.3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</row>
    <row r="431" spans="1:26" ht="11.25" customHeight="1" x14ac:dyDescent="0.3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</row>
    <row r="432" spans="1:26" ht="11.25" customHeight="1" x14ac:dyDescent="0.3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</row>
    <row r="433" spans="1:26" ht="11.25" customHeight="1" x14ac:dyDescent="0.3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</row>
    <row r="434" spans="1:26" ht="11.25" customHeight="1" x14ac:dyDescent="0.3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</row>
    <row r="435" spans="1:26" ht="11.25" customHeight="1" x14ac:dyDescent="0.3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</row>
    <row r="436" spans="1:26" ht="11.25" customHeight="1" x14ac:dyDescent="0.3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</row>
    <row r="437" spans="1:26" ht="11.25" customHeight="1" x14ac:dyDescent="0.3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</row>
    <row r="438" spans="1:26" ht="11.25" customHeight="1" x14ac:dyDescent="0.3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</row>
    <row r="439" spans="1:26" ht="11.25" customHeight="1" x14ac:dyDescent="0.3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</row>
    <row r="440" spans="1:26" ht="11.25" customHeight="1" x14ac:dyDescent="0.3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</row>
    <row r="441" spans="1:26" ht="11.25" customHeight="1" x14ac:dyDescent="0.3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</row>
    <row r="442" spans="1:26" ht="11.25" customHeight="1" x14ac:dyDescent="0.3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</row>
    <row r="443" spans="1:26" ht="11.25" customHeight="1" x14ac:dyDescent="0.3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</row>
    <row r="444" spans="1:26" ht="11.25" customHeight="1" x14ac:dyDescent="0.3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</row>
    <row r="445" spans="1:26" ht="11.25" customHeight="1" x14ac:dyDescent="0.3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</row>
    <row r="446" spans="1:26" ht="11.25" customHeight="1" x14ac:dyDescent="0.3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</row>
    <row r="447" spans="1:26" ht="11.25" customHeight="1" x14ac:dyDescent="0.3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</row>
    <row r="448" spans="1:26" ht="11.25" customHeight="1" x14ac:dyDescent="0.3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</row>
    <row r="449" spans="1:26" ht="11.25" customHeight="1" x14ac:dyDescent="0.3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</row>
    <row r="450" spans="1:26" ht="11.25" customHeight="1" x14ac:dyDescent="0.3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</row>
    <row r="451" spans="1:26" ht="11.25" customHeight="1" x14ac:dyDescent="0.3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</row>
    <row r="452" spans="1:26" ht="11.25" customHeight="1" x14ac:dyDescent="0.3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</row>
    <row r="453" spans="1:26" ht="11.25" customHeight="1" x14ac:dyDescent="0.3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</row>
    <row r="454" spans="1:26" ht="11.25" customHeight="1" x14ac:dyDescent="0.3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</row>
    <row r="455" spans="1:26" ht="11.25" customHeight="1" x14ac:dyDescent="0.3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</row>
    <row r="456" spans="1:26" ht="11.25" customHeight="1" x14ac:dyDescent="0.3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</row>
    <row r="457" spans="1:26" ht="11.25" customHeight="1" x14ac:dyDescent="0.3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</row>
    <row r="458" spans="1:26" ht="11.25" customHeight="1" x14ac:dyDescent="0.3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</row>
    <row r="459" spans="1:26" ht="11.25" customHeight="1" x14ac:dyDescent="0.3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</row>
    <row r="460" spans="1:26" ht="11.25" customHeight="1" x14ac:dyDescent="0.3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</row>
    <row r="461" spans="1:26" ht="11.25" customHeight="1" x14ac:dyDescent="0.3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</row>
    <row r="462" spans="1:26" ht="11.25" customHeight="1" x14ac:dyDescent="0.3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</row>
    <row r="463" spans="1:26" ht="11.25" customHeight="1" x14ac:dyDescent="0.3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</row>
    <row r="464" spans="1:26" ht="11.25" customHeight="1" x14ac:dyDescent="0.3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</row>
    <row r="465" spans="1:26" ht="11.25" customHeight="1" x14ac:dyDescent="0.3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</row>
    <row r="466" spans="1:26" ht="11.25" customHeight="1" x14ac:dyDescent="0.3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</row>
    <row r="467" spans="1:26" ht="11.25" customHeight="1" x14ac:dyDescent="0.3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</row>
    <row r="468" spans="1:26" ht="11.25" customHeight="1" x14ac:dyDescent="0.3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</row>
    <row r="469" spans="1:26" ht="11.25" customHeight="1" x14ac:dyDescent="0.3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</row>
    <row r="470" spans="1:26" ht="11.25" customHeight="1" x14ac:dyDescent="0.3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</row>
    <row r="471" spans="1:26" ht="11.25" customHeight="1" x14ac:dyDescent="0.3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</row>
    <row r="472" spans="1:26" ht="11.25" customHeight="1" x14ac:dyDescent="0.3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</row>
    <row r="473" spans="1:26" ht="11.25" customHeight="1" x14ac:dyDescent="0.3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</row>
    <row r="474" spans="1:26" ht="11.25" customHeight="1" x14ac:dyDescent="0.3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</row>
    <row r="475" spans="1:26" ht="11.25" customHeight="1" x14ac:dyDescent="0.3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</row>
    <row r="476" spans="1:26" ht="11.25" customHeight="1" x14ac:dyDescent="0.3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</row>
    <row r="477" spans="1:26" ht="11.25" customHeight="1" x14ac:dyDescent="0.3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</row>
    <row r="478" spans="1:26" ht="11.25" customHeight="1" x14ac:dyDescent="0.3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</row>
    <row r="479" spans="1:26" ht="11.25" customHeight="1" x14ac:dyDescent="0.3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</row>
    <row r="480" spans="1:26" ht="11.25" customHeight="1" x14ac:dyDescent="0.3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</row>
    <row r="481" spans="1:26" ht="11.25" customHeight="1" x14ac:dyDescent="0.3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</row>
    <row r="482" spans="1:26" ht="11.25" customHeight="1" x14ac:dyDescent="0.3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</row>
    <row r="483" spans="1:26" ht="11.25" customHeight="1" x14ac:dyDescent="0.3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</row>
    <row r="484" spans="1:26" ht="11.25" customHeight="1" x14ac:dyDescent="0.3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</row>
    <row r="485" spans="1:26" ht="11.25" customHeight="1" x14ac:dyDescent="0.3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</row>
    <row r="486" spans="1:26" ht="11.25" customHeight="1" x14ac:dyDescent="0.3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</row>
    <row r="487" spans="1:26" ht="11.25" customHeight="1" x14ac:dyDescent="0.3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</row>
    <row r="488" spans="1:26" ht="11.25" customHeight="1" x14ac:dyDescent="0.3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</row>
    <row r="489" spans="1:26" ht="11.25" customHeight="1" x14ac:dyDescent="0.3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</row>
    <row r="490" spans="1:26" ht="11.25" customHeight="1" x14ac:dyDescent="0.3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</row>
    <row r="491" spans="1:26" ht="11.25" customHeight="1" x14ac:dyDescent="0.3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</row>
    <row r="492" spans="1:26" ht="11.25" customHeight="1" x14ac:dyDescent="0.3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</row>
    <row r="493" spans="1:26" ht="11.25" customHeight="1" x14ac:dyDescent="0.3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</row>
    <row r="494" spans="1:26" ht="11.25" customHeight="1" x14ac:dyDescent="0.3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</row>
    <row r="495" spans="1:26" ht="11.25" customHeight="1" x14ac:dyDescent="0.3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</row>
    <row r="496" spans="1:26" ht="11.25" customHeight="1" x14ac:dyDescent="0.3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</row>
    <row r="497" spans="1:26" ht="11.25" customHeight="1" x14ac:dyDescent="0.3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</row>
    <row r="498" spans="1:26" ht="11.25" customHeight="1" x14ac:dyDescent="0.3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</row>
    <row r="499" spans="1:26" ht="11.25" customHeight="1" x14ac:dyDescent="0.3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</row>
    <row r="500" spans="1:26" ht="11.25" customHeight="1" x14ac:dyDescent="0.3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</row>
    <row r="501" spans="1:26" ht="11.25" customHeight="1" x14ac:dyDescent="0.3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</row>
    <row r="502" spans="1:26" ht="11.25" customHeight="1" x14ac:dyDescent="0.3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</row>
    <row r="503" spans="1:26" ht="11.25" customHeight="1" x14ac:dyDescent="0.3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</row>
    <row r="504" spans="1:26" ht="11.25" customHeight="1" x14ac:dyDescent="0.3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</row>
    <row r="505" spans="1:26" ht="11.25" customHeight="1" x14ac:dyDescent="0.3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</row>
    <row r="506" spans="1:26" ht="11.25" customHeight="1" x14ac:dyDescent="0.3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</row>
    <row r="507" spans="1:26" ht="11.25" customHeight="1" x14ac:dyDescent="0.3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</row>
    <row r="508" spans="1:26" ht="11.25" customHeight="1" x14ac:dyDescent="0.3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</row>
    <row r="509" spans="1:26" ht="11.25" customHeight="1" x14ac:dyDescent="0.3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</row>
    <row r="510" spans="1:26" ht="11.25" customHeight="1" x14ac:dyDescent="0.3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</row>
    <row r="511" spans="1:26" ht="11.25" customHeight="1" x14ac:dyDescent="0.3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</row>
    <row r="512" spans="1:26" ht="11.25" customHeight="1" x14ac:dyDescent="0.3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</row>
    <row r="513" spans="1:26" ht="11.25" customHeight="1" x14ac:dyDescent="0.3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</row>
    <row r="514" spans="1:26" ht="11.25" customHeight="1" x14ac:dyDescent="0.3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</row>
    <row r="515" spans="1:26" ht="11.25" customHeight="1" x14ac:dyDescent="0.3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</row>
    <row r="516" spans="1:26" ht="11.25" customHeight="1" x14ac:dyDescent="0.3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</row>
    <row r="517" spans="1:26" ht="11.25" customHeight="1" x14ac:dyDescent="0.3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</row>
    <row r="518" spans="1:26" ht="11.25" customHeight="1" x14ac:dyDescent="0.3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</row>
    <row r="519" spans="1:26" ht="11.25" customHeight="1" x14ac:dyDescent="0.3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</row>
    <row r="520" spans="1:26" ht="11.25" customHeight="1" x14ac:dyDescent="0.3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</row>
    <row r="521" spans="1:26" ht="11.25" customHeight="1" x14ac:dyDescent="0.3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</row>
    <row r="522" spans="1:26" ht="11.25" customHeight="1" x14ac:dyDescent="0.3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</row>
    <row r="523" spans="1:26" ht="11.25" customHeight="1" x14ac:dyDescent="0.3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</row>
    <row r="524" spans="1:26" ht="11.25" customHeight="1" x14ac:dyDescent="0.3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</row>
    <row r="525" spans="1:26" ht="11.25" customHeight="1" x14ac:dyDescent="0.3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</row>
    <row r="526" spans="1:26" ht="11.25" customHeight="1" x14ac:dyDescent="0.3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</row>
    <row r="527" spans="1:26" ht="11.25" customHeight="1" x14ac:dyDescent="0.3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</row>
    <row r="528" spans="1:26" ht="11.25" customHeight="1" x14ac:dyDescent="0.3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</row>
    <row r="529" spans="1:26" ht="11.25" customHeight="1" x14ac:dyDescent="0.3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</row>
    <row r="530" spans="1:26" ht="11.25" customHeight="1" x14ac:dyDescent="0.3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</row>
    <row r="531" spans="1:26" ht="11.25" customHeight="1" x14ac:dyDescent="0.3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</row>
    <row r="532" spans="1:26" ht="11.25" customHeight="1" x14ac:dyDescent="0.3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</row>
    <row r="533" spans="1:26" ht="11.25" customHeight="1" x14ac:dyDescent="0.3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</row>
    <row r="534" spans="1:26" ht="11.25" customHeight="1" x14ac:dyDescent="0.3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</row>
    <row r="535" spans="1:26" ht="11.25" customHeight="1" x14ac:dyDescent="0.3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</row>
    <row r="536" spans="1:26" ht="11.25" customHeight="1" x14ac:dyDescent="0.3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</row>
    <row r="537" spans="1:26" ht="11.25" customHeight="1" x14ac:dyDescent="0.3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</row>
    <row r="538" spans="1:26" ht="11.25" customHeight="1" x14ac:dyDescent="0.3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</row>
    <row r="539" spans="1:26" ht="11.25" customHeight="1" x14ac:dyDescent="0.3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</row>
    <row r="540" spans="1:26" ht="11.25" customHeight="1" x14ac:dyDescent="0.3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</row>
    <row r="541" spans="1:26" ht="11.25" customHeight="1" x14ac:dyDescent="0.3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</row>
    <row r="542" spans="1:26" ht="11.25" customHeight="1" x14ac:dyDescent="0.3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</row>
    <row r="543" spans="1:26" ht="11.25" customHeight="1" x14ac:dyDescent="0.3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</row>
    <row r="544" spans="1:26" ht="11.25" customHeight="1" x14ac:dyDescent="0.3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</row>
    <row r="545" spans="1:26" ht="11.25" customHeight="1" x14ac:dyDescent="0.3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</row>
    <row r="546" spans="1:26" ht="11.25" customHeight="1" x14ac:dyDescent="0.3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</row>
    <row r="547" spans="1:26" ht="11.25" customHeight="1" x14ac:dyDescent="0.3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</row>
    <row r="548" spans="1:26" ht="11.25" customHeight="1" x14ac:dyDescent="0.3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</row>
    <row r="549" spans="1:26" ht="11.25" customHeight="1" x14ac:dyDescent="0.3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</row>
    <row r="550" spans="1:26" ht="11.25" customHeight="1" x14ac:dyDescent="0.3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</row>
    <row r="551" spans="1:26" ht="11.25" customHeight="1" x14ac:dyDescent="0.3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</row>
    <row r="552" spans="1:26" ht="11.25" customHeight="1" x14ac:dyDescent="0.3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</row>
    <row r="553" spans="1:26" ht="11.25" customHeight="1" x14ac:dyDescent="0.3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</row>
    <row r="554" spans="1:26" ht="11.25" customHeight="1" x14ac:dyDescent="0.3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</row>
    <row r="555" spans="1:26" ht="11.25" customHeight="1" x14ac:dyDescent="0.3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</row>
    <row r="556" spans="1:26" ht="11.25" customHeight="1" x14ac:dyDescent="0.3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</row>
    <row r="557" spans="1:26" ht="11.25" customHeight="1" x14ac:dyDescent="0.3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</row>
    <row r="558" spans="1:26" ht="11.25" customHeight="1" x14ac:dyDescent="0.3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</row>
    <row r="559" spans="1:26" ht="11.25" customHeight="1" x14ac:dyDescent="0.3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</row>
    <row r="560" spans="1:26" ht="11.25" customHeight="1" x14ac:dyDescent="0.3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</row>
    <row r="561" spans="1:26" ht="11.25" customHeight="1" x14ac:dyDescent="0.3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</row>
    <row r="562" spans="1:26" ht="11.25" customHeight="1" x14ac:dyDescent="0.3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</row>
    <row r="563" spans="1:26" ht="11.25" customHeight="1" x14ac:dyDescent="0.3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</row>
    <row r="564" spans="1:26" ht="11.25" customHeight="1" x14ac:dyDescent="0.3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</row>
    <row r="565" spans="1:26" ht="11.25" customHeight="1" x14ac:dyDescent="0.3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</row>
    <row r="566" spans="1:26" ht="11.25" customHeight="1" x14ac:dyDescent="0.3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</row>
    <row r="567" spans="1:26" ht="11.25" customHeight="1" x14ac:dyDescent="0.3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</row>
    <row r="568" spans="1:26" ht="11.25" customHeight="1" x14ac:dyDescent="0.3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</row>
    <row r="569" spans="1:26" ht="11.25" customHeight="1" x14ac:dyDescent="0.3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</row>
    <row r="570" spans="1:26" ht="11.25" customHeight="1" x14ac:dyDescent="0.3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</row>
    <row r="571" spans="1:26" ht="11.25" customHeight="1" x14ac:dyDescent="0.3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</row>
    <row r="572" spans="1:26" ht="11.25" customHeight="1" x14ac:dyDescent="0.3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</row>
    <row r="573" spans="1:26" ht="11.25" customHeight="1" x14ac:dyDescent="0.3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</row>
    <row r="574" spans="1:26" ht="11.25" customHeight="1" x14ac:dyDescent="0.3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</row>
    <row r="575" spans="1:26" ht="11.25" customHeight="1" x14ac:dyDescent="0.3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</row>
    <row r="576" spans="1:26" ht="11.25" customHeight="1" x14ac:dyDescent="0.3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</row>
    <row r="577" spans="1:26" ht="11.25" customHeight="1" x14ac:dyDescent="0.3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</row>
    <row r="578" spans="1:26" ht="11.25" customHeight="1" x14ac:dyDescent="0.3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</row>
    <row r="579" spans="1:26" ht="11.25" customHeight="1" x14ac:dyDescent="0.3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</row>
    <row r="580" spans="1:26" ht="11.25" customHeight="1" x14ac:dyDescent="0.3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</row>
    <row r="581" spans="1:26" ht="11.25" customHeight="1" x14ac:dyDescent="0.3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</row>
    <row r="582" spans="1:26" ht="11.25" customHeight="1" x14ac:dyDescent="0.3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</row>
    <row r="583" spans="1:26" ht="11.25" customHeight="1" x14ac:dyDescent="0.3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</row>
    <row r="584" spans="1:26" ht="11.25" customHeight="1" x14ac:dyDescent="0.3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</row>
    <row r="585" spans="1:26" ht="11.25" customHeight="1" x14ac:dyDescent="0.3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</row>
    <row r="586" spans="1:26" ht="11.25" customHeight="1" x14ac:dyDescent="0.3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</row>
    <row r="587" spans="1:26" ht="11.25" customHeight="1" x14ac:dyDescent="0.3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</row>
    <row r="588" spans="1:26" ht="11.25" customHeight="1" x14ac:dyDescent="0.3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</row>
    <row r="589" spans="1:26" ht="11.25" customHeight="1" x14ac:dyDescent="0.3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</row>
    <row r="590" spans="1:26" ht="11.25" customHeight="1" x14ac:dyDescent="0.3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</row>
    <row r="591" spans="1:26" ht="11.25" customHeight="1" x14ac:dyDescent="0.3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</row>
    <row r="592" spans="1:26" ht="11.25" customHeight="1" x14ac:dyDescent="0.3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</row>
    <row r="593" spans="1:26" ht="11.25" customHeight="1" x14ac:dyDescent="0.3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</row>
    <row r="594" spans="1:26" ht="11.25" customHeight="1" x14ac:dyDescent="0.3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</row>
    <row r="595" spans="1:26" ht="11.25" customHeight="1" x14ac:dyDescent="0.3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</row>
    <row r="596" spans="1:26" ht="11.25" customHeight="1" x14ac:dyDescent="0.3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</row>
    <row r="597" spans="1:26" ht="11.25" customHeight="1" x14ac:dyDescent="0.3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</row>
    <row r="598" spans="1:26" ht="11.25" customHeight="1" x14ac:dyDescent="0.3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</row>
    <row r="599" spans="1:26" ht="11.25" customHeight="1" x14ac:dyDescent="0.3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</row>
    <row r="600" spans="1:26" ht="11.25" customHeight="1" x14ac:dyDescent="0.3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</row>
    <row r="601" spans="1:26" ht="11.25" customHeight="1" x14ac:dyDescent="0.3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</row>
    <row r="602" spans="1:26" ht="11.25" customHeight="1" x14ac:dyDescent="0.3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</row>
    <row r="603" spans="1:26" ht="11.25" customHeight="1" x14ac:dyDescent="0.3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</row>
    <row r="604" spans="1:26" ht="11.25" customHeight="1" x14ac:dyDescent="0.3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</row>
    <row r="605" spans="1:26" ht="11.25" customHeight="1" x14ac:dyDescent="0.3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</row>
    <row r="606" spans="1:26" ht="11.25" customHeight="1" x14ac:dyDescent="0.3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</row>
    <row r="607" spans="1:26" ht="11.25" customHeight="1" x14ac:dyDescent="0.3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</row>
    <row r="608" spans="1:26" ht="11.25" customHeight="1" x14ac:dyDescent="0.3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</row>
    <row r="609" spans="1:26" ht="11.25" customHeight="1" x14ac:dyDescent="0.3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</row>
    <row r="610" spans="1:26" ht="11.25" customHeight="1" x14ac:dyDescent="0.3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</row>
    <row r="611" spans="1:26" ht="11.25" customHeight="1" x14ac:dyDescent="0.3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</row>
    <row r="612" spans="1:26" ht="11.25" customHeight="1" x14ac:dyDescent="0.3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</row>
    <row r="613" spans="1:26" ht="11.25" customHeight="1" x14ac:dyDescent="0.3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</row>
    <row r="614" spans="1:26" ht="11.25" customHeight="1" x14ac:dyDescent="0.3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</row>
    <row r="615" spans="1:26" ht="11.25" customHeight="1" x14ac:dyDescent="0.3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</row>
    <row r="616" spans="1:26" ht="11.25" customHeight="1" x14ac:dyDescent="0.3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</row>
    <row r="617" spans="1:26" ht="11.25" customHeight="1" x14ac:dyDescent="0.3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</row>
    <row r="618" spans="1:26" ht="11.25" customHeight="1" x14ac:dyDescent="0.3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</row>
    <row r="619" spans="1:26" ht="11.25" customHeight="1" x14ac:dyDescent="0.3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</row>
    <row r="620" spans="1:26" ht="11.25" customHeight="1" x14ac:dyDescent="0.3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</row>
    <row r="621" spans="1:26" ht="11.25" customHeight="1" x14ac:dyDescent="0.3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</row>
    <row r="622" spans="1:26" ht="11.25" customHeight="1" x14ac:dyDescent="0.3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</row>
    <row r="623" spans="1:26" ht="11.25" customHeight="1" x14ac:dyDescent="0.3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</row>
    <row r="624" spans="1:26" ht="11.25" customHeight="1" x14ac:dyDescent="0.3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</row>
    <row r="625" spans="1:26" ht="11.25" customHeight="1" x14ac:dyDescent="0.3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</row>
    <row r="626" spans="1:26" ht="11.25" customHeight="1" x14ac:dyDescent="0.3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</row>
    <row r="627" spans="1:26" ht="11.25" customHeight="1" x14ac:dyDescent="0.3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</row>
    <row r="628" spans="1:26" ht="11.25" customHeight="1" x14ac:dyDescent="0.3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</row>
    <row r="629" spans="1:26" ht="11.25" customHeight="1" x14ac:dyDescent="0.3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</row>
    <row r="630" spans="1:26" ht="11.25" customHeight="1" x14ac:dyDescent="0.3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</row>
    <row r="631" spans="1:26" ht="11.25" customHeight="1" x14ac:dyDescent="0.3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</row>
    <row r="632" spans="1:26" ht="11.25" customHeight="1" x14ac:dyDescent="0.3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</row>
    <row r="633" spans="1:26" ht="11.25" customHeight="1" x14ac:dyDescent="0.3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</row>
    <row r="634" spans="1:26" ht="11.25" customHeight="1" x14ac:dyDescent="0.3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</row>
    <row r="635" spans="1:26" ht="11.25" customHeight="1" x14ac:dyDescent="0.3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</row>
    <row r="636" spans="1:26" ht="11.25" customHeight="1" x14ac:dyDescent="0.3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</row>
    <row r="637" spans="1:26" ht="11.25" customHeight="1" x14ac:dyDescent="0.3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</row>
    <row r="638" spans="1:26" ht="11.25" customHeight="1" x14ac:dyDescent="0.3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</row>
    <row r="639" spans="1:26" ht="11.25" customHeight="1" x14ac:dyDescent="0.3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</row>
    <row r="640" spans="1:26" ht="11.25" customHeight="1" x14ac:dyDescent="0.3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</row>
    <row r="641" spans="1:26" ht="11.25" customHeight="1" x14ac:dyDescent="0.3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</row>
    <row r="642" spans="1:26" ht="11.25" customHeight="1" x14ac:dyDescent="0.3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</row>
    <row r="643" spans="1:26" ht="11.25" customHeight="1" x14ac:dyDescent="0.3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</row>
    <row r="644" spans="1:26" ht="11.25" customHeight="1" x14ac:dyDescent="0.3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</row>
    <row r="645" spans="1:26" ht="11.25" customHeight="1" x14ac:dyDescent="0.3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 spans="1:26" ht="11.25" customHeight="1" x14ac:dyDescent="0.3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</row>
    <row r="647" spans="1:26" ht="11.25" customHeight="1" x14ac:dyDescent="0.3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</row>
    <row r="648" spans="1:26" ht="11.25" customHeight="1" x14ac:dyDescent="0.3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</row>
    <row r="649" spans="1:26" ht="11.25" customHeight="1" x14ac:dyDescent="0.3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</row>
    <row r="650" spans="1:26" ht="11.25" customHeight="1" x14ac:dyDescent="0.3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</row>
    <row r="651" spans="1:26" ht="11.25" customHeight="1" x14ac:dyDescent="0.3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</row>
    <row r="652" spans="1:26" ht="11.25" customHeight="1" x14ac:dyDescent="0.3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</row>
    <row r="653" spans="1:26" ht="11.25" customHeight="1" x14ac:dyDescent="0.3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</row>
    <row r="654" spans="1:26" ht="11.25" customHeight="1" x14ac:dyDescent="0.3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</row>
    <row r="655" spans="1:26" ht="11.25" customHeight="1" x14ac:dyDescent="0.3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</row>
    <row r="656" spans="1:26" ht="11.25" customHeight="1" x14ac:dyDescent="0.3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</row>
    <row r="657" spans="1:26" ht="11.25" customHeight="1" x14ac:dyDescent="0.3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</row>
    <row r="658" spans="1:26" ht="11.25" customHeight="1" x14ac:dyDescent="0.3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</row>
    <row r="659" spans="1:26" ht="11.25" customHeight="1" x14ac:dyDescent="0.3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</row>
    <row r="660" spans="1:26" ht="11.25" customHeight="1" x14ac:dyDescent="0.3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</row>
    <row r="661" spans="1:26" ht="11.25" customHeight="1" x14ac:dyDescent="0.3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</row>
    <row r="662" spans="1:26" ht="11.25" customHeight="1" x14ac:dyDescent="0.3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</row>
    <row r="663" spans="1:26" ht="11.25" customHeight="1" x14ac:dyDescent="0.3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</row>
    <row r="664" spans="1:26" ht="11.25" customHeight="1" x14ac:dyDescent="0.3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</row>
    <row r="665" spans="1:26" ht="11.25" customHeight="1" x14ac:dyDescent="0.3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</row>
    <row r="666" spans="1:26" ht="11.25" customHeight="1" x14ac:dyDescent="0.3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</row>
    <row r="667" spans="1:26" ht="11.25" customHeight="1" x14ac:dyDescent="0.3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</row>
    <row r="668" spans="1:26" ht="11.25" customHeight="1" x14ac:dyDescent="0.3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</row>
    <row r="669" spans="1:26" ht="11.25" customHeight="1" x14ac:dyDescent="0.3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</row>
    <row r="670" spans="1:26" ht="11.25" customHeight="1" x14ac:dyDescent="0.3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</row>
    <row r="671" spans="1:26" ht="11.25" customHeight="1" x14ac:dyDescent="0.3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</row>
    <row r="672" spans="1:26" ht="11.25" customHeight="1" x14ac:dyDescent="0.3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</row>
    <row r="673" spans="1:26" ht="11.25" customHeight="1" x14ac:dyDescent="0.3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</row>
    <row r="674" spans="1:26" ht="11.25" customHeight="1" x14ac:dyDescent="0.3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</row>
    <row r="675" spans="1:26" ht="11.25" customHeight="1" x14ac:dyDescent="0.3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</row>
    <row r="676" spans="1:26" ht="11.25" customHeight="1" x14ac:dyDescent="0.3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</row>
    <row r="677" spans="1:26" ht="11.25" customHeight="1" x14ac:dyDescent="0.3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</row>
    <row r="678" spans="1:26" ht="11.25" customHeight="1" x14ac:dyDescent="0.3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</row>
    <row r="679" spans="1:26" ht="11.25" customHeight="1" x14ac:dyDescent="0.3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</row>
    <row r="680" spans="1:26" ht="11.25" customHeight="1" x14ac:dyDescent="0.3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</row>
    <row r="681" spans="1:26" ht="11.25" customHeight="1" x14ac:dyDescent="0.3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</row>
    <row r="682" spans="1:26" ht="11.25" customHeight="1" x14ac:dyDescent="0.3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</row>
    <row r="683" spans="1:26" ht="11.25" customHeight="1" x14ac:dyDescent="0.3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</row>
    <row r="684" spans="1:26" ht="11.25" customHeight="1" x14ac:dyDescent="0.3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</row>
    <row r="685" spans="1:26" ht="11.25" customHeight="1" x14ac:dyDescent="0.3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</row>
    <row r="686" spans="1:26" ht="11.25" customHeight="1" x14ac:dyDescent="0.3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</row>
    <row r="687" spans="1:26" ht="11.25" customHeight="1" x14ac:dyDescent="0.3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</row>
    <row r="688" spans="1:26" ht="11.25" customHeight="1" x14ac:dyDescent="0.3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</row>
    <row r="689" spans="1:26" ht="11.25" customHeight="1" x14ac:dyDescent="0.3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</row>
    <row r="690" spans="1:26" ht="11.25" customHeight="1" x14ac:dyDescent="0.3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</row>
    <row r="691" spans="1:26" ht="11.25" customHeight="1" x14ac:dyDescent="0.3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</row>
    <row r="692" spans="1:26" ht="11.25" customHeight="1" x14ac:dyDescent="0.3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</row>
    <row r="693" spans="1:26" ht="11.25" customHeight="1" x14ac:dyDescent="0.3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</row>
    <row r="694" spans="1:26" ht="11.25" customHeight="1" x14ac:dyDescent="0.3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</row>
    <row r="695" spans="1:26" ht="11.25" customHeight="1" x14ac:dyDescent="0.3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</row>
    <row r="696" spans="1:26" ht="11.25" customHeight="1" x14ac:dyDescent="0.3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</row>
    <row r="697" spans="1:26" ht="11.25" customHeight="1" x14ac:dyDescent="0.3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</row>
    <row r="698" spans="1:26" ht="11.25" customHeight="1" x14ac:dyDescent="0.3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</row>
    <row r="699" spans="1:26" ht="11.25" customHeight="1" x14ac:dyDescent="0.3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</row>
    <row r="700" spans="1:26" ht="11.25" customHeight="1" x14ac:dyDescent="0.3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</row>
    <row r="701" spans="1:26" ht="11.25" customHeight="1" x14ac:dyDescent="0.3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</row>
    <row r="702" spans="1:26" ht="11.25" customHeight="1" x14ac:dyDescent="0.3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</row>
    <row r="703" spans="1:26" ht="11.25" customHeight="1" x14ac:dyDescent="0.3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</row>
    <row r="704" spans="1:26" ht="11.25" customHeight="1" x14ac:dyDescent="0.3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</row>
    <row r="705" spans="1:26" ht="11.25" customHeight="1" x14ac:dyDescent="0.3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</row>
    <row r="706" spans="1:26" ht="11.25" customHeight="1" x14ac:dyDescent="0.3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</row>
    <row r="707" spans="1:26" ht="11.25" customHeight="1" x14ac:dyDescent="0.3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</row>
    <row r="708" spans="1:26" ht="11.25" customHeight="1" x14ac:dyDescent="0.3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</row>
    <row r="709" spans="1:26" ht="11.25" customHeight="1" x14ac:dyDescent="0.3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</row>
    <row r="710" spans="1:26" ht="11.25" customHeight="1" x14ac:dyDescent="0.3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</row>
    <row r="711" spans="1:26" ht="11.25" customHeight="1" x14ac:dyDescent="0.3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</row>
    <row r="712" spans="1:26" ht="11.25" customHeight="1" x14ac:dyDescent="0.3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</row>
    <row r="713" spans="1:26" ht="11.25" customHeight="1" x14ac:dyDescent="0.3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</row>
    <row r="714" spans="1:26" ht="11.25" customHeight="1" x14ac:dyDescent="0.3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</row>
    <row r="715" spans="1:26" ht="11.25" customHeight="1" x14ac:dyDescent="0.3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</row>
    <row r="716" spans="1:26" ht="11.25" customHeight="1" x14ac:dyDescent="0.3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</row>
    <row r="717" spans="1:26" ht="11.25" customHeight="1" x14ac:dyDescent="0.3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</row>
    <row r="718" spans="1:26" ht="11.25" customHeight="1" x14ac:dyDescent="0.3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</row>
    <row r="719" spans="1:26" ht="11.25" customHeight="1" x14ac:dyDescent="0.3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</row>
    <row r="720" spans="1:26" ht="11.25" customHeight="1" x14ac:dyDescent="0.3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</row>
    <row r="721" spans="1:26" ht="11.25" customHeight="1" x14ac:dyDescent="0.3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</row>
    <row r="722" spans="1:26" ht="11.25" customHeight="1" x14ac:dyDescent="0.3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</row>
    <row r="723" spans="1:26" ht="11.25" customHeight="1" x14ac:dyDescent="0.3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</row>
    <row r="724" spans="1:26" ht="11.25" customHeight="1" x14ac:dyDescent="0.3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</row>
    <row r="725" spans="1:26" ht="11.25" customHeight="1" x14ac:dyDescent="0.3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</row>
    <row r="726" spans="1:26" ht="11.25" customHeight="1" x14ac:dyDescent="0.3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</row>
    <row r="727" spans="1:26" ht="11.25" customHeight="1" x14ac:dyDescent="0.3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</row>
    <row r="728" spans="1:26" ht="11.25" customHeight="1" x14ac:dyDescent="0.3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</row>
    <row r="729" spans="1:26" ht="11.25" customHeight="1" x14ac:dyDescent="0.3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</row>
    <row r="730" spans="1:26" ht="11.25" customHeight="1" x14ac:dyDescent="0.3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</row>
    <row r="731" spans="1:26" ht="11.25" customHeight="1" x14ac:dyDescent="0.3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</row>
    <row r="732" spans="1:26" ht="11.25" customHeight="1" x14ac:dyDescent="0.3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</row>
    <row r="733" spans="1:26" ht="11.25" customHeight="1" x14ac:dyDescent="0.3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</row>
    <row r="734" spans="1:26" ht="11.25" customHeight="1" x14ac:dyDescent="0.3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</row>
    <row r="735" spans="1:26" ht="11.25" customHeight="1" x14ac:dyDescent="0.3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</row>
    <row r="736" spans="1:26" ht="11.25" customHeight="1" x14ac:dyDescent="0.3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</row>
    <row r="737" spans="1:26" ht="11.25" customHeight="1" x14ac:dyDescent="0.3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</row>
    <row r="738" spans="1:26" ht="11.25" customHeight="1" x14ac:dyDescent="0.3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</row>
    <row r="739" spans="1:26" ht="11.25" customHeight="1" x14ac:dyDescent="0.3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</row>
    <row r="740" spans="1:26" ht="11.25" customHeight="1" x14ac:dyDescent="0.3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</row>
    <row r="741" spans="1:26" ht="11.25" customHeight="1" x14ac:dyDescent="0.3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</row>
    <row r="742" spans="1:26" ht="11.25" customHeight="1" x14ac:dyDescent="0.3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</row>
    <row r="743" spans="1:26" ht="11.25" customHeight="1" x14ac:dyDescent="0.3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</row>
    <row r="744" spans="1:26" ht="11.25" customHeight="1" x14ac:dyDescent="0.3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</row>
    <row r="745" spans="1:26" ht="11.25" customHeight="1" x14ac:dyDescent="0.3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</row>
    <row r="746" spans="1:26" ht="11.25" customHeight="1" x14ac:dyDescent="0.3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</row>
    <row r="747" spans="1:26" ht="11.25" customHeight="1" x14ac:dyDescent="0.3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</row>
    <row r="748" spans="1:26" ht="11.25" customHeight="1" x14ac:dyDescent="0.3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</row>
    <row r="749" spans="1:26" ht="11.25" customHeight="1" x14ac:dyDescent="0.3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</row>
    <row r="750" spans="1:26" ht="11.25" customHeight="1" x14ac:dyDescent="0.3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</row>
    <row r="751" spans="1:26" ht="11.25" customHeight="1" x14ac:dyDescent="0.3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</row>
    <row r="752" spans="1:26" ht="11.25" customHeight="1" x14ac:dyDescent="0.3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</row>
    <row r="753" spans="1:26" ht="11.25" customHeight="1" x14ac:dyDescent="0.3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</row>
    <row r="754" spans="1:26" ht="11.25" customHeight="1" x14ac:dyDescent="0.3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</row>
    <row r="755" spans="1:26" ht="11.25" customHeight="1" x14ac:dyDescent="0.3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</row>
    <row r="756" spans="1:26" ht="11.25" customHeight="1" x14ac:dyDescent="0.3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</row>
    <row r="757" spans="1:26" ht="11.25" customHeight="1" x14ac:dyDescent="0.3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</row>
    <row r="758" spans="1:26" ht="11.25" customHeight="1" x14ac:dyDescent="0.3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</row>
    <row r="759" spans="1:26" ht="11.25" customHeight="1" x14ac:dyDescent="0.3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</row>
    <row r="760" spans="1:26" ht="11.25" customHeight="1" x14ac:dyDescent="0.3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</row>
    <row r="761" spans="1:26" ht="11.25" customHeight="1" x14ac:dyDescent="0.3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</row>
    <row r="762" spans="1:26" ht="11.25" customHeight="1" x14ac:dyDescent="0.3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</row>
    <row r="763" spans="1:26" ht="11.25" customHeight="1" x14ac:dyDescent="0.3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</row>
    <row r="764" spans="1:26" ht="11.25" customHeight="1" x14ac:dyDescent="0.3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</row>
    <row r="765" spans="1:26" ht="11.25" customHeight="1" x14ac:dyDescent="0.3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</row>
    <row r="766" spans="1:26" ht="11.25" customHeight="1" x14ac:dyDescent="0.3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</row>
    <row r="767" spans="1:26" ht="11.25" customHeight="1" x14ac:dyDescent="0.3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</row>
    <row r="768" spans="1:26" ht="11.25" customHeight="1" x14ac:dyDescent="0.3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</row>
    <row r="769" spans="1:26" ht="11.25" customHeight="1" x14ac:dyDescent="0.3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</row>
    <row r="770" spans="1:26" ht="11.25" customHeight="1" x14ac:dyDescent="0.3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</row>
    <row r="771" spans="1:26" ht="11.25" customHeight="1" x14ac:dyDescent="0.3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</row>
    <row r="772" spans="1:26" ht="11.25" customHeight="1" x14ac:dyDescent="0.3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</row>
    <row r="773" spans="1:26" ht="11.25" customHeight="1" x14ac:dyDescent="0.3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</row>
    <row r="774" spans="1:26" ht="11.25" customHeight="1" x14ac:dyDescent="0.3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</row>
    <row r="775" spans="1:26" ht="11.25" customHeight="1" x14ac:dyDescent="0.3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</row>
    <row r="776" spans="1:26" ht="11.25" customHeight="1" x14ac:dyDescent="0.3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</row>
    <row r="777" spans="1:26" ht="11.25" customHeight="1" x14ac:dyDescent="0.3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</row>
    <row r="778" spans="1:26" ht="11.25" customHeight="1" x14ac:dyDescent="0.3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</row>
    <row r="779" spans="1:26" ht="11.25" customHeight="1" x14ac:dyDescent="0.3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</row>
    <row r="780" spans="1:26" ht="11.25" customHeight="1" x14ac:dyDescent="0.3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</row>
    <row r="781" spans="1:26" ht="11.25" customHeight="1" x14ac:dyDescent="0.3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</row>
    <row r="782" spans="1:26" ht="11.25" customHeight="1" x14ac:dyDescent="0.3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</row>
    <row r="783" spans="1:26" ht="11.25" customHeight="1" x14ac:dyDescent="0.3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</row>
    <row r="784" spans="1:26" ht="11.25" customHeight="1" x14ac:dyDescent="0.3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</row>
    <row r="785" spans="1:26" ht="11.25" customHeight="1" x14ac:dyDescent="0.3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</row>
    <row r="786" spans="1:26" ht="11.25" customHeight="1" x14ac:dyDescent="0.3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</row>
    <row r="787" spans="1:26" ht="11.25" customHeight="1" x14ac:dyDescent="0.3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</row>
    <row r="788" spans="1:26" ht="11.25" customHeight="1" x14ac:dyDescent="0.3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</row>
    <row r="789" spans="1:26" ht="11.25" customHeight="1" x14ac:dyDescent="0.3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</row>
    <row r="790" spans="1:26" ht="11.25" customHeight="1" x14ac:dyDescent="0.3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</row>
    <row r="791" spans="1:26" ht="11.25" customHeight="1" x14ac:dyDescent="0.3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</row>
    <row r="792" spans="1:26" ht="11.25" customHeight="1" x14ac:dyDescent="0.3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</row>
    <row r="793" spans="1:26" ht="11.25" customHeight="1" x14ac:dyDescent="0.3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</row>
    <row r="794" spans="1:26" ht="11.25" customHeight="1" x14ac:dyDescent="0.3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</row>
    <row r="795" spans="1:26" ht="11.25" customHeight="1" x14ac:dyDescent="0.3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</row>
    <row r="796" spans="1:26" ht="11.25" customHeight="1" x14ac:dyDescent="0.3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</row>
    <row r="797" spans="1:26" ht="11.25" customHeight="1" x14ac:dyDescent="0.3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</row>
    <row r="798" spans="1:26" ht="11.25" customHeight="1" x14ac:dyDescent="0.3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</row>
    <row r="799" spans="1:26" ht="11.25" customHeight="1" x14ac:dyDescent="0.3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</row>
    <row r="800" spans="1:26" ht="11.25" customHeight="1" x14ac:dyDescent="0.3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</row>
    <row r="801" spans="1:26" ht="11.25" customHeight="1" x14ac:dyDescent="0.3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</row>
    <row r="802" spans="1:26" ht="11.25" customHeight="1" x14ac:dyDescent="0.3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</row>
    <row r="803" spans="1:26" ht="11.25" customHeight="1" x14ac:dyDescent="0.3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</row>
    <row r="804" spans="1:26" ht="11.25" customHeight="1" x14ac:dyDescent="0.3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</row>
    <row r="805" spans="1:26" ht="11.25" customHeight="1" x14ac:dyDescent="0.3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</row>
    <row r="806" spans="1:26" ht="11.25" customHeight="1" x14ac:dyDescent="0.3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</row>
    <row r="807" spans="1:26" ht="11.25" customHeight="1" x14ac:dyDescent="0.3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</row>
    <row r="808" spans="1:26" ht="11.25" customHeight="1" x14ac:dyDescent="0.3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</row>
    <row r="809" spans="1:26" ht="11.25" customHeight="1" x14ac:dyDescent="0.3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</row>
    <row r="810" spans="1:26" ht="11.25" customHeight="1" x14ac:dyDescent="0.3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</row>
    <row r="811" spans="1:26" ht="11.25" customHeight="1" x14ac:dyDescent="0.3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</row>
    <row r="812" spans="1:26" ht="11.25" customHeight="1" x14ac:dyDescent="0.3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</row>
    <row r="813" spans="1:26" ht="11.25" customHeight="1" x14ac:dyDescent="0.3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</row>
    <row r="814" spans="1:26" ht="11.25" customHeight="1" x14ac:dyDescent="0.3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</row>
    <row r="815" spans="1:26" ht="11.25" customHeight="1" x14ac:dyDescent="0.3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</row>
    <row r="816" spans="1:26" ht="11.25" customHeight="1" x14ac:dyDescent="0.3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</row>
    <row r="817" spans="1:26" ht="11.25" customHeight="1" x14ac:dyDescent="0.3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</row>
    <row r="818" spans="1:26" ht="11.25" customHeight="1" x14ac:dyDescent="0.3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</row>
    <row r="819" spans="1:26" ht="11.25" customHeight="1" x14ac:dyDescent="0.3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</row>
    <row r="820" spans="1:26" ht="11.25" customHeight="1" x14ac:dyDescent="0.3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</row>
    <row r="821" spans="1:26" ht="11.25" customHeight="1" x14ac:dyDescent="0.3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</row>
    <row r="822" spans="1:26" ht="11.25" customHeight="1" x14ac:dyDescent="0.3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</row>
    <row r="823" spans="1:26" ht="11.25" customHeight="1" x14ac:dyDescent="0.3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</row>
    <row r="824" spans="1:26" ht="11.25" customHeight="1" x14ac:dyDescent="0.3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</row>
    <row r="825" spans="1:26" ht="11.25" customHeight="1" x14ac:dyDescent="0.3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</row>
    <row r="826" spans="1:26" ht="11.25" customHeight="1" x14ac:dyDescent="0.3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</row>
    <row r="827" spans="1:26" ht="11.25" customHeight="1" x14ac:dyDescent="0.3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</row>
    <row r="828" spans="1:26" ht="11.25" customHeight="1" x14ac:dyDescent="0.3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</row>
    <row r="829" spans="1:26" ht="11.25" customHeight="1" x14ac:dyDescent="0.3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</row>
    <row r="830" spans="1:26" ht="11.25" customHeight="1" x14ac:dyDescent="0.3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</row>
    <row r="831" spans="1:26" ht="11.25" customHeight="1" x14ac:dyDescent="0.3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</row>
    <row r="832" spans="1:26" ht="11.25" customHeight="1" x14ac:dyDescent="0.3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</row>
    <row r="833" spans="1:26" ht="11.25" customHeight="1" x14ac:dyDescent="0.3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</row>
    <row r="834" spans="1:26" ht="11.25" customHeight="1" x14ac:dyDescent="0.3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</row>
    <row r="835" spans="1:26" ht="11.25" customHeight="1" x14ac:dyDescent="0.3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</row>
    <row r="836" spans="1:26" ht="11.25" customHeight="1" x14ac:dyDescent="0.3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</row>
    <row r="837" spans="1:26" ht="11.25" customHeight="1" x14ac:dyDescent="0.3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</row>
    <row r="838" spans="1:26" ht="11.25" customHeight="1" x14ac:dyDescent="0.3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</row>
    <row r="839" spans="1:26" ht="11.25" customHeight="1" x14ac:dyDescent="0.3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</row>
    <row r="840" spans="1:26" ht="11.25" customHeight="1" x14ac:dyDescent="0.3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</row>
    <row r="841" spans="1:26" ht="11.25" customHeight="1" x14ac:dyDescent="0.3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</row>
    <row r="842" spans="1:26" ht="11.25" customHeight="1" x14ac:dyDescent="0.3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</row>
    <row r="843" spans="1:26" ht="11.25" customHeight="1" x14ac:dyDescent="0.3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</row>
    <row r="844" spans="1:26" ht="11.25" customHeight="1" x14ac:dyDescent="0.3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</row>
    <row r="845" spans="1:26" ht="11.25" customHeight="1" x14ac:dyDescent="0.3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</row>
    <row r="846" spans="1:26" ht="11.25" customHeight="1" x14ac:dyDescent="0.3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</row>
    <row r="847" spans="1:26" ht="11.25" customHeight="1" x14ac:dyDescent="0.3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</row>
    <row r="848" spans="1:26" ht="11.25" customHeight="1" x14ac:dyDescent="0.3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</row>
    <row r="849" spans="1:26" ht="11.25" customHeight="1" x14ac:dyDescent="0.3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</row>
    <row r="850" spans="1:26" ht="11.25" customHeight="1" x14ac:dyDescent="0.3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</row>
    <row r="851" spans="1:26" ht="11.25" customHeight="1" x14ac:dyDescent="0.3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</row>
    <row r="852" spans="1:26" ht="11.25" customHeight="1" x14ac:dyDescent="0.3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</row>
    <row r="853" spans="1:26" ht="11.25" customHeight="1" x14ac:dyDescent="0.3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</row>
    <row r="854" spans="1:26" ht="11.25" customHeight="1" x14ac:dyDescent="0.3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</row>
    <row r="855" spans="1:26" ht="11.25" customHeight="1" x14ac:dyDescent="0.3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</row>
    <row r="856" spans="1:26" ht="11.25" customHeight="1" x14ac:dyDescent="0.3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</row>
    <row r="857" spans="1:26" ht="11.25" customHeight="1" x14ac:dyDescent="0.3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</row>
    <row r="858" spans="1:26" ht="11.25" customHeight="1" x14ac:dyDescent="0.3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</row>
    <row r="859" spans="1:26" ht="11.25" customHeight="1" x14ac:dyDescent="0.3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</row>
    <row r="860" spans="1:26" ht="11.25" customHeight="1" x14ac:dyDescent="0.3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</row>
    <row r="861" spans="1:26" ht="11.25" customHeight="1" x14ac:dyDescent="0.3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</row>
    <row r="862" spans="1:26" ht="11.25" customHeight="1" x14ac:dyDescent="0.3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</row>
    <row r="863" spans="1:26" ht="11.25" customHeight="1" x14ac:dyDescent="0.3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</row>
    <row r="864" spans="1:26" ht="11.25" customHeight="1" x14ac:dyDescent="0.3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</row>
    <row r="865" spans="1:26" ht="11.25" customHeight="1" x14ac:dyDescent="0.3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</row>
    <row r="866" spans="1:26" ht="11.25" customHeight="1" x14ac:dyDescent="0.3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</row>
    <row r="867" spans="1:26" ht="11.25" customHeight="1" x14ac:dyDescent="0.3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</row>
    <row r="868" spans="1:26" ht="11.25" customHeight="1" x14ac:dyDescent="0.3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</row>
    <row r="869" spans="1:26" ht="11.25" customHeight="1" x14ac:dyDescent="0.3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</row>
    <row r="870" spans="1:26" ht="11.25" customHeight="1" x14ac:dyDescent="0.3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</row>
    <row r="871" spans="1:26" ht="11.25" customHeight="1" x14ac:dyDescent="0.3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</row>
    <row r="872" spans="1:26" ht="11.25" customHeight="1" x14ac:dyDescent="0.3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</row>
    <row r="873" spans="1:26" ht="11.25" customHeight="1" x14ac:dyDescent="0.3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</row>
    <row r="874" spans="1:26" ht="11.25" customHeight="1" x14ac:dyDescent="0.3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</row>
    <row r="875" spans="1:26" ht="11.25" customHeight="1" x14ac:dyDescent="0.3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</row>
    <row r="876" spans="1:26" ht="11.25" customHeight="1" x14ac:dyDescent="0.3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</row>
    <row r="877" spans="1:26" ht="11.25" customHeight="1" x14ac:dyDescent="0.3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</row>
    <row r="878" spans="1:26" ht="11.25" customHeight="1" x14ac:dyDescent="0.3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</row>
    <row r="879" spans="1:26" ht="11.25" customHeight="1" x14ac:dyDescent="0.3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</row>
    <row r="880" spans="1:26" ht="11.25" customHeight="1" x14ac:dyDescent="0.3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</row>
    <row r="881" spans="1:26" ht="11.25" customHeight="1" x14ac:dyDescent="0.3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</row>
    <row r="882" spans="1:26" ht="11.25" customHeight="1" x14ac:dyDescent="0.3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</row>
    <row r="883" spans="1:26" ht="11.25" customHeight="1" x14ac:dyDescent="0.3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</row>
    <row r="884" spans="1:26" ht="11.25" customHeight="1" x14ac:dyDescent="0.3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</row>
    <row r="885" spans="1:26" ht="11.25" customHeight="1" x14ac:dyDescent="0.3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</row>
    <row r="886" spans="1:26" ht="11.25" customHeight="1" x14ac:dyDescent="0.3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</row>
    <row r="887" spans="1:26" ht="11.25" customHeight="1" x14ac:dyDescent="0.3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</row>
    <row r="888" spans="1:26" ht="11.25" customHeight="1" x14ac:dyDescent="0.3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</row>
    <row r="889" spans="1:26" ht="11.25" customHeight="1" x14ac:dyDescent="0.3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</row>
    <row r="890" spans="1:26" ht="11.25" customHeight="1" x14ac:dyDescent="0.3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</row>
    <row r="891" spans="1:26" ht="11.25" customHeight="1" x14ac:dyDescent="0.3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</row>
    <row r="892" spans="1:26" ht="11.25" customHeight="1" x14ac:dyDescent="0.3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</row>
    <row r="893" spans="1:26" ht="11.25" customHeight="1" x14ac:dyDescent="0.3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</row>
    <row r="894" spans="1:26" ht="11.25" customHeight="1" x14ac:dyDescent="0.3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</row>
    <row r="895" spans="1:26" ht="11.25" customHeight="1" x14ac:dyDescent="0.3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</row>
    <row r="896" spans="1:26" ht="11.25" customHeight="1" x14ac:dyDescent="0.3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</row>
    <row r="897" spans="1:26" ht="11.25" customHeight="1" x14ac:dyDescent="0.3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</row>
    <row r="898" spans="1:26" ht="11.25" customHeight="1" x14ac:dyDescent="0.3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</row>
    <row r="899" spans="1:26" ht="11.25" customHeight="1" x14ac:dyDescent="0.3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</row>
    <row r="900" spans="1:26" ht="11.25" customHeight="1" x14ac:dyDescent="0.3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</row>
    <row r="901" spans="1:26" ht="11.25" customHeight="1" x14ac:dyDescent="0.3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</row>
    <row r="902" spans="1:26" ht="11.25" customHeight="1" x14ac:dyDescent="0.3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</row>
    <row r="903" spans="1:26" ht="11.25" customHeight="1" x14ac:dyDescent="0.3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</row>
    <row r="904" spans="1:26" ht="11.25" customHeight="1" x14ac:dyDescent="0.3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</row>
    <row r="905" spans="1:26" ht="11.25" customHeight="1" x14ac:dyDescent="0.3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</row>
    <row r="906" spans="1:26" ht="11.25" customHeight="1" x14ac:dyDescent="0.3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</row>
    <row r="907" spans="1:26" ht="11.25" customHeight="1" x14ac:dyDescent="0.3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</row>
    <row r="908" spans="1:26" ht="11.25" customHeight="1" x14ac:dyDescent="0.3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</row>
    <row r="909" spans="1:26" ht="11.25" customHeight="1" x14ac:dyDescent="0.3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</row>
    <row r="910" spans="1:26" ht="11.25" customHeight="1" x14ac:dyDescent="0.3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</row>
    <row r="911" spans="1:26" ht="11.25" customHeight="1" x14ac:dyDescent="0.3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</row>
    <row r="912" spans="1:26" ht="11.25" customHeight="1" x14ac:dyDescent="0.3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</row>
    <row r="913" spans="1:26" ht="11.25" customHeight="1" x14ac:dyDescent="0.3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</row>
    <row r="914" spans="1:26" ht="11.25" customHeight="1" x14ac:dyDescent="0.3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</row>
    <row r="915" spans="1:26" ht="11.25" customHeight="1" x14ac:dyDescent="0.3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</row>
    <row r="916" spans="1:26" ht="11.25" customHeight="1" x14ac:dyDescent="0.3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</row>
    <row r="917" spans="1:26" ht="11.25" customHeight="1" x14ac:dyDescent="0.3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</row>
    <row r="918" spans="1:26" ht="11.25" customHeight="1" x14ac:dyDescent="0.3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</row>
    <row r="919" spans="1:26" ht="11.25" customHeight="1" x14ac:dyDescent="0.3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</row>
    <row r="920" spans="1:26" ht="11.25" customHeight="1" x14ac:dyDescent="0.3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</row>
    <row r="921" spans="1:26" ht="11.25" customHeight="1" x14ac:dyDescent="0.3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</row>
    <row r="922" spans="1:26" ht="11.25" customHeight="1" x14ac:dyDescent="0.3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</row>
    <row r="923" spans="1:26" ht="11.25" customHeight="1" x14ac:dyDescent="0.3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</row>
    <row r="924" spans="1:26" ht="11.25" customHeight="1" x14ac:dyDescent="0.3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</row>
    <row r="925" spans="1:26" ht="11.25" customHeight="1" x14ac:dyDescent="0.3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</row>
    <row r="926" spans="1:26" ht="11.25" customHeight="1" x14ac:dyDescent="0.3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</row>
    <row r="927" spans="1:26" ht="11.25" customHeight="1" x14ac:dyDescent="0.3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</row>
    <row r="928" spans="1:26" ht="11.25" customHeight="1" x14ac:dyDescent="0.3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</row>
    <row r="929" spans="1:26" ht="11.25" customHeight="1" x14ac:dyDescent="0.3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</row>
    <row r="930" spans="1:26" ht="11.25" customHeight="1" x14ac:dyDescent="0.3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</row>
    <row r="931" spans="1:26" ht="11.25" customHeight="1" x14ac:dyDescent="0.3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</row>
    <row r="932" spans="1:26" ht="11.25" customHeight="1" x14ac:dyDescent="0.3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</row>
    <row r="933" spans="1:26" ht="11.25" customHeight="1" x14ac:dyDescent="0.3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</row>
    <row r="934" spans="1:26" ht="11.25" customHeight="1" x14ac:dyDescent="0.3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</row>
    <row r="935" spans="1:26" ht="11.25" customHeight="1" x14ac:dyDescent="0.3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</row>
    <row r="936" spans="1:26" ht="11.25" customHeight="1" x14ac:dyDescent="0.3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</row>
    <row r="937" spans="1:26" ht="11.25" customHeight="1" x14ac:dyDescent="0.3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</row>
    <row r="938" spans="1:26" ht="11.25" customHeight="1" x14ac:dyDescent="0.3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</row>
    <row r="939" spans="1:26" ht="11.25" customHeight="1" x14ac:dyDescent="0.3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</row>
    <row r="940" spans="1:26" ht="11.25" customHeight="1" x14ac:dyDescent="0.3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</row>
    <row r="941" spans="1:26" ht="11.25" customHeight="1" x14ac:dyDescent="0.3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</row>
    <row r="942" spans="1:26" ht="11.25" customHeight="1" x14ac:dyDescent="0.3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</row>
    <row r="943" spans="1:26" ht="11.25" customHeight="1" x14ac:dyDescent="0.3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</row>
    <row r="944" spans="1:26" ht="11.25" customHeight="1" x14ac:dyDescent="0.3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</row>
    <row r="945" spans="1:26" ht="11.25" customHeight="1" x14ac:dyDescent="0.3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</row>
    <row r="946" spans="1:26" ht="11.25" customHeight="1" x14ac:dyDescent="0.3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</row>
    <row r="947" spans="1:26" ht="11.25" customHeight="1" x14ac:dyDescent="0.3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</row>
    <row r="948" spans="1:26" ht="11.25" customHeight="1" x14ac:dyDescent="0.3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</row>
    <row r="949" spans="1:26" ht="11.25" customHeight="1" x14ac:dyDescent="0.3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</row>
    <row r="950" spans="1:26" ht="11.25" customHeight="1" x14ac:dyDescent="0.3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</row>
    <row r="951" spans="1:26" ht="11.25" customHeight="1" x14ac:dyDescent="0.3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</row>
    <row r="952" spans="1:26" ht="11.25" customHeight="1" x14ac:dyDescent="0.3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</row>
    <row r="953" spans="1:26" ht="11.25" customHeight="1" x14ac:dyDescent="0.3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</row>
    <row r="954" spans="1:26" ht="11.25" customHeight="1" x14ac:dyDescent="0.3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</row>
    <row r="955" spans="1:26" ht="11.25" customHeight="1" x14ac:dyDescent="0.3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</row>
    <row r="956" spans="1:26" ht="11.25" customHeight="1" x14ac:dyDescent="0.3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</row>
    <row r="957" spans="1:26" ht="11.25" customHeight="1" x14ac:dyDescent="0.3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</row>
    <row r="958" spans="1:26" ht="11.25" customHeight="1" x14ac:dyDescent="0.3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</row>
    <row r="959" spans="1:26" ht="11.25" customHeight="1" x14ac:dyDescent="0.3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</row>
    <row r="960" spans="1:26" ht="11.25" customHeight="1" x14ac:dyDescent="0.3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</row>
    <row r="961" spans="1:26" ht="11.25" customHeight="1" x14ac:dyDescent="0.3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</row>
    <row r="962" spans="1:26" ht="11.25" customHeight="1" x14ac:dyDescent="0.3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</row>
    <row r="963" spans="1:26" ht="11.25" customHeight="1" x14ac:dyDescent="0.3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</row>
    <row r="964" spans="1:26" ht="11.25" customHeight="1" x14ac:dyDescent="0.3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</row>
    <row r="965" spans="1:26" ht="11.25" customHeight="1" x14ac:dyDescent="0.3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</row>
    <row r="966" spans="1:26" ht="11.25" customHeight="1" x14ac:dyDescent="0.3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</row>
    <row r="967" spans="1:26" ht="11.25" customHeight="1" x14ac:dyDescent="0.3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</row>
    <row r="968" spans="1:26" ht="11.25" customHeight="1" x14ac:dyDescent="0.3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</row>
    <row r="969" spans="1:26" ht="11.25" customHeight="1" x14ac:dyDescent="0.3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</row>
    <row r="970" spans="1:26" ht="11.25" customHeight="1" x14ac:dyDescent="0.3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</row>
    <row r="971" spans="1:26" ht="11.25" customHeight="1" x14ac:dyDescent="0.3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</row>
    <row r="972" spans="1:26" ht="11.25" customHeight="1" x14ac:dyDescent="0.3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</row>
    <row r="973" spans="1:26" ht="11.25" customHeight="1" x14ac:dyDescent="0.3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</row>
    <row r="974" spans="1:26" ht="11.25" customHeight="1" x14ac:dyDescent="0.3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</row>
    <row r="975" spans="1:26" ht="11.25" customHeight="1" x14ac:dyDescent="0.3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</row>
    <row r="976" spans="1:26" ht="11.25" customHeight="1" x14ac:dyDescent="0.3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</row>
    <row r="977" spans="1:26" ht="11.25" customHeight="1" x14ac:dyDescent="0.3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</row>
    <row r="978" spans="1:26" ht="11.25" customHeight="1" x14ac:dyDescent="0.3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</row>
    <row r="979" spans="1:26" ht="11.25" customHeight="1" x14ac:dyDescent="0.3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</row>
    <row r="980" spans="1:26" ht="11.25" customHeight="1" x14ac:dyDescent="0.3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</row>
    <row r="981" spans="1:26" ht="11.25" customHeight="1" x14ac:dyDescent="0.3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</row>
    <row r="982" spans="1:26" ht="11.25" customHeight="1" x14ac:dyDescent="0.3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</row>
    <row r="983" spans="1:26" ht="11.25" customHeight="1" x14ac:dyDescent="0.3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</row>
    <row r="984" spans="1:26" ht="11.25" customHeight="1" x14ac:dyDescent="0.3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</row>
    <row r="985" spans="1:26" ht="11.25" customHeight="1" x14ac:dyDescent="0.3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</row>
    <row r="986" spans="1:26" ht="11.25" customHeight="1" x14ac:dyDescent="0.3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</row>
    <row r="987" spans="1:26" ht="11.25" customHeight="1" x14ac:dyDescent="0.3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</row>
    <row r="988" spans="1:26" ht="11.25" customHeight="1" x14ac:dyDescent="0.3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</row>
    <row r="989" spans="1:26" ht="11.25" customHeight="1" x14ac:dyDescent="0.3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</row>
    <row r="990" spans="1:26" ht="11.25" customHeight="1" x14ac:dyDescent="0.3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</row>
    <row r="991" spans="1:26" ht="11.25" customHeight="1" x14ac:dyDescent="0.3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</row>
    <row r="992" spans="1:26" ht="11.25" customHeight="1" x14ac:dyDescent="0.3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</row>
    <row r="993" spans="1:26" ht="11.25" customHeight="1" x14ac:dyDescent="0.3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</row>
    <row r="994" spans="1:26" ht="11.25" customHeight="1" x14ac:dyDescent="0.3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</row>
    <row r="995" spans="1:26" ht="11.25" customHeight="1" x14ac:dyDescent="0.3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</row>
    <row r="996" spans="1:26" ht="11.25" customHeight="1" x14ac:dyDescent="0.3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</row>
    <row r="997" spans="1:26" ht="11.25" customHeight="1" x14ac:dyDescent="0.3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</row>
    <row r="998" spans="1:26" ht="11.25" customHeight="1" x14ac:dyDescent="0.3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</row>
    <row r="999" spans="1:26" ht="11.25" customHeight="1" x14ac:dyDescent="0.3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</row>
    <row r="1000" spans="1:26" ht="11.25" customHeight="1" x14ac:dyDescent="0.3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</row>
  </sheetData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P&amp;L source</vt:lpstr>
      <vt:lpstr>BS source</vt:lpstr>
      <vt:lpstr>P&amp;L assumptions</vt:lpstr>
      <vt:lpstr>BS assumptions</vt:lpstr>
      <vt:lpstr>P&amp;L</vt:lpstr>
      <vt:lpstr>BS</vt:lpstr>
      <vt:lpstr>Cash 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BANTHIA</dc:creator>
  <cp:lastModifiedBy>srikanthyadav444p</cp:lastModifiedBy>
  <dcterms:created xsi:type="dcterms:W3CDTF">2006-09-16T00:00:00Z</dcterms:created>
  <dcterms:modified xsi:type="dcterms:W3CDTF">2025-12-31T11:37:16Z</dcterms:modified>
</cp:coreProperties>
</file>