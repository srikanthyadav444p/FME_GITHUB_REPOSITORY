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Problem01" sheetId="2" state="visible" r:id="rId2"/>
    <sheet xmlns:r="http://schemas.openxmlformats.org/officeDocument/2006/relationships" name="DCF_Model2_FMCG" sheetId="3" state="visible" r:id="rId3"/>
    <sheet xmlns:r="http://schemas.openxmlformats.org/officeDocument/2006/relationships" name="DCF_Model3_Tech" sheetId="4" state="visible" r:id="rId4"/>
  </sheets>
  <definedNames/>
  <calcPr calcId="191029" fullCalcOnLoad="1"/>
</workbook>
</file>

<file path=xl/styles.xml><?xml version="1.0" encoding="utf-8"?>
<styleSheet xmlns="http://schemas.openxmlformats.org/spreadsheetml/2006/main">
  <numFmts count="6">
    <numFmt numFmtId="164" formatCode="0.0%"/>
    <numFmt numFmtId="165" formatCode="\₹###,##0"/>
    <numFmt numFmtId="166" formatCode="0.000"/>
    <numFmt numFmtId="167" formatCode="&quot;₹&quot;\ #,##0.00;[Red]&quot;₹&quot;\ \-#,##0.00"/>
    <numFmt numFmtId="168" formatCode="\₹###,##0.00"/>
    <numFmt numFmtId="169" formatCode="#,##0_ ;[Red]\-#,##0\ "/>
  </numFmts>
  <fonts count="14">
    <font>
      <name val="Calibri"/>
      <family val="2"/>
      <color theme="1"/>
      <sz val="11"/>
      <scheme val="minor"/>
    </font>
    <font>
      <name val="Calibri"/>
      <family val="2"/>
      <b val="1"/>
      <sz val="14"/>
    </font>
    <font>
      <name val="Calibri"/>
      <family val="2"/>
      <i val="1"/>
      <sz val="10"/>
    </font>
    <font>
      <name val="Calibri"/>
      <family val="2"/>
      <b val="1"/>
      <sz val="12"/>
    </font>
    <font>
      <name val="Calibri"/>
      <family val="2"/>
      <sz val="10"/>
    </font>
    <font>
      <name val="Calibri"/>
      <family val="2"/>
      <b val="1"/>
      <sz val="11"/>
    </font>
    <font>
      <name val="Calibri"/>
      <family val="2"/>
      <color theme="1"/>
      <sz val="11"/>
      <scheme val="minor"/>
    </font>
    <font>
      <name val="Calibri"/>
      <family val="2"/>
      <color theme="1"/>
      <sz val="10"/>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0">
    <fill>
      <patternFill/>
    </fill>
    <fill>
      <patternFill patternType="gray125"/>
    </fill>
    <fill>
      <patternFill patternType="solid">
        <fgColor rgb="FFFFF7CE"/>
        <bgColor rgb="FFFFF7CE"/>
      </patternFill>
    </fill>
    <fill>
      <patternFill patternType="solid">
        <fgColor rgb="FFD9E1F2"/>
        <bgColor rgb="FFD9E1F2"/>
      </patternFill>
    </fill>
    <fill>
      <patternFill patternType="solid">
        <fgColor rgb="FFE2F0D9"/>
        <bgColor rgb="FFE2F0D9"/>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6" fillId="0" borderId="0"/>
    <xf numFmtId="9" fontId="6" fillId="0" borderId="0"/>
    <xf numFmtId="0" fontId="6"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horizontal="left" vertical="center"/>
    </xf>
    <xf numFmtId="0" fontId="0" fillId="2" borderId="1" applyAlignment="1" pivotButton="0" quotePrefix="0" xfId="0">
      <alignment horizontal="right" vertical="center"/>
    </xf>
    <xf numFmtId="0" fontId="0" fillId="0" borderId="1" applyAlignment="1" pivotButton="0" quotePrefix="0" xfId="0">
      <alignment horizontal="left" vertical="center"/>
    </xf>
    <xf numFmtId="0" fontId="4" fillId="0" borderId="0" applyAlignment="1" pivotButton="0" quotePrefix="0" xfId="0">
      <alignment horizontal="left" vertical="center"/>
    </xf>
    <xf numFmtId="164" fontId="0" fillId="3"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0" fontId="5" fillId="0" borderId="1" applyAlignment="1" pivotButton="0" quotePrefix="0" xfId="0">
      <alignment horizontal="center" vertical="center"/>
    </xf>
    <xf numFmtId="165" fontId="0" fillId="0" borderId="1" applyAlignment="1" pivotButton="0" quotePrefix="0" xfId="0">
      <alignment horizontal="right" vertical="center"/>
    </xf>
    <xf numFmtId="166" fontId="0" fillId="0" borderId="1" applyAlignment="1" pivotButton="0" quotePrefix="0" xfId="0">
      <alignment horizontal="right" vertical="center"/>
    </xf>
    <xf numFmtId="165" fontId="0" fillId="4" borderId="1" applyAlignment="1" pivotButton="0" quotePrefix="0" xfId="0">
      <alignment horizontal="right" vertical="center"/>
    </xf>
    <xf numFmtId="0" fontId="0" fillId="0" borderId="0" applyAlignment="1" pivotButton="0" quotePrefix="0" xfId="0">
      <alignment horizontal="left" vertical="center"/>
    </xf>
    <xf numFmtId="4" fontId="0" fillId="2" borderId="1" applyAlignment="1" pivotButton="0" quotePrefix="0" xfId="0">
      <alignment horizontal="right" vertical="center"/>
    </xf>
    <xf numFmtId="0" fontId="5" fillId="0" borderId="0" applyAlignment="1" pivotButton="0" quotePrefix="0" xfId="0">
      <alignment horizontal="left" vertical="center"/>
    </xf>
    <xf numFmtId="165" fontId="0" fillId="3" borderId="1" applyAlignment="1" pivotButton="0" quotePrefix="0" xfId="0">
      <alignment horizontal="right" vertical="center"/>
    </xf>
    <xf numFmtId="0" fontId="5" fillId="0" borderId="1" applyAlignment="1" pivotButton="0" quotePrefix="0" xfId="0">
      <alignment horizontal="left" vertical="center"/>
    </xf>
    <xf numFmtId="0" fontId="0" fillId="4"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167" fontId="0" fillId="0" borderId="0" pivotButton="0" quotePrefix="0" xfId="0"/>
    <xf numFmtId="168" fontId="0" fillId="4" borderId="1" applyAlignment="1" pivotButton="0" quotePrefix="0" xfId="0">
      <alignment horizontal="right" vertical="center"/>
    </xf>
    <xf numFmtId="165" fontId="0" fillId="0" borderId="0" pivotButton="0" quotePrefix="0" xfId="0"/>
    <xf numFmtId="169" fontId="0" fillId="3" borderId="1" applyAlignment="1" pivotButton="0" quotePrefix="0" xfId="0">
      <alignment horizontal="right" vertical="center"/>
    </xf>
    <xf numFmtId="164" fontId="0" fillId="3" borderId="0" applyAlignment="1" pivotButton="0" quotePrefix="0" xfId="0">
      <alignment horizontal="right" vertical="center"/>
    </xf>
    <xf numFmtId="9" fontId="0" fillId="0" borderId="0" pivotButton="0" quotePrefix="0" xfId="1"/>
    <xf numFmtId="2" fontId="0" fillId="0" borderId="0" pivotButton="0" quotePrefix="0" xfId="0"/>
    <xf numFmtId="164" fontId="0" fillId="0" borderId="1" pivotButton="0" quotePrefix="0" xfId="0"/>
    <xf numFmtId="165" fontId="0" fillId="0" borderId="1" pivotButton="0" quotePrefix="0" xfId="0"/>
    <xf numFmtId="166" fontId="0" fillId="0" borderId="1" pivotButton="0" quotePrefix="0" xfId="0"/>
    <xf numFmtId="0" fontId="9" fillId="0" borderId="0" applyAlignment="1" pivotButton="0" quotePrefix="0" xfId="2">
      <alignment vertical="center"/>
    </xf>
    <xf numFmtId="0" fontId="6" fillId="0" borderId="0" pivotButton="0" quotePrefix="0" xfId="2"/>
    <xf numFmtId="0" fontId="10" fillId="0" borderId="0" applyAlignment="1" pivotButton="0" quotePrefix="0" xfId="2">
      <alignment vertical="center"/>
    </xf>
    <xf numFmtId="0" fontId="11" fillId="0" borderId="0" pivotButton="0" quotePrefix="0" xfId="2"/>
    <xf numFmtId="0" fontId="12" fillId="0" borderId="0" applyAlignment="1" pivotButton="0" quotePrefix="0" xfId="2">
      <alignment vertical="center"/>
    </xf>
    <xf numFmtId="0" fontId="13" fillId="6" borderId="0" applyAlignment="1" pivotButton="0" quotePrefix="0" xfId="2">
      <alignment vertical="center"/>
    </xf>
    <xf numFmtId="0" fontId="6" fillId="6" borderId="0" pivotButton="0" quotePrefix="0" xfId="2"/>
    <xf numFmtId="0" fontId="13" fillId="7" borderId="0" applyAlignment="1" pivotButton="0" quotePrefix="0" xfId="2">
      <alignment vertical="center"/>
    </xf>
    <xf numFmtId="0" fontId="8" fillId="8" borderId="0" applyAlignment="1" pivotButton="0" quotePrefix="0" xfId="2">
      <alignment vertical="top" wrapText="1"/>
    </xf>
    <xf numFmtId="0" fontId="6" fillId="0" borderId="0" applyAlignment="1" pivotButton="0" quotePrefix="0" xfId="2">
      <alignment horizontal="left" vertical="center" indent="1"/>
    </xf>
    <xf numFmtId="0" fontId="8" fillId="0" borderId="0" pivotButton="0" quotePrefix="0" xfId="2"/>
    <xf numFmtId="0" fontId="8" fillId="0" borderId="0" applyAlignment="1" pivotButton="0" quotePrefix="0" xfId="2">
      <alignment horizontal="left" vertical="center" indent="1"/>
    </xf>
    <xf numFmtId="0" fontId="6" fillId="5" borderId="0" applyAlignment="1" pivotButton="0" quotePrefix="0" xfId="2">
      <alignment horizontal="justify" vertical="justify" wrapText="1"/>
    </xf>
    <xf numFmtId="0" fontId="6" fillId="5" borderId="0" applyAlignment="1" pivotButton="0" quotePrefix="0" xfId="2">
      <alignment horizontal="left" vertical="top" wrapText="1"/>
    </xf>
    <xf numFmtId="0" fontId="6" fillId="9" borderId="0" applyAlignment="1" pivotButton="0" quotePrefix="0" xfId="2">
      <alignment horizontal="justify" vertical="justify" wrapText="1"/>
    </xf>
    <xf numFmtId="0" fontId="0" fillId="0" borderId="0" applyAlignment="1" pivotButton="0" quotePrefix="0" xfId="0">
      <alignment horizontal="center"/>
    </xf>
    <xf numFmtId="0" fontId="7" fillId="0" borderId="0" applyAlignment="1" pivotButton="0" quotePrefix="0" xfId="0">
      <alignment horizontal="center" textRotation="180"/>
    </xf>
    <xf numFmtId="165" fontId="0" fillId="0" borderId="0" pivotButton="0" quotePrefix="0" xfId="0"/>
    <xf numFmtId="164" fontId="0" fillId="3" borderId="1" applyAlignment="1" pivotButton="0" quotePrefix="0" xfId="0">
      <alignment horizontal="right" vertical="center"/>
    </xf>
    <xf numFmtId="164" fontId="0" fillId="3" borderId="0"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0" fillId="0" borderId="1" applyAlignment="1" pivotButton="0" quotePrefix="0" xfId="0">
      <alignment horizontal="right" vertical="center"/>
    </xf>
    <xf numFmtId="168" fontId="0" fillId="4" borderId="1" applyAlignment="1" pivotButton="0" quotePrefix="0" xfId="0">
      <alignment horizontal="right" vertical="center"/>
    </xf>
    <xf numFmtId="167" fontId="0" fillId="0" borderId="0" pivotButton="0" quotePrefix="0" xfId="0"/>
    <xf numFmtId="165" fontId="0" fillId="4" borderId="1" applyAlignment="1" pivotButton="0" quotePrefix="0" xfId="0">
      <alignment horizontal="right" vertical="center"/>
    </xf>
    <xf numFmtId="169" fontId="0" fillId="3" borderId="1" applyAlignment="1" pivotButton="0" quotePrefix="0" xfId="0">
      <alignment horizontal="right" vertical="center"/>
    </xf>
    <xf numFmtId="165" fontId="0" fillId="3" borderId="1" applyAlignment="1" pivotButton="0" quotePrefix="0" xfId="0">
      <alignment horizontal="right" vertical="center"/>
    </xf>
    <xf numFmtId="164" fontId="0" fillId="0" borderId="1" pivotButton="0" quotePrefix="0" xfId="0"/>
    <xf numFmtId="165" fontId="0" fillId="0" borderId="1" pivotButton="0" quotePrefix="0" xfId="0"/>
  </cellXfs>
  <cellStyles count="3">
    <cellStyle name="Normal" xfId="0" builtinId="0"/>
    <cellStyle name="Percent" xfId="1" builtinId="5"/>
    <cellStyle name="Normal 2"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42645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A16" sqref="A16:G16"/>
    </sheetView>
  </sheetViews>
  <sheetFormatPr baseColWidth="8" defaultRowHeight="14.5"/>
  <cols>
    <col width="8.7265625" customWidth="1" style="34" min="1" max="6"/>
    <col width="13.90625" customWidth="1" style="34" min="7" max="7"/>
    <col width="5.6328125" customWidth="1" style="34" min="8" max="8"/>
    <col width="71.6328125" customWidth="1" style="34" min="9" max="9"/>
    <col width="7.1796875" customWidth="1" style="34" min="10" max="10"/>
    <col width="8.7265625" customWidth="1" style="34" min="11" max="16384"/>
  </cols>
  <sheetData>
    <row r="1" ht="31" customHeight="1">
      <c r="A1" s="33" t="inlineStr">
        <is>
          <t>FINANCIAL MODELING USING EXCEL</t>
        </is>
      </c>
    </row>
    <row r="2"/>
    <row r="3" ht="23.5" customHeight="1">
      <c r="A3" s="35" t="inlineStr">
        <is>
          <t>Additional Discounted Cash Flow (DCF) Valuation Problems Using Excel</t>
        </is>
      </c>
    </row>
    <row r="4"/>
    <row r="5">
      <c r="A5" s="36" t="inlineStr">
        <is>
          <t>Applied Valuation Scenarios and Cash Flow–Based Decision Analysis</t>
        </is>
      </c>
    </row>
    <row r="6"/>
    <row r="7" ht="23.5" customHeight="1">
      <c r="A7" s="37" t="inlineStr">
        <is>
          <t>Workbook Purpose</t>
        </is>
      </c>
    </row>
    <row r="8"/>
    <row r="9" ht="132.5" customHeight="1">
      <c r="A9" s="45" t="inlineStr">
        <is>
          <t>This workbook is a problem-focused DCF practice workbook that contains multiple additional Discounted Cash Flow valuation problems, each designed to strengthen conceptual clarity and application skills in valuation. Unlike a single integrated valuation case, this workbook exposes learners to varied DCF structures, assumptions, and problem settings, requiring flexible thinking and disciplined model construction.
The objective of this workbook is to help learners apply DCF logic repeatedly across different contexts—such as changes in cash flow patterns, discount rates, terminal assumptions, and investment horizons—using Excel as an analytical tool. The workbook emphasizes understanding why valuation outcomes differ across scenarios and how sensitive DCF results are to underlying assumptions.</t>
        </is>
      </c>
    </row>
    <row r="10"/>
    <row r="11"/>
    <row r="12"/>
    <row r="13"/>
    <row r="14"/>
    <row r="15" ht="23.5" customHeight="1">
      <c r="A15" s="38" t="inlineStr">
        <is>
          <t>Key Concepts Covered</t>
        </is>
      </c>
      <c r="B15" s="39" t="n"/>
      <c r="C15" s="39" t="n"/>
      <c r="D15" s="39" t="n"/>
      <c r="E15" s="39" t="n"/>
      <c r="F15" s="39" t="n"/>
      <c r="G15" s="39" t="n"/>
      <c r="I15" s="40" t="inlineStr">
        <is>
          <t>Excel Functions Used</t>
        </is>
      </c>
    </row>
    <row r="16" ht="364.5" customHeight="1">
      <c r="A16" s="46" t="inlineStr">
        <is>
          <t>Core principles of Discounted Cash Flow (DCF) valuation
Free Cash Flow estimation under varying assumptions
Explicit forecast period vs terminal period treatment
Discounting logic and present value interpretation
Terminal value estimation using alternative approaches
Enterprise value and equity value computation
Sensitivity of valuation outcomes to key drivers
Comparative interpretation across multiple DCF problems</t>
        </is>
      </c>
      <c r="I16" s="41" t="inlineStr">
        <is>
          <t>The workbook uses the following Excel functions accurately and comprehensively across the different DCF problem sets:
NPV – Discounts periodic cash flows during the explicit forecast period
XNPV – Discounts cash flows using exact dates where non-uniform timing is required
IRR – Computes internal rate of return for periodic cash-flow streams
XIRR – Computes return based on dated cash flows in irregular scenarios
SUM – Aggregates cash flows, values, and intermediate components
SUMPRODUCT – Computes weighted averages and valuation components (e.g., WACC inputs)
IF – Handles conditional logic across alternative problem structures
IFERROR – Manages numerical edge cases such as division by zero
ROUND – Ensures numerical precision and clean reporting
ABS – Maintains disciplined cash-flow sign conventions
AVERAGE – Computes representative assumptions across periods
MAX / MIN – Supports boundary checks and scenario evaluation
INDEX – Retrieves values dynamically from structured tables
MATCH – Locates period- or scenario-specific positions
INDEX–MATCH – Enables flexible and auditable referencing across problems
CHOOSE – Facilitates structured selection among alternative assumptions
HYPERLINK – Supports navigation across multiple DCF problems within the workbook
The workbook places strong emphasis on correct timing of cash flows, consistency between assumptions and valuation logic, and audit-friendly model construction.</t>
        </is>
      </c>
    </row>
    <row r="17">
      <c r="A17" s="42" t="n"/>
    </row>
    <row r="18">
      <c r="A18" s="42" t="n"/>
      <c r="E18" s="47"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43" t="n"/>
    </row>
    <row r="19">
      <c r="A19" s="42" t="n"/>
    </row>
    <row r="20">
      <c r="A20" s="42" t="n"/>
      <c r="I20" s="43" t="n"/>
    </row>
    <row r="21">
      <c r="A21" s="42" t="n"/>
    </row>
    <row r="22">
      <c r="A22" s="42" t="n"/>
      <c r="I22" s="43" t="n"/>
    </row>
    <row r="23">
      <c r="A23" s="42" t="n"/>
    </row>
    <row r="24">
      <c r="A24" s="42" t="n"/>
      <c r="I24" s="43" t="n"/>
    </row>
    <row r="25">
      <c r="A25" s="42" t="n"/>
    </row>
    <row r="26">
      <c r="A26" s="42" t="n"/>
      <c r="I26" s="43" t="n"/>
    </row>
    <row r="27">
      <c r="A27" s="42" t="n"/>
    </row>
    <row r="28">
      <c r="A28" s="42" t="n"/>
      <c r="I28" s="43" t="n"/>
    </row>
    <row r="29">
      <c r="A29" s="42" t="n"/>
    </row>
    <row r="30">
      <c r="A30" s="42" t="n"/>
      <c r="I30" s="43" t="n"/>
    </row>
    <row r="31">
      <c r="A31" s="42" t="n"/>
      <c r="I31" s="42" t="n"/>
    </row>
    <row r="32">
      <c r="A32" s="42" t="n"/>
      <c r="I32" s="44" t="n"/>
    </row>
    <row r="33">
      <c r="A33" s="42"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9"/>
  <sheetViews>
    <sheetView zoomScale="70" zoomScaleNormal="70" workbookViewId="0">
      <selection activeCell="J10" sqref="J10"/>
    </sheetView>
  </sheetViews>
  <sheetFormatPr baseColWidth="8" defaultRowHeight="14.5"/>
  <cols>
    <col width="30" customWidth="1" min="1" max="1"/>
    <col width="18" customWidth="1" min="2" max="2"/>
    <col width="17.90625" customWidth="1" min="3" max="3"/>
    <col width="14" customWidth="1" min="4" max="6"/>
    <col width="10" customWidth="1" min="7" max="7"/>
    <col width="24.26953125" customWidth="1" min="8" max="8"/>
    <col width="28.453125" customWidth="1" min="9" max="9"/>
    <col width="5" customWidth="1" min="10" max="10"/>
    <col width="8.36328125" customWidth="1" min="11" max="11"/>
    <col width="5.08984375" customWidth="1" min="12" max="12"/>
    <col width="7.7265625" customWidth="1" min="13" max="13"/>
    <col width="8.08984375" customWidth="1" min="14" max="14"/>
    <col width="9.26953125" customWidth="1" min="15" max="15"/>
    <col width="8.08984375" customWidth="1" min="16" max="16"/>
    <col width="9" customWidth="1" min="17" max="17"/>
  </cols>
  <sheetData>
    <row r="1" ht="18.5" customHeight="1">
      <c r="A1" s="1" t="inlineStr">
        <is>
          <t>DCF Valuation – Alpha Manufacturing</t>
        </is>
      </c>
    </row>
    <row r="2">
      <c r="A2" s="2" t="inlineStr">
        <is>
          <t>All amounts in ₹ crore</t>
        </is>
      </c>
    </row>
    <row r="3">
      <c r="M3" s="48" t="n"/>
    </row>
    <row r="4" ht="15.5" customHeight="1">
      <c r="A4" s="3" t="inlineStr">
        <is>
          <t>INPUTS</t>
        </is>
      </c>
      <c r="H4" s="3" t="inlineStr">
        <is>
          <t>WACC &amp; Valuation</t>
        </is>
      </c>
      <c r="K4" s="50" t="n"/>
      <c r="L4" s="50" t="n"/>
      <c r="M4" s="28" t="n"/>
      <c r="N4" s="28" t="n"/>
      <c r="O4" s="28" t="n"/>
      <c r="P4" s="28" t="n"/>
      <c r="Q4" s="28" t="n"/>
      <c r="R4" s="28" t="n"/>
    </row>
    <row r="5">
      <c r="K5" s="49" t="n"/>
      <c r="L5" s="28" t="n"/>
      <c r="M5" s="29" t="n"/>
      <c r="N5" s="29" t="n"/>
      <c r="O5" s="29" t="n"/>
      <c r="P5" s="29" t="n"/>
      <c r="Q5" s="29" t="n"/>
    </row>
    <row r="6">
      <c r="A6" s="4" t="inlineStr">
        <is>
          <t>Currency Symbol</t>
        </is>
      </c>
      <c r="B6" s="5" t="inlineStr">
        <is>
          <t>₹</t>
        </is>
      </c>
      <c r="C6" s="6" t="inlineStr">
        <is>
          <t>Information only</t>
        </is>
      </c>
      <c r="H6" s="7" t="inlineStr">
        <is>
          <t>Cost of Equity (Re)</t>
        </is>
      </c>
      <c r="I6" s="51">
        <f>$B$15+$B$17*$B$16</f>
        <v/>
      </c>
      <c r="J6" s="52" t="n"/>
      <c r="L6" s="28" t="n"/>
      <c r="M6" s="29" t="n"/>
      <c r="N6" s="29" t="n"/>
      <c r="O6" s="29" t="n"/>
      <c r="P6" s="29" t="n"/>
      <c r="Q6" s="29" t="n"/>
    </row>
    <row r="7">
      <c r="A7" s="4" t="inlineStr">
        <is>
          <t>Units</t>
        </is>
      </c>
      <c r="B7" s="5" t="inlineStr">
        <is>
          <t>Crore</t>
        </is>
      </c>
      <c r="C7" s="6" t="inlineStr">
        <is>
          <t>All monetary values</t>
        </is>
      </c>
      <c r="H7" s="7" t="inlineStr">
        <is>
          <t>After-tax Cost of Debt (Rd)</t>
        </is>
      </c>
      <c r="I7" s="51">
        <f>$B$18*(1-$B$14)</f>
        <v/>
      </c>
      <c r="J7" s="52" t="n"/>
      <c r="L7" s="28" t="n"/>
      <c r="M7" s="29" t="n"/>
      <c r="N7" s="29" t="n"/>
      <c r="O7" s="29" t="n"/>
      <c r="P7" s="29" t="n"/>
      <c r="Q7" s="29" t="n"/>
    </row>
    <row r="8">
      <c r="A8" s="4" t="inlineStr">
        <is>
          <t>Historical Last Revenue (FY24)</t>
        </is>
      </c>
      <c r="B8" s="53" t="n">
        <v>1500</v>
      </c>
      <c r="C8" s="6" t="inlineStr">
        <is>
          <t>Base year revenue</t>
        </is>
      </c>
      <c r="H8" s="7" t="inlineStr">
        <is>
          <t>Equity Weight</t>
        </is>
      </c>
      <c r="I8" s="51">
        <f>1-I9</f>
        <v/>
      </c>
      <c r="J8" s="52" t="n"/>
      <c r="L8" s="28" t="n"/>
      <c r="M8" s="29" t="n"/>
      <c r="N8" s="29" t="n"/>
      <c r="O8" s="29" t="n"/>
      <c r="P8" s="29" t="n"/>
      <c r="Q8" s="29" t="n"/>
    </row>
    <row r="9">
      <c r="A9" s="4" t="inlineStr">
        <is>
          <t>EBITDA Margin (%)</t>
        </is>
      </c>
      <c r="B9" s="54" t="n">
        <v>0.19</v>
      </c>
      <c r="C9" s="6" t="inlineStr">
        <is>
          <t>EBITDA as % of revenue</t>
        </is>
      </c>
      <c r="H9" s="7" t="inlineStr">
        <is>
          <t>Debt Weight</t>
        </is>
      </c>
      <c r="I9" s="51" t="n">
        <v>0.3</v>
      </c>
      <c r="J9" s="52" t="n"/>
      <c r="L9" s="28" t="n"/>
      <c r="M9" s="29" t="n"/>
      <c r="N9" s="29" t="n"/>
      <c r="O9" s="29" t="n"/>
      <c r="P9" s="29" t="n"/>
      <c r="Q9" s="29" t="n"/>
    </row>
    <row r="10">
      <c r="A10" s="4" t="inlineStr">
        <is>
          <t>Depreciation (% of Revenue)</t>
        </is>
      </c>
      <c r="B10" s="54" t="n">
        <v>0.034</v>
      </c>
      <c r="C10" s="6" t="inlineStr">
        <is>
          <t>Depreciation as % of revenue</t>
        </is>
      </c>
      <c r="H10" s="7" t="inlineStr">
        <is>
          <t>WACC</t>
        </is>
      </c>
      <c r="I10" s="51">
        <f>I8*I6+I9*I7</f>
        <v/>
      </c>
      <c r="J10" s="52" t="n"/>
      <c r="L10" s="28" t="n"/>
    </row>
    <row r="11">
      <c r="A11" s="4" t="inlineStr">
        <is>
          <t>Capex (% of Revenue)</t>
        </is>
      </c>
      <c r="B11" s="54" t="n">
        <v>0.05</v>
      </c>
      <c r="C11" s="6" t="inlineStr">
        <is>
          <t>Capex as % of revenue</t>
        </is>
      </c>
    </row>
    <row r="12">
      <c r="A12" s="4" t="inlineStr">
        <is>
          <t>ΔWC (% of ΔRevenue)</t>
        </is>
      </c>
      <c r="B12" s="54" t="n">
        <v>0.02</v>
      </c>
      <c r="C12" s="6" t="inlineStr">
        <is>
          <t>Working capital change as % of revenue change</t>
        </is>
      </c>
    </row>
    <row r="13">
      <c r="A13" s="4" t="inlineStr">
        <is>
          <t>Revenue Growth Rate (%)</t>
        </is>
      </c>
      <c r="B13" s="54" t="n">
        <v>0.06</v>
      </c>
      <c r="C13" s="6" t="inlineStr">
        <is>
          <t>Annual revenue growth for forecast</t>
        </is>
      </c>
    </row>
    <row r="14">
      <c r="A14" s="4" t="inlineStr">
        <is>
          <t>Tax Rate (%)</t>
        </is>
      </c>
      <c r="B14" s="54" t="n">
        <v>0.3</v>
      </c>
      <c r="C14" s="6" t="inlineStr">
        <is>
          <t>Corporate tax rate</t>
        </is>
      </c>
      <c r="F14" s="21" t="n"/>
      <c r="G14" s="11" t="inlineStr">
        <is>
          <t>Year</t>
        </is>
      </c>
      <c r="H14" s="11" t="inlineStr">
        <is>
          <t>FCFF</t>
        </is>
      </c>
      <c r="I14" s="11" t="inlineStr">
        <is>
          <t>Discount Factor</t>
        </is>
      </c>
      <c r="J14" s="11" t="n"/>
      <c r="K14" s="11" t="inlineStr">
        <is>
          <t>PV of FCFF</t>
        </is>
      </c>
    </row>
    <row r="15">
      <c r="A15" s="4" t="inlineStr">
        <is>
          <t>Risk-free Rate (%)</t>
        </is>
      </c>
      <c r="B15" s="54" t="n">
        <v>0.07000000000000001</v>
      </c>
      <c r="C15" s="6" t="inlineStr">
        <is>
          <t>For CAPM</t>
        </is>
      </c>
      <c r="F15" s="22" t="n">
        <v>1</v>
      </c>
      <c r="G15" s="6" t="inlineStr">
        <is>
          <t>FY25</t>
        </is>
      </c>
      <c r="H15" s="55">
        <f t="array" ref="H15:H19">TRANSPOSE(B41:F41)</f>
        <v/>
      </c>
      <c r="I15" s="13">
        <f>1/((1+$I$10)^F15)</f>
        <v/>
      </c>
      <c r="J15" s="13" t="n"/>
      <c r="K15" s="55">
        <f>H15*I15</f>
        <v/>
      </c>
    </row>
    <row r="16">
      <c r="A16" s="4" t="inlineStr">
        <is>
          <t>Market Risk Premium (%)</t>
        </is>
      </c>
      <c r="B16" s="54" t="n">
        <v>0.06</v>
      </c>
      <c r="C16" s="6" t="inlineStr">
        <is>
          <t>For CAPM</t>
        </is>
      </c>
      <c r="F16" s="22" t="n">
        <v>2</v>
      </c>
      <c r="G16" s="6" t="inlineStr">
        <is>
          <t>FY26</t>
        </is>
      </c>
      <c r="H16" s="55" t="n">
        <v>155.17128</v>
      </c>
      <c r="I16" s="13">
        <f>1/((1+$I$10)^F16)</f>
        <v/>
      </c>
      <c r="J16" s="13" t="n"/>
      <c r="K16" s="55">
        <f>H16*I16</f>
        <v/>
      </c>
    </row>
    <row r="17">
      <c r="A17" s="4" t="inlineStr">
        <is>
          <t>Beta</t>
        </is>
      </c>
      <c r="B17" s="5" t="n">
        <v>1.1</v>
      </c>
      <c r="C17" s="6" t="inlineStr">
        <is>
          <t>For CAPM</t>
        </is>
      </c>
      <c r="F17" s="22" t="n">
        <v>3</v>
      </c>
      <c r="G17" s="6" t="inlineStr">
        <is>
          <t>FY27</t>
        </is>
      </c>
      <c r="H17" s="55" t="n">
        <v>164.4815568</v>
      </c>
      <c r="I17" s="13">
        <f>1/((1+$I$10)^F17)</f>
        <v/>
      </c>
      <c r="J17" s="13" t="n"/>
      <c r="K17" s="55">
        <f>H17*I17</f>
        <v/>
      </c>
    </row>
    <row r="18">
      <c r="A18" s="4" t="inlineStr">
        <is>
          <t>Pre-tax Cost of Debt (%)</t>
        </is>
      </c>
      <c r="B18" s="54" t="n">
        <v>0.09</v>
      </c>
      <c r="C18" s="6" t="inlineStr">
        <is>
          <t>Cost of debt before tax</t>
        </is>
      </c>
      <c r="F18" s="22" t="n">
        <v>4</v>
      </c>
      <c r="G18" s="6" t="inlineStr">
        <is>
          <t>FY28</t>
        </is>
      </c>
      <c r="H18" s="55" t="n">
        <v>174.350450208</v>
      </c>
      <c r="I18" s="13">
        <f>1/((1+$I$10)^F18)</f>
        <v/>
      </c>
      <c r="J18" s="13" t="n"/>
      <c r="K18" s="55">
        <f>H18*I18</f>
        <v/>
      </c>
    </row>
    <row r="19">
      <c r="A19" s="4" t="inlineStr">
        <is>
          <t>Equity Weight (%)</t>
        </is>
      </c>
      <c r="B19" s="54" t="n">
        <v>0.7</v>
      </c>
      <c r="C19" s="6" t="inlineStr">
        <is>
          <t>Target capital structure</t>
        </is>
      </c>
      <c r="F19" s="22" t="n">
        <v>5</v>
      </c>
      <c r="G19" s="6" t="inlineStr">
        <is>
          <t>FY29</t>
        </is>
      </c>
      <c r="H19" s="55" t="n">
        <v>184.81147722048</v>
      </c>
      <c r="I19" s="13">
        <f>1/((1+$I$10)^F19)</f>
        <v/>
      </c>
      <c r="J19" s="13" t="n"/>
      <c r="K19" s="55">
        <f>H19*I19</f>
        <v/>
      </c>
    </row>
    <row r="20">
      <c r="A20" s="4" t="inlineStr">
        <is>
          <t>Debt Weight (%)</t>
        </is>
      </c>
      <c r="B20" s="54" t="n">
        <v>0.3</v>
      </c>
      <c r="C20" s="6" t="inlineStr">
        <is>
          <t>Target capital structure</t>
        </is>
      </c>
      <c r="I20" s="7" t="inlineStr">
        <is>
          <t>PV of Explicit FCFF</t>
        </is>
      </c>
      <c r="J20" s="7" t="n"/>
      <c r="K20" s="56">
        <f>SUM(K14:K19)</f>
        <v/>
      </c>
    </row>
    <row r="21">
      <c r="A21" s="4" t="inlineStr">
        <is>
          <t>Terminal Growth Rate g (%)</t>
        </is>
      </c>
      <c r="B21" s="54" t="n">
        <v>0.04</v>
      </c>
      <c r="C21" s="6" t="inlineStr">
        <is>
          <t>Perpetual growth</t>
        </is>
      </c>
      <c r="K21" s="57" t="n"/>
    </row>
    <row r="22">
      <c r="A22" s="4" t="inlineStr">
        <is>
          <t>Debt (₹ crore)</t>
        </is>
      </c>
      <c r="B22" s="53" t="n">
        <v>350</v>
      </c>
      <c r="C22" s="6" t="inlineStr">
        <is>
          <t>Total debt</t>
        </is>
      </c>
    </row>
    <row r="23">
      <c r="A23" s="4" t="inlineStr">
        <is>
          <t>Cash (₹ crore)</t>
        </is>
      </c>
      <c r="B23" s="53" t="n">
        <v>150</v>
      </c>
      <c r="C23" s="6" t="inlineStr">
        <is>
          <t>Cash balance</t>
        </is>
      </c>
      <c r="I23" s="15" t="inlineStr">
        <is>
          <t>Terminal Value (at end of FY29)</t>
        </is>
      </c>
      <c r="J23" s="15" t="n"/>
      <c r="K23" s="55">
        <f>(H19*(1+B21))/(I10-B21)</f>
        <v/>
      </c>
      <c r="L23">
        <f>_xlfn.FORMULATEXT(K23)</f>
        <v/>
      </c>
    </row>
    <row r="24">
      <c r="A24" s="4" t="inlineStr">
        <is>
          <t>Shares Outstanding (crore)</t>
        </is>
      </c>
      <c r="B24" s="16" t="n">
        <v>12</v>
      </c>
      <c r="C24" s="6" t="inlineStr">
        <is>
          <t>For per-share value</t>
        </is>
      </c>
      <c r="I24" s="15" t="inlineStr">
        <is>
          <t>PV of Terminal Value</t>
        </is>
      </c>
      <c r="J24" s="15" t="n"/>
      <c r="K24" s="58">
        <f>K23*I19</f>
        <v/>
      </c>
      <c r="L24">
        <f>_xlfn.FORMULATEXT(K24)</f>
        <v/>
      </c>
    </row>
    <row r="25"/>
    <row r="26">
      <c r="I26" s="17" t="inlineStr">
        <is>
          <t>Enterprise Value (EV)</t>
        </is>
      </c>
      <c r="J26" s="17" t="n"/>
      <c r="K26" s="58">
        <f>K24+K20</f>
        <v/>
      </c>
      <c r="L26">
        <f>_xlfn.FORMULATEXT(K26)</f>
        <v/>
      </c>
    </row>
    <row r="27">
      <c r="I27" s="15" t="inlineStr">
        <is>
          <t>Net Debt</t>
        </is>
      </c>
      <c r="J27" s="15" t="n"/>
      <c r="K27" s="59">
        <f>-B22</f>
        <v/>
      </c>
      <c r="L27">
        <f>_xlfn.FORMULATEXT(K27)</f>
        <v/>
      </c>
    </row>
    <row r="28">
      <c r="I28" s="15" t="inlineStr">
        <is>
          <t xml:space="preserve">Cash </t>
        </is>
      </c>
      <c r="J28" s="15" t="n"/>
      <c r="K28" s="50">
        <f>B23</f>
        <v/>
      </c>
      <c r="L28">
        <f>_xlfn.FORMULATEXT(K28)</f>
        <v/>
      </c>
    </row>
    <row r="29">
      <c r="I29" s="15" t="inlineStr">
        <is>
          <t>Equity Value</t>
        </is>
      </c>
      <c r="J29" s="15" t="n"/>
      <c r="K29" s="58">
        <f>SUM(K26:K28)</f>
        <v/>
      </c>
      <c r="L29">
        <f>_xlfn.FORMULATEXT(K29)</f>
        <v/>
      </c>
    </row>
    <row r="30" ht="15.5" customHeight="1">
      <c r="A30" s="3" t="inlineStr">
        <is>
          <t>FORECAST &amp; FREE CASH FLOW TO FIRM (FCFF)</t>
        </is>
      </c>
      <c r="I30" s="15" t="inlineStr">
        <is>
          <t>Per-Share Value (₹)</t>
        </is>
      </c>
      <c r="J30" s="15" t="n"/>
      <c r="K30" s="58">
        <f>K29/B24</f>
        <v/>
      </c>
      <c r="L30">
        <f>_xlfn.FORMULATEXT(K30)</f>
        <v/>
      </c>
    </row>
    <row r="31"/>
    <row r="32">
      <c r="A32" s="19" t="inlineStr">
        <is>
          <t>Line Item</t>
        </is>
      </c>
      <c r="B32" s="11" t="inlineStr">
        <is>
          <t>FY25</t>
        </is>
      </c>
      <c r="C32" s="11" t="inlineStr">
        <is>
          <t>FY26</t>
        </is>
      </c>
      <c r="D32" s="11" t="inlineStr">
        <is>
          <t>FY27</t>
        </is>
      </c>
      <c r="E32" s="11" t="inlineStr">
        <is>
          <t>FY28</t>
        </is>
      </c>
      <c r="F32" s="11" t="inlineStr">
        <is>
          <t>FY29</t>
        </is>
      </c>
    </row>
    <row r="33">
      <c r="A33" s="4" t="inlineStr">
        <is>
          <t>Revenue</t>
        </is>
      </c>
      <c r="B33" s="60">
        <f>$B$8*(1+$B$13)</f>
        <v/>
      </c>
      <c r="C33" s="60">
        <f>B33*(1+$B$13)</f>
        <v/>
      </c>
      <c r="D33" s="60">
        <f>C33*(1+$B$13)</f>
        <v/>
      </c>
      <c r="E33" s="60">
        <f>D33*(1+$B$13)</f>
        <v/>
      </c>
      <c r="F33" s="60">
        <f>E33*(1+$B$13)</f>
        <v/>
      </c>
    </row>
    <row r="34">
      <c r="A34" s="4" t="inlineStr">
        <is>
          <t>EBITDA</t>
        </is>
      </c>
      <c r="B34" s="60">
        <f>B33*$B$9</f>
        <v/>
      </c>
      <c r="C34" s="60">
        <f>C33*$B$9</f>
        <v/>
      </c>
      <c r="D34" s="60">
        <f>D33*$B$9</f>
        <v/>
      </c>
      <c r="E34" s="60">
        <f>E33*$B$9</f>
        <v/>
      </c>
      <c r="F34" s="60">
        <f>F33*$B$9</f>
        <v/>
      </c>
    </row>
    <row r="35">
      <c r="A35" s="4" t="inlineStr">
        <is>
          <t>Depreciation</t>
        </is>
      </c>
      <c r="B35" s="60">
        <f>B33*$B$10</f>
        <v/>
      </c>
      <c r="C35" s="60">
        <f>C33*$B$10</f>
        <v/>
      </c>
      <c r="D35" s="60">
        <f>D33*$B$10</f>
        <v/>
      </c>
      <c r="E35" s="60">
        <f>E33*$B$10</f>
        <v/>
      </c>
      <c r="F35" s="60">
        <f>F33*$B$10</f>
        <v/>
      </c>
    </row>
    <row r="36">
      <c r="A36" s="4" t="inlineStr">
        <is>
          <t>EBIT</t>
        </is>
      </c>
      <c r="B36" s="60">
        <f>B34-B35</f>
        <v/>
      </c>
      <c r="C36" s="60">
        <f>C34-C35</f>
        <v/>
      </c>
      <c r="D36" s="60">
        <f>D34-D35</f>
        <v/>
      </c>
      <c r="E36" s="60">
        <f>E34-E35</f>
        <v/>
      </c>
      <c r="F36" s="60">
        <f>F34-F35</f>
        <v/>
      </c>
    </row>
    <row r="37">
      <c r="A37" s="4" t="inlineStr">
        <is>
          <t>Tax</t>
        </is>
      </c>
      <c r="B37" s="60">
        <f>B36*$B$14</f>
        <v/>
      </c>
      <c r="C37" s="60">
        <f>C36*$B$14</f>
        <v/>
      </c>
      <c r="D37" s="60">
        <f>D36*$B$14</f>
        <v/>
      </c>
      <c r="E37" s="60">
        <f>E36*$B$14</f>
        <v/>
      </c>
      <c r="F37" s="60">
        <f>F36*$B$14</f>
        <v/>
      </c>
    </row>
    <row r="38">
      <c r="A38" s="4" t="inlineStr">
        <is>
          <t>NOPAT</t>
        </is>
      </c>
      <c r="B38" s="60">
        <f>B36*(1-$B$14)</f>
        <v/>
      </c>
      <c r="C38" s="60">
        <f>C36*(1-$B$14)</f>
        <v/>
      </c>
      <c r="D38" s="60">
        <f>D36*(1-$B$14)</f>
        <v/>
      </c>
      <c r="E38" s="60">
        <f>E36*(1-$B$14)</f>
        <v/>
      </c>
      <c r="F38" s="60">
        <f>F36*(1-$B$14)</f>
        <v/>
      </c>
    </row>
    <row r="39">
      <c r="A39" s="4" t="inlineStr">
        <is>
          <t>Capex</t>
        </is>
      </c>
      <c r="B39" s="60">
        <f>B33*$B$11</f>
        <v/>
      </c>
      <c r="C39" s="60">
        <f>C33*$B$11</f>
        <v/>
      </c>
      <c r="D39" s="60">
        <f>D33*$B$11</f>
        <v/>
      </c>
      <c r="E39" s="60">
        <f>E33*$B$11</f>
        <v/>
      </c>
      <c r="F39" s="60">
        <f>F33*$B$11</f>
        <v/>
      </c>
    </row>
    <row r="40">
      <c r="A40" s="4" t="inlineStr">
        <is>
          <t>ΔWorking Capital</t>
        </is>
      </c>
      <c r="B40" s="60">
        <f>(B33-$B$8)*$B$12</f>
        <v/>
      </c>
      <c r="C40" s="60">
        <f>(C33-B33)*$B$12</f>
        <v/>
      </c>
      <c r="D40" s="60">
        <f>(D33-C33)*$B$12</f>
        <v/>
      </c>
      <c r="E40" s="60">
        <f>(E33-D33)*$B$12</f>
        <v/>
      </c>
      <c r="F40" s="60">
        <f>(F33-E33)*$B$12</f>
        <v/>
      </c>
    </row>
    <row r="41">
      <c r="A41" s="4" t="inlineStr">
        <is>
          <t>FCFF</t>
        </is>
      </c>
      <c r="B41" s="60">
        <f>B38+B35-B39-B40</f>
        <v/>
      </c>
      <c r="C41" s="60">
        <f>C38+C35-C39-C40</f>
        <v/>
      </c>
      <c r="D41" s="60">
        <f>D38+D35-D39-D40</f>
        <v/>
      </c>
      <c r="E41" s="60">
        <f>E38+E35-E39-E40</f>
        <v/>
      </c>
      <c r="F41" s="60">
        <f>F38+F35-F39-F40</f>
        <v/>
      </c>
    </row>
    <row r="42"/>
    <row r="43"/>
    <row r="44"/>
    <row r="45" ht="15.5" customHeight="1">
      <c r="A45" s="3" t="inlineStr">
        <is>
          <t>CHECKS</t>
        </is>
      </c>
    </row>
    <row r="46"/>
    <row r="47">
      <c r="A47" s="4" t="inlineStr">
        <is>
          <t>Equity + Debt Weights = 100%</t>
        </is>
      </c>
      <c r="B47" s="51">
        <f>$B$19+$B$20</f>
        <v/>
      </c>
      <c r="C47" s="20">
        <f>IF(ABS(B47-1)&lt;0.0001,"OK","ERROR")</f>
        <v/>
      </c>
    </row>
    <row r="48">
      <c r="A48" s="4" t="inlineStr">
        <is>
          <t>WACC between 5% and 20%</t>
        </is>
      </c>
      <c r="B48" s="51">
        <f>I10</f>
        <v/>
      </c>
      <c r="C48" s="20">
        <f>IF(AND(I10&gt;5%,I10&lt;20%),"OK","WARN")</f>
        <v/>
      </c>
    </row>
    <row r="49">
      <c r="A49" s="4" t="inlineStr">
        <is>
          <t>Terminal Value as % of EV</t>
        </is>
      </c>
      <c r="B49" s="51">
        <f>IF(K26&lt;&gt;0,K24/K26,0)</f>
        <v/>
      </c>
      <c r="C49" s="20">
        <f>IF(B49&lt;0.9,"OK","WARN: TV High")</f>
        <v/>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M3:Q3"/>
    <mergeCell ref="K5:K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topLeftCell="C24" workbookViewId="0">
      <selection activeCell="H41" sqref="H41"/>
    </sheetView>
  </sheetViews>
  <sheetFormatPr baseColWidth="8" defaultRowHeight="14.5"/>
  <cols>
    <col width="30" customWidth="1" min="1" max="1"/>
    <col width="18" customWidth="1" min="2" max="2"/>
    <col width="35" customWidth="1" min="3" max="3"/>
    <col width="14" customWidth="1" min="4" max="6"/>
    <col width="10" customWidth="1" min="7" max="7"/>
    <col width="18" customWidth="1" min="8" max="8"/>
    <col width="22" customWidth="1" min="9" max="10"/>
  </cols>
  <sheetData>
    <row r="1" ht="18.5" customHeight="1">
      <c r="A1" s="1" t="inlineStr">
        <is>
          <t>DCF Valuation – Model 2 (FMCG Company)</t>
        </is>
      </c>
    </row>
    <row r="2">
      <c r="A2" s="2" t="inlineStr">
        <is>
          <t>All amounts in ₹ crore</t>
        </is>
      </c>
    </row>
    <row r="3"/>
    <row r="4" ht="15.5" customHeight="1">
      <c r="A4" s="3" t="inlineStr">
        <is>
          <t>INPUTS</t>
        </is>
      </c>
      <c r="H4" s="3" t="inlineStr">
        <is>
          <t>WACC &amp; Valuation</t>
        </is>
      </c>
    </row>
    <row r="5"/>
    <row r="6">
      <c r="A6" s="6" t="inlineStr">
        <is>
          <t>Currency Symbol</t>
        </is>
      </c>
      <c r="B6" s="5" t="inlineStr">
        <is>
          <t>₹</t>
        </is>
      </c>
      <c r="C6" s="6" t="inlineStr">
        <is>
          <t>Information only</t>
        </is>
      </c>
      <c r="H6" t="inlineStr">
        <is>
          <t>Cost of Equity (Re)</t>
        </is>
      </c>
      <c r="I6" s="61">
        <f>$B$15+$B$17*$B$16</f>
        <v/>
      </c>
    </row>
    <row r="7">
      <c r="A7" s="6" t="inlineStr">
        <is>
          <t>Units</t>
        </is>
      </c>
      <c r="B7" s="5" t="inlineStr">
        <is>
          <t>Crore</t>
        </is>
      </c>
      <c r="C7" s="6" t="inlineStr">
        <is>
          <t>All monetary values</t>
        </is>
      </c>
      <c r="H7" t="inlineStr">
        <is>
          <t>After-tax Cost of Debt (Rd)</t>
        </is>
      </c>
      <c r="I7" s="61">
        <f>$B$18*(1-$B$14)</f>
        <v/>
      </c>
    </row>
    <row r="8">
      <c r="A8" s="6" t="inlineStr">
        <is>
          <t>Historical Last Revenue (FY24)</t>
        </is>
      </c>
      <c r="B8" s="53" t="n">
        <v>1800</v>
      </c>
      <c r="C8" s="6" t="inlineStr">
        <is>
          <t>Base year revenue</t>
        </is>
      </c>
      <c r="H8" t="inlineStr">
        <is>
          <t>Equity Weight</t>
        </is>
      </c>
      <c r="I8" s="61">
        <f>$B$19</f>
        <v/>
      </c>
    </row>
    <row r="9">
      <c r="A9" s="6" t="inlineStr">
        <is>
          <t>EBITDA Margin (%)</t>
        </is>
      </c>
      <c r="B9" s="54" t="n">
        <v>0.15</v>
      </c>
      <c r="C9" s="6" t="inlineStr">
        <is>
          <t>EBITDA as % of revenue</t>
        </is>
      </c>
      <c r="H9" t="inlineStr">
        <is>
          <t>Debt Weight</t>
        </is>
      </c>
      <c r="I9" s="61">
        <f>$B$20</f>
        <v/>
      </c>
    </row>
    <row r="10">
      <c r="A10" s="6" t="inlineStr">
        <is>
          <t>Depreciation (% of Revenue)</t>
        </is>
      </c>
      <c r="B10" s="54" t="n">
        <v>0.02</v>
      </c>
      <c r="C10" s="6" t="inlineStr">
        <is>
          <t>Depreciation as % of revenue</t>
        </is>
      </c>
      <c r="H10" t="inlineStr">
        <is>
          <t>WACC</t>
        </is>
      </c>
      <c r="I10" s="61">
        <f>I8*I6+I9*I7</f>
        <v/>
      </c>
    </row>
    <row r="11">
      <c r="A11" s="6" t="inlineStr">
        <is>
          <t>Capex (% of Revenue)</t>
        </is>
      </c>
      <c r="B11" s="54" t="n">
        <v>0.015</v>
      </c>
      <c r="C11" s="6" t="inlineStr">
        <is>
          <t>Capex as % of revenue</t>
        </is>
      </c>
    </row>
    <row r="12">
      <c r="A12" s="6" t="inlineStr">
        <is>
          <t>ΔWC (% of ΔRevenue)</t>
        </is>
      </c>
      <c r="B12" s="54" t="n">
        <v>0.035</v>
      </c>
      <c r="C12" s="6" t="inlineStr">
        <is>
          <t>WC change as % of ΔRevenue</t>
        </is>
      </c>
    </row>
    <row r="13">
      <c r="A13" s="6" t="inlineStr">
        <is>
          <t>Revenue Growth Rate (%)</t>
        </is>
      </c>
      <c r="B13" s="54" t="n">
        <v>0.08</v>
      </c>
      <c r="C13" s="6" t="inlineStr">
        <is>
          <t>Annual revenue growth</t>
        </is>
      </c>
    </row>
    <row r="14">
      <c r="A14" s="6" t="inlineStr">
        <is>
          <t>Tax Rate (%)</t>
        </is>
      </c>
      <c r="B14" s="54" t="n">
        <v>0.3</v>
      </c>
      <c r="C14" s="6" t="inlineStr">
        <is>
          <t>Corporate tax rate</t>
        </is>
      </c>
      <c r="G14" s="11" t="inlineStr">
        <is>
          <t>Year</t>
        </is>
      </c>
      <c r="H14" s="11" t="inlineStr">
        <is>
          <t>FCFF</t>
        </is>
      </c>
      <c r="I14" s="11" t="inlineStr">
        <is>
          <t>Discount Factor</t>
        </is>
      </c>
      <c r="J14" s="11" t="inlineStr">
        <is>
          <t>PV of FCFF</t>
        </is>
      </c>
    </row>
    <row r="15">
      <c r="A15" s="6" t="inlineStr">
        <is>
          <t>Risk-free Rate (%)</t>
        </is>
      </c>
      <c r="B15" s="54" t="n">
        <v>0.065</v>
      </c>
      <c r="C15" s="6" t="inlineStr">
        <is>
          <t>For CAPM</t>
        </is>
      </c>
      <c r="G15" s="21" t="inlineStr">
        <is>
          <t>FY25</t>
        </is>
      </c>
      <c r="H15" s="62">
        <f>B41</f>
        <v/>
      </c>
      <c r="I15" s="32">
        <f>1/(1+$I$10)^(ROW()-14)</f>
        <v/>
      </c>
      <c r="J15" s="62">
        <f>H15*I15</f>
        <v/>
      </c>
    </row>
    <row r="16">
      <c r="A16" s="6" t="inlineStr">
        <is>
          <t>Market Risk Premium (%)</t>
        </is>
      </c>
      <c r="B16" s="54" t="n">
        <v>0.055</v>
      </c>
      <c r="C16" s="6" t="inlineStr">
        <is>
          <t>For CAPM</t>
        </is>
      </c>
      <c r="G16" s="21" t="inlineStr">
        <is>
          <t>FY26</t>
        </is>
      </c>
      <c r="H16" s="62">
        <f>C41</f>
        <v/>
      </c>
      <c r="I16" s="32">
        <f>1/(1+$I$10)^(ROW()-14)</f>
        <v/>
      </c>
      <c r="J16" s="62">
        <f>H16*I16</f>
        <v/>
      </c>
    </row>
    <row r="17">
      <c r="A17" s="6" t="inlineStr">
        <is>
          <t>Beta</t>
        </is>
      </c>
      <c r="B17" s="5" t="n">
        <v>0.85</v>
      </c>
      <c r="C17" s="6" t="inlineStr">
        <is>
          <t>For CAPM</t>
        </is>
      </c>
      <c r="G17" s="21" t="inlineStr">
        <is>
          <t>FY27</t>
        </is>
      </c>
      <c r="H17" s="62">
        <f>D41</f>
        <v/>
      </c>
      <c r="I17" s="32">
        <f>1/(1+$I$10)^(ROW()-14)</f>
        <v/>
      </c>
      <c r="J17" s="62">
        <f>H17*I17</f>
        <v/>
      </c>
    </row>
    <row r="18">
      <c r="A18" s="6" t="inlineStr">
        <is>
          <t>Pre-tax Cost of Debt (%)</t>
        </is>
      </c>
      <c r="B18" s="54" t="n">
        <v>0.07000000000000001</v>
      </c>
      <c r="C18" s="6" t="inlineStr">
        <is>
          <t>Cost of debt</t>
        </is>
      </c>
      <c r="G18" s="21" t="inlineStr">
        <is>
          <t>FY28</t>
        </is>
      </c>
      <c r="H18" s="62">
        <f>E41</f>
        <v/>
      </c>
      <c r="I18" s="32">
        <f>1/(1+$I$10)^(ROW()-14)</f>
        <v/>
      </c>
      <c r="J18" s="62">
        <f>H18*I18</f>
        <v/>
      </c>
    </row>
    <row r="19">
      <c r="A19" s="6" t="inlineStr">
        <is>
          <t>Equity Weight (%)</t>
        </is>
      </c>
      <c r="B19" s="54" t="n">
        <v>0.6</v>
      </c>
      <c r="C19" s="6" t="inlineStr">
        <is>
          <t>Capital structure</t>
        </is>
      </c>
      <c r="G19" s="21" t="inlineStr">
        <is>
          <t>FY29</t>
        </is>
      </c>
      <c r="H19" s="62">
        <f>F41</f>
        <v/>
      </c>
      <c r="I19" s="32">
        <f>1/(1+$I$10)^(ROW()-14)</f>
        <v/>
      </c>
      <c r="J19" s="62">
        <f>H19*I19</f>
        <v/>
      </c>
    </row>
    <row r="20">
      <c r="A20" s="6" t="inlineStr">
        <is>
          <t>Debt Weight (%)</t>
        </is>
      </c>
      <c r="B20" s="54" t="n">
        <v>0.4</v>
      </c>
      <c r="C20" s="6" t="inlineStr">
        <is>
          <t>Capital structure</t>
        </is>
      </c>
    </row>
    <row r="21">
      <c r="A21" s="6" t="inlineStr">
        <is>
          <t>Terminal Growth Rate g (%)</t>
        </is>
      </c>
      <c r="B21" s="54" t="n">
        <v>0.05</v>
      </c>
      <c r="C21" s="6" t="inlineStr">
        <is>
          <t>Perpetual growth</t>
        </is>
      </c>
      <c r="I21" t="inlineStr">
        <is>
          <t>PV of Explicit FCFF</t>
        </is>
      </c>
      <c r="J21" s="50">
        <f>SUM(J15:J19)</f>
        <v/>
      </c>
    </row>
    <row r="22">
      <c r="A22" s="6" t="inlineStr">
        <is>
          <t>Debt (₹ crore)</t>
        </is>
      </c>
      <c r="B22" s="53" t="n">
        <v>250</v>
      </c>
      <c r="C22" s="6" t="inlineStr">
        <is>
          <t>Total debt</t>
        </is>
      </c>
    </row>
    <row r="23">
      <c r="A23" s="6" t="inlineStr">
        <is>
          <t>Cash (₹ crore)</t>
        </is>
      </c>
      <c r="B23" s="53" t="n">
        <v>220</v>
      </c>
      <c r="C23" s="6" t="inlineStr">
        <is>
          <t>Cash balance</t>
        </is>
      </c>
      <c r="I23" t="inlineStr">
        <is>
          <t>Terminal Value (end of FY29)</t>
        </is>
      </c>
      <c r="J23" s="50">
        <f>H19*(1+$B$21)/($I$10-$B$21)</f>
        <v/>
      </c>
    </row>
    <row r="24">
      <c r="A24" s="6" t="inlineStr">
        <is>
          <t>Shares Outstanding (crore)</t>
        </is>
      </c>
      <c r="B24" s="16" t="n">
        <v>15</v>
      </c>
      <c r="C24" s="6" t="inlineStr">
        <is>
          <t>Shares</t>
        </is>
      </c>
      <c r="I24" t="inlineStr">
        <is>
          <t>PV of Terminal Value</t>
        </is>
      </c>
      <c r="J24" s="50">
        <f>J23*I19</f>
        <v/>
      </c>
    </row>
    <row r="25"/>
    <row r="26">
      <c r="I26" t="inlineStr">
        <is>
          <t>Enterprise Value (EV)</t>
        </is>
      </c>
      <c r="J26" s="50">
        <f>J21+J24</f>
        <v/>
      </c>
    </row>
    <row r="27">
      <c r="I27" t="inlineStr">
        <is>
          <t>Net Debt</t>
        </is>
      </c>
      <c r="J27" s="50">
        <f>$B$22-$B$23</f>
        <v/>
      </c>
    </row>
    <row r="28">
      <c r="I28" t="inlineStr">
        <is>
          <t>Equity Value</t>
        </is>
      </c>
      <c r="J28" s="50">
        <f>J26-J27</f>
        <v/>
      </c>
    </row>
    <row r="29">
      <c r="I29" t="inlineStr">
        <is>
          <t>Per-Share Value (₹)</t>
        </is>
      </c>
      <c r="J29" s="50">
        <f>J28/$B$24</f>
        <v/>
      </c>
    </row>
    <row r="30" ht="15.5" customHeight="1">
      <c r="A30" s="3" t="inlineStr">
        <is>
          <t>FORECAST &amp; FREE CASH FLOW TO FIRM (FCFF)</t>
        </is>
      </c>
    </row>
    <row r="31"/>
    <row r="32">
      <c r="A32" s="19" t="inlineStr">
        <is>
          <t>Line Item</t>
        </is>
      </c>
      <c r="B32" s="11" t="inlineStr">
        <is>
          <t>FY25</t>
        </is>
      </c>
      <c r="C32" s="11" t="inlineStr">
        <is>
          <t>FY26</t>
        </is>
      </c>
      <c r="D32" s="11" t="inlineStr">
        <is>
          <t>FY27</t>
        </is>
      </c>
      <c r="E32" s="11" t="inlineStr">
        <is>
          <t>FY28</t>
        </is>
      </c>
      <c r="F32" s="11" t="inlineStr">
        <is>
          <t>FY29</t>
        </is>
      </c>
    </row>
    <row r="33">
      <c r="A33" s="6" t="inlineStr">
        <is>
          <t>Revenue</t>
        </is>
      </c>
      <c r="B33" s="60">
        <f>$B$8*(1+$B$13)</f>
        <v/>
      </c>
      <c r="C33" s="60">
        <f>B33*(1+$B$13)</f>
        <v/>
      </c>
      <c r="D33" s="60">
        <f>C33*(1+$B$13)</f>
        <v/>
      </c>
      <c r="E33" s="60">
        <f>D33*(1+$B$13)</f>
        <v/>
      </c>
      <c r="F33" s="60">
        <f>E33*(1+$B$13)</f>
        <v/>
      </c>
    </row>
    <row r="34">
      <c r="A34" s="6" t="inlineStr">
        <is>
          <t>EBITDA</t>
        </is>
      </c>
      <c r="B34" s="60">
        <f>B33*$B$9</f>
        <v/>
      </c>
      <c r="C34" s="60">
        <f>C33*$B$9</f>
        <v/>
      </c>
      <c r="D34" s="60">
        <f>D33*$B$9</f>
        <v/>
      </c>
      <c r="E34" s="60">
        <f>E33*$B$9</f>
        <v/>
      </c>
      <c r="F34" s="60">
        <f>F33*$B$9</f>
        <v/>
      </c>
    </row>
    <row r="35">
      <c r="A35" s="6" t="inlineStr">
        <is>
          <t>Depreciation</t>
        </is>
      </c>
      <c r="B35" s="60">
        <f>B33*$B$10</f>
        <v/>
      </c>
      <c r="C35" s="60">
        <f>C33*$B$10</f>
        <v/>
      </c>
      <c r="D35" s="60">
        <f>D33*$B$10</f>
        <v/>
      </c>
      <c r="E35" s="60">
        <f>E33*$B$10</f>
        <v/>
      </c>
      <c r="F35" s="60">
        <f>F33*$B$10</f>
        <v/>
      </c>
    </row>
    <row r="36">
      <c r="A36" s="6" t="inlineStr">
        <is>
          <t>EBIT</t>
        </is>
      </c>
      <c r="B36" s="60">
        <f>B34-B35</f>
        <v/>
      </c>
      <c r="C36" s="60">
        <f>C34-C35</f>
        <v/>
      </c>
      <c r="D36" s="60">
        <f>D34-D35</f>
        <v/>
      </c>
      <c r="E36" s="60">
        <f>E34-E35</f>
        <v/>
      </c>
      <c r="F36" s="60">
        <f>F34-F35</f>
        <v/>
      </c>
    </row>
    <row r="37">
      <c r="A37" s="6" t="inlineStr">
        <is>
          <t>Tax</t>
        </is>
      </c>
      <c r="B37" s="60">
        <f>B36*$B$14</f>
        <v/>
      </c>
      <c r="C37" s="60">
        <f>C36*$B$14</f>
        <v/>
      </c>
      <c r="D37" s="60">
        <f>D36*$B$14</f>
        <v/>
      </c>
      <c r="E37" s="60">
        <f>E36*$B$14</f>
        <v/>
      </c>
      <c r="F37" s="60">
        <f>F36*$B$14</f>
        <v/>
      </c>
    </row>
    <row r="38">
      <c r="A38" s="6" t="inlineStr">
        <is>
          <t>NOPAT</t>
        </is>
      </c>
      <c r="B38" s="60">
        <f>B36*(1-$B$14)</f>
        <v/>
      </c>
      <c r="C38" s="60">
        <f>C36*(1-$B$14)</f>
        <v/>
      </c>
      <c r="D38" s="60">
        <f>D36*(1-$B$14)</f>
        <v/>
      </c>
      <c r="E38" s="60">
        <f>E36*(1-$B$14)</f>
        <v/>
      </c>
      <c r="F38" s="60">
        <f>F36*(1-$B$14)</f>
        <v/>
      </c>
    </row>
    <row r="39">
      <c r="A39" s="6" t="inlineStr">
        <is>
          <t>Capex</t>
        </is>
      </c>
      <c r="B39" s="60">
        <f>B33*$B$11</f>
        <v/>
      </c>
      <c r="C39" s="60">
        <f>C33*$B$11</f>
        <v/>
      </c>
      <c r="D39" s="60">
        <f>D33*$B$11</f>
        <v/>
      </c>
      <c r="E39" s="60">
        <f>E33*$B$11</f>
        <v/>
      </c>
      <c r="F39" s="60">
        <f>F33*$B$11</f>
        <v/>
      </c>
    </row>
    <row r="40">
      <c r="A40" s="6" t="inlineStr">
        <is>
          <t>ΔWorking Capital</t>
        </is>
      </c>
      <c r="B40" s="60">
        <f>(B33-$B$8)*$B$12</f>
        <v/>
      </c>
      <c r="C40" s="60">
        <f>(C33-B33)*$B$12</f>
        <v/>
      </c>
      <c r="D40" s="60">
        <f>(D33-C33)*$B$12</f>
        <v/>
      </c>
      <c r="E40" s="60">
        <f>(E33-D33)*$B$12</f>
        <v/>
      </c>
      <c r="F40" s="60">
        <f>(F33-E33)*$B$12</f>
        <v/>
      </c>
    </row>
    <row r="41">
      <c r="A41" s="6" t="inlineStr">
        <is>
          <t>FCFF</t>
        </is>
      </c>
      <c r="B41" s="60">
        <f>B38+B35-B39-B40</f>
        <v/>
      </c>
      <c r="C41" s="60">
        <f>C38+C35-C39-C40</f>
        <v/>
      </c>
      <c r="D41" s="60">
        <f>D38+D35-D39-D40</f>
        <v/>
      </c>
      <c r="E41" s="60">
        <f>E38+E35-E39-E40</f>
        <v/>
      </c>
      <c r="F41" s="60">
        <f>F38+F35-F39-F40</f>
        <v/>
      </c>
    </row>
    <row r="42"/>
    <row r="43"/>
    <row r="44"/>
    <row r="45" ht="15.5" customHeight="1">
      <c r="A45" s="3" t="inlineStr">
        <is>
          <t>CHECKS</t>
        </is>
      </c>
    </row>
    <row r="46"/>
    <row r="47">
      <c r="A47" s="21" t="inlineStr">
        <is>
          <t>Equity + Debt Weights = 100%</t>
        </is>
      </c>
      <c r="B47" s="61">
        <f>$B$19+$B$20</f>
        <v/>
      </c>
      <c r="C47" s="21">
        <f>IF(ABS(B47-1)&lt;0.0001,"OK","ERROR")</f>
        <v/>
      </c>
    </row>
    <row r="48">
      <c r="A48" s="21" t="inlineStr">
        <is>
          <t>WACC Reasonable (3%–20%)</t>
        </is>
      </c>
      <c r="B48" s="61">
        <f>I10</f>
        <v/>
      </c>
      <c r="C48" s="21">
        <f>IF(AND(I10&gt;3%,I10&lt;20%),"OK","WARN")</f>
        <v/>
      </c>
    </row>
    <row r="49">
      <c r="A49" s="21" t="inlineStr">
        <is>
          <t>Terminal Value as % of EV</t>
        </is>
      </c>
      <c r="B49" s="61">
        <f>IF(J26&lt;&gt;0,J24/J26,0)</f>
        <v/>
      </c>
      <c r="C49" s="21">
        <f>IF(B49&lt;0.9,"OK","WARN: TV High")</f>
        <v/>
      </c>
    </row>
  </sheetData>
  <sheetProtection selectLockedCells="0" selectUnlockedCells="0" sheet="1" objects="1" insertRows="0" insertHyperlinks="1" autoFilter="0" scenarios="1" formatColumns="0" deleteColumns="0" insertColumns="0" pivotTables="0" deleteRows="0" formatCells="0" formatRows="0" sort="0" password="AE3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4.5"/>
  <cols>
    <col width="30" customWidth="1" min="1" max="1"/>
    <col width="18" customWidth="1" min="2" max="2"/>
    <col width="35" customWidth="1" min="3" max="3"/>
    <col width="14" customWidth="1" min="4" max="6"/>
    <col width="10" customWidth="1" min="7" max="7"/>
    <col width="18" customWidth="1" min="8" max="8"/>
    <col width="22" customWidth="1" min="9" max="10"/>
  </cols>
  <sheetData>
    <row r="1" ht="18.5" customHeight="1">
      <c r="A1" s="1" t="inlineStr">
        <is>
          <t>DCF Valuation – Model 3 (Technology / SaaS Company)</t>
        </is>
      </c>
    </row>
    <row r="2">
      <c r="A2" s="2" t="inlineStr">
        <is>
          <t>All amounts in ₹ crore</t>
        </is>
      </c>
    </row>
    <row r="3"/>
    <row r="4" ht="15.5" customHeight="1">
      <c r="A4" s="3" t="inlineStr">
        <is>
          <t>INPUTS</t>
        </is>
      </c>
      <c r="H4" s="3" t="inlineStr">
        <is>
          <t>WACC &amp; Valuation</t>
        </is>
      </c>
    </row>
    <row r="5"/>
    <row r="6">
      <c r="A6" s="4" t="inlineStr">
        <is>
          <t>Currency Symbol</t>
        </is>
      </c>
      <c r="B6" s="5" t="inlineStr">
        <is>
          <t>₹</t>
        </is>
      </c>
      <c r="C6" s="6" t="inlineStr">
        <is>
          <t>Information only</t>
        </is>
      </c>
      <c r="H6" t="inlineStr">
        <is>
          <t>Cost of Equity (Re)</t>
        </is>
      </c>
      <c r="I6" s="51">
        <f>$B$15+$B$17*$B$16</f>
        <v/>
      </c>
    </row>
    <row r="7">
      <c r="A7" s="4" t="inlineStr">
        <is>
          <t>Units</t>
        </is>
      </c>
      <c r="B7" s="5" t="inlineStr">
        <is>
          <t>Crore</t>
        </is>
      </c>
      <c r="C7" s="6" t="inlineStr">
        <is>
          <t>All monetary values</t>
        </is>
      </c>
      <c r="H7" t="inlineStr">
        <is>
          <t>After-tax Cost of Debt (Rd)</t>
        </is>
      </c>
      <c r="I7" s="51">
        <f>$B$18*(1-$B$14)</f>
        <v/>
      </c>
    </row>
    <row r="8">
      <c r="A8" s="4" t="inlineStr">
        <is>
          <t>Historical Last Revenue (FY24)</t>
        </is>
      </c>
      <c r="B8" s="53" t="n">
        <v>950</v>
      </c>
      <c r="C8" s="6" t="inlineStr">
        <is>
          <t>Base year revenue</t>
        </is>
      </c>
      <c r="H8" t="inlineStr">
        <is>
          <t>Equity Weight</t>
        </is>
      </c>
      <c r="I8" s="51">
        <f>$B$19</f>
        <v/>
      </c>
    </row>
    <row r="9">
      <c r="A9" s="4" t="inlineStr">
        <is>
          <t>EBITDA Margin (%)</t>
        </is>
      </c>
      <c r="B9" s="54" t="n">
        <v>0.28</v>
      </c>
      <c r="C9" s="6" t="inlineStr">
        <is>
          <t>EBITDA as % of revenue</t>
        </is>
      </c>
      <c r="H9" t="inlineStr">
        <is>
          <t>Debt Weight</t>
        </is>
      </c>
      <c r="I9" s="51">
        <f>$B$20</f>
        <v/>
      </c>
    </row>
    <row r="10">
      <c r="A10" s="4" t="inlineStr">
        <is>
          <t>Depreciation (% of Revenue)</t>
        </is>
      </c>
      <c r="B10" s="54" t="n">
        <v>0.04</v>
      </c>
      <c r="C10" s="6" t="inlineStr">
        <is>
          <t>Depreciation as % of revenue</t>
        </is>
      </c>
      <c r="H10" t="inlineStr">
        <is>
          <t>WACC</t>
        </is>
      </c>
      <c r="I10" s="51">
        <f>I8*I6+I9*I7</f>
        <v/>
      </c>
    </row>
    <row r="11">
      <c r="A11" s="4" t="inlineStr">
        <is>
          <t>Capex (% of Revenue)</t>
        </is>
      </c>
      <c r="B11" s="54" t="n">
        <v>0.03</v>
      </c>
      <c r="C11" s="6" t="inlineStr">
        <is>
          <t>Capex as % of revenue</t>
        </is>
      </c>
    </row>
    <row r="12">
      <c r="A12" s="4" t="inlineStr">
        <is>
          <t>ΔWC (% of ΔRevenue)</t>
        </is>
      </c>
      <c r="B12" s="54" t="n">
        <v>0.06</v>
      </c>
      <c r="C12" s="6" t="inlineStr">
        <is>
          <t>Working capital change as % of revenue change</t>
        </is>
      </c>
    </row>
    <row r="13">
      <c r="A13" s="4" t="inlineStr">
        <is>
          <t>Revenue Growth Rate (%)</t>
        </is>
      </c>
      <c r="B13" s="54" t="n">
        <v>0.18</v>
      </c>
      <c r="C13" s="6" t="inlineStr">
        <is>
          <t>Annual revenue growth for forecast</t>
        </is>
      </c>
    </row>
    <row r="14">
      <c r="A14" s="4" t="inlineStr">
        <is>
          <t>Tax Rate (%)</t>
        </is>
      </c>
      <c r="B14" s="54" t="n">
        <v>0.25</v>
      </c>
      <c r="C14" s="6" t="inlineStr">
        <is>
          <t>Corporate tax rate</t>
        </is>
      </c>
      <c r="G14" s="11" t="inlineStr">
        <is>
          <t>Year</t>
        </is>
      </c>
      <c r="H14" s="11" t="inlineStr">
        <is>
          <t>FCFF</t>
        </is>
      </c>
      <c r="I14" s="11" t="inlineStr">
        <is>
          <t>Discount Factor</t>
        </is>
      </c>
      <c r="J14" s="11" t="inlineStr">
        <is>
          <t>PV of FCFF</t>
        </is>
      </c>
    </row>
    <row r="15">
      <c r="A15" s="4" t="inlineStr">
        <is>
          <t>Risk-free Rate (%)</t>
        </is>
      </c>
      <c r="B15" s="54" t="n">
        <v>0.065</v>
      </c>
      <c r="C15" s="6" t="inlineStr">
        <is>
          <t>For CAPM</t>
        </is>
      </c>
      <c r="G15" s="6" t="inlineStr">
        <is>
          <t>FY25</t>
        </is>
      </c>
      <c r="H15" s="55">
        <f>B41</f>
        <v/>
      </c>
      <c r="I15" s="13">
        <f>1/(1+$I$10)^(ROW()-14)</f>
        <v/>
      </c>
      <c r="J15" s="55">
        <f>H15*I15</f>
        <v/>
      </c>
    </row>
    <row r="16">
      <c r="A16" s="4" t="inlineStr">
        <is>
          <t>Market Risk Premium (%)</t>
        </is>
      </c>
      <c r="B16" s="54" t="n">
        <v>0.06</v>
      </c>
      <c r="C16" s="6" t="inlineStr">
        <is>
          <t>For CAPM</t>
        </is>
      </c>
      <c r="G16" s="6" t="inlineStr">
        <is>
          <t>FY26</t>
        </is>
      </c>
      <c r="H16" s="55">
        <f>C41</f>
        <v/>
      </c>
      <c r="I16" s="13">
        <f>1/(1+$I$10)^(ROW()-14)</f>
        <v/>
      </c>
      <c r="J16" s="55">
        <f>H16*I16</f>
        <v/>
      </c>
    </row>
    <row r="17">
      <c r="A17" s="4" t="inlineStr">
        <is>
          <t>Beta</t>
        </is>
      </c>
      <c r="B17" s="5" t="n">
        <v>1.35</v>
      </c>
      <c r="C17" s="6" t="inlineStr">
        <is>
          <t>For CAPM</t>
        </is>
      </c>
      <c r="G17" s="6" t="inlineStr">
        <is>
          <t>FY27</t>
        </is>
      </c>
      <c r="H17" s="55">
        <f>D41</f>
        <v/>
      </c>
      <c r="I17" s="13">
        <f>1/(1+$I$10)^(ROW()-14)</f>
        <v/>
      </c>
      <c r="J17" s="55">
        <f>H17*I17</f>
        <v/>
      </c>
    </row>
    <row r="18">
      <c r="A18" s="4" t="inlineStr">
        <is>
          <t>Pre-tax Cost of Debt (%)</t>
        </is>
      </c>
      <c r="B18" s="54" t="n">
        <v>0.08500000000000001</v>
      </c>
      <c r="C18" s="6" t="inlineStr">
        <is>
          <t>Cost of debt before tax</t>
        </is>
      </c>
      <c r="G18" s="6" t="inlineStr">
        <is>
          <t>FY28</t>
        </is>
      </c>
      <c r="H18" s="55">
        <f>E41</f>
        <v/>
      </c>
      <c r="I18" s="13">
        <f>1/(1+$I$10)^(ROW()-14)</f>
        <v/>
      </c>
      <c r="J18" s="55">
        <f>H18*I18</f>
        <v/>
      </c>
    </row>
    <row r="19">
      <c r="A19" s="4" t="inlineStr">
        <is>
          <t>Equity Weight (%)</t>
        </is>
      </c>
      <c r="B19" s="54" t="n">
        <v>0.75</v>
      </c>
      <c r="C19" s="6" t="inlineStr">
        <is>
          <t>Target capital structure</t>
        </is>
      </c>
      <c r="G19" s="6" t="inlineStr">
        <is>
          <t>FY29</t>
        </is>
      </c>
      <c r="H19" s="55">
        <f>F41</f>
        <v/>
      </c>
      <c r="I19" s="13">
        <f>1/(1+$I$10)^(ROW()-14)</f>
        <v/>
      </c>
      <c r="J19" s="55">
        <f>H19*I19</f>
        <v/>
      </c>
    </row>
    <row r="20">
      <c r="A20" s="4" t="inlineStr">
        <is>
          <t>Debt Weight (%)</t>
        </is>
      </c>
      <c r="B20" s="54" t="n">
        <v>0.25</v>
      </c>
      <c r="C20" s="6" t="inlineStr">
        <is>
          <t>Target capital structure</t>
        </is>
      </c>
    </row>
    <row r="21">
      <c r="A21" s="4" t="inlineStr">
        <is>
          <t>Terminal Growth Rate g (%)</t>
        </is>
      </c>
      <c r="B21" s="54" t="n">
        <v>0.045</v>
      </c>
      <c r="C21" s="6" t="inlineStr">
        <is>
          <t>Perpetual growth</t>
        </is>
      </c>
      <c r="I21" s="15" t="inlineStr">
        <is>
          <t>PV of Explicit FCFF</t>
        </is>
      </c>
      <c r="J21" s="58">
        <f>SUM(J15:J19)</f>
        <v/>
      </c>
    </row>
    <row r="22">
      <c r="A22" s="4" t="inlineStr">
        <is>
          <t>Debt (₹ crore)</t>
        </is>
      </c>
      <c r="B22" s="53" t="n">
        <v>420</v>
      </c>
      <c r="C22" s="6" t="inlineStr">
        <is>
          <t>Total debt</t>
        </is>
      </c>
    </row>
    <row r="23">
      <c r="A23" s="4" t="inlineStr">
        <is>
          <t>Cash (₹ crore)</t>
        </is>
      </c>
      <c r="B23" s="53" t="n">
        <v>310</v>
      </c>
      <c r="C23" s="6" t="inlineStr">
        <is>
          <t>Cash balance</t>
        </is>
      </c>
      <c r="I23" s="15" t="inlineStr">
        <is>
          <t>Terminal Value (end of FY29)</t>
        </is>
      </c>
      <c r="J23" s="55">
        <f>H19*(1+$B$21)/($I$10-$B$21)</f>
        <v/>
      </c>
    </row>
    <row r="24">
      <c r="A24" s="4" t="inlineStr">
        <is>
          <t>Shares Outstanding (crore)</t>
        </is>
      </c>
      <c r="B24" s="16" t="n">
        <v>22</v>
      </c>
      <c r="C24" s="6" t="inlineStr">
        <is>
          <t>For per-share value</t>
        </is>
      </c>
      <c r="I24" s="15" t="inlineStr">
        <is>
          <t>PV of Terminal Value</t>
        </is>
      </c>
      <c r="J24" s="58">
        <f>J23*I19</f>
        <v/>
      </c>
    </row>
    <row r="25"/>
    <row r="26">
      <c r="I26" s="17" t="inlineStr">
        <is>
          <t>Enterprise Value (EV)</t>
        </is>
      </c>
      <c r="J26" s="58">
        <f>J21+J24</f>
        <v/>
      </c>
    </row>
    <row r="27">
      <c r="I27" s="15" t="inlineStr">
        <is>
          <t>Net Debt</t>
        </is>
      </c>
      <c r="J27" s="60">
        <f>$B$22-$B$23</f>
        <v/>
      </c>
    </row>
    <row r="28">
      <c r="I28" s="15" t="inlineStr">
        <is>
          <t>Equity Value</t>
        </is>
      </c>
      <c r="J28" s="58">
        <f>J26-J27</f>
        <v/>
      </c>
    </row>
    <row r="29">
      <c r="I29" s="15" t="inlineStr">
        <is>
          <t>Per-Share Value (₹)</t>
        </is>
      </c>
      <c r="J29" s="58">
        <f>J28/$B$24</f>
        <v/>
      </c>
    </row>
    <row r="30" ht="15.5" customHeight="1">
      <c r="A30" s="3" t="inlineStr">
        <is>
          <t>FORECAST &amp; FREE CASH FLOW TO FIRM (FCFF)</t>
        </is>
      </c>
    </row>
    <row r="31"/>
    <row r="32">
      <c r="A32" s="19" t="inlineStr">
        <is>
          <t>Line Item</t>
        </is>
      </c>
      <c r="B32" s="11" t="inlineStr">
        <is>
          <t>FY25</t>
        </is>
      </c>
      <c r="C32" s="11" t="inlineStr">
        <is>
          <t>FY26</t>
        </is>
      </c>
      <c r="D32" s="11" t="inlineStr">
        <is>
          <t>FY27</t>
        </is>
      </c>
      <c r="E32" s="11" t="inlineStr">
        <is>
          <t>FY28</t>
        </is>
      </c>
      <c r="F32" s="11" t="inlineStr">
        <is>
          <t>FY29</t>
        </is>
      </c>
    </row>
    <row r="33">
      <c r="A33" s="4" t="inlineStr">
        <is>
          <t>Revenue</t>
        </is>
      </c>
      <c r="B33" s="60">
        <f>$B$8*(1+$B$13)</f>
        <v/>
      </c>
      <c r="C33" s="60">
        <f>B33*(1+$B$13)</f>
        <v/>
      </c>
      <c r="D33" s="60">
        <f>C33*(1+$B$13)</f>
        <v/>
      </c>
      <c r="E33" s="60">
        <f>D33*(1+$B$13)</f>
        <v/>
      </c>
      <c r="F33" s="60">
        <f>E33*(1+$B$13)</f>
        <v/>
      </c>
    </row>
    <row r="34">
      <c r="A34" s="4" t="inlineStr">
        <is>
          <t>EBITDA</t>
        </is>
      </c>
      <c r="B34" s="60">
        <f>B33*$B$9</f>
        <v/>
      </c>
      <c r="C34" s="60">
        <f>C33*$B$9</f>
        <v/>
      </c>
      <c r="D34" s="60">
        <f>D33*$B$9</f>
        <v/>
      </c>
      <c r="E34" s="60">
        <f>E33*$B$9</f>
        <v/>
      </c>
      <c r="F34" s="60">
        <f>F33*$B$9</f>
        <v/>
      </c>
    </row>
    <row r="35">
      <c r="A35" s="4" t="inlineStr">
        <is>
          <t>Depreciation</t>
        </is>
      </c>
      <c r="B35" s="60">
        <f>B33*$B$10</f>
        <v/>
      </c>
      <c r="C35" s="60">
        <f>C33*$B$10</f>
        <v/>
      </c>
      <c r="D35" s="60">
        <f>D33*$B$10</f>
        <v/>
      </c>
      <c r="E35" s="60">
        <f>E33*$B$10</f>
        <v/>
      </c>
      <c r="F35" s="60">
        <f>F33*$B$10</f>
        <v/>
      </c>
    </row>
    <row r="36">
      <c r="A36" s="4" t="inlineStr">
        <is>
          <t>EBIT</t>
        </is>
      </c>
      <c r="B36" s="60">
        <f>B34-B35</f>
        <v/>
      </c>
      <c r="C36" s="60">
        <f>C34-C35</f>
        <v/>
      </c>
      <c r="D36" s="60">
        <f>D34-D35</f>
        <v/>
      </c>
      <c r="E36" s="60">
        <f>E34-E35</f>
        <v/>
      </c>
      <c r="F36" s="60">
        <f>F34-F35</f>
        <v/>
      </c>
    </row>
    <row r="37">
      <c r="A37" s="4" t="inlineStr">
        <is>
          <t>Tax</t>
        </is>
      </c>
      <c r="B37" s="60">
        <f>B36*$B$14</f>
        <v/>
      </c>
      <c r="C37" s="60">
        <f>C36*$B$14</f>
        <v/>
      </c>
      <c r="D37" s="60">
        <f>D36*$B$14</f>
        <v/>
      </c>
      <c r="E37" s="60">
        <f>E36*$B$14</f>
        <v/>
      </c>
      <c r="F37" s="60">
        <f>F36*$B$14</f>
        <v/>
      </c>
    </row>
    <row r="38">
      <c r="A38" s="4" t="inlineStr">
        <is>
          <t>NOPAT</t>
        </is>
      </c>
      <c r="B38" s="60">
        <f>B36*(1-$B$14)</f>
        <v/>
      </c>
      <c r="C38" s="60">
        <f>C36*(1-$B$14)</f>
        <v/>
      </c>
      <c r="D38" s="60">
        <f>D36*(1-$B$14)</f>
        <v/>
      </c>
      <c r="E38" s="60">
        <f>E36*(1-$B$14)</f>
        <v/>
      </c>
      <c r="F38" s="60">
        <f>F36*(1-$B$14)</f>
        <v/>
      </c>
    </row>
    <row r="39">
      <c r="A39" s="4" t="inlineStr">
        <is>
          <t>Capex</t>
        </is>
      </c>
      <c r="B39" s="60">
        <f>B33*$B$11</f>
        <v/>
      </c>
      <c r="C39" s="60">
        <f>C33*$B$11</f>
        <v/>
      </c>
      <c r="D39" s="60">
        <f>D33*$B$11</f>
        <v/>
      </c>
      <c r="E39" s="60">
        <f>E33*$B$11</f>
        <v/>
      </c>
      <c r="F39" s="60">
        <f>F33*$B$11</f>
        <v/>
      </c>
    </row>
    <row r="40">
      <c r="A40" s="4" t="inlineStr">
        <is>
          <t>ΔWorking Capital</t>
        </is>
      </c>
      <c r="B40" s="60">
        <f>(B33-$B$8)*$B$12</f>
        <v/>
      </c>
      <c r="C40" s="60">
        <f>(C33-B33)*$B$12</f>
        <v/>
      </c>
      <c r="D40" s="60">
        <f>(D33-C33)*$B$12</f>
        <v/>
      </c>
      <c r="E40" s="60">
        <f>(E33-D33)*$B$12</f>
        <v/>
      </c>
      <c r="F40" s="60">
        <f>(F33-E33)*$B$12</f>
        <v/>
      </c>
    </row>
    <row r="41">
      <c r="A41" s="4" t="inlineStr">
        <is>
          <t>FCFF</t>
        </is>
      </c>
      <c r="B41" s="60">
        <f>B38+B35-B39-B40</f>
        <v/>
      </c>
      <c r="C41" s="60">
        <f>C38+C35-C39-C40</f>
        <v/>
      </c>
      <c r="D41" s="60">
        <f>D38+D35-D39-D40</f>
        <v/>
      </c>
      <c r="E41" s="60">
        <f>E38+E35-E39-E40</f>
        <v/>
      </c>
      <c r="F41" s="60">
        <f>F38+F35-F39-F40</f>
        <v/>
      </c>
    </row>
    <row r="42"/>
    <row r="43"/>
    <row r="44"/>
    <row r="45" ht="15.5" customHeight="1">
      <c r="A45" s="3" t="inlineStr">
        <is>
          <t>CHECKS</t>
        </is>
      </c>
    </row>
    <row r="46"/>
    <row r="47">
      <c r="A47" s="6" t="inlineStr">
        <is>
          <t>Equity + Debt Weights = 100%</t>
        </is>
      </c>
      <c r="B47" s="51">
        <f>$B$19+$B$20</f>
        <v/>
      </c>
      <c r="C47" s="20">
        <f>IF(ABS(B47-1)&lt;0.0001,"OK","ERROR")</f>
        <v/>
      </c>
    </row>
    <row r="48">
      <c r="A48" s="6" t="inlineStr">
        <is>
          <t>WACC between 5% and 25%</t>
        </is>
      </c>
      <c r="B48" s="51">
        <f>I10</f>
        <v/>
      </c>
      <c r="C48" s="20">
        <f>IF(AND(I10&gt;5%,I10&lt;25%),"OK","WARN")</f>
        <v/>
      </c>
    </row>
    <row r="49">
      <c r="A49" s="6" t="inlineStr">
        <is>
          <t>Terminal Value as % of EV</t>
        </is>
      </c>
      <c r="B49" s="51">
        <f>IF(J26&lt;&gt;0,J24/J26,0)</f>
        <v/>
      </c>
      <c r="C49" s="20">
        <f>IF(B49&lt;0.9,"OK","WARN: TV High")</f>
        <v/>
      </c>
    </row>
  </sheetData>
  <sheetProtection selectLockedCells="0" selectUnlockedCells="0" sheet="1" objects="1" insertRows="0" insertHyperlinks="1" autoFilter="0" scenarios="1" formatColumns="0" deleteColumns="0" insertColumns="0" pivotTables="0" deleteRows="0" formatCells="0" formatRows="0" sort="0" password="AE3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2025-12-04T11:35:31Z</dcterms:created>
  <dcterms:modified xmlns:dcterms="http://purl.org/dc/terms/" xmlns:xsi="http://www.w3.org/2001/XMLSchema-instance" xsi:type="dcterms:W3CDTF">2026-01-01T18:37:08Z</dcterms:modified>
  <cp:lastModifiedBy>srikanthyadav444p</cp:lastModifiedBy>
</cp:coreProperties>
</file>