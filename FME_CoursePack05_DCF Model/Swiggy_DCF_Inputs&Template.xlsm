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01MBA-FINANCIAL MODELLING\01TOPIC-WISE RESOURCES\05_ DCF\"/>
    </mc:Choice>
  </mc:AlternateContent>
  <xr:revisionPtr revIDLastSave="0" documentId="13_ncr:1_{BF31A319-654A-450E-91A9-72F6A17AD5C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&amp;L source" sheetId="18" r:id="rId1"/>
    <sheet name="BS source" sheetId="19" r:id="rId2"/>
    <sheet name="P&amp;L assumptions" sheetId="3" r:id="rId3"/>
    <sheet name="BS assumptions" sheetId="4" r:id="rId4"/>
    <sheet name="P&amp;L" sheetId="6" r:id="rId5"/>
    <sheet name="BS" sheetId="7" r:id="rId6"/>
    <sheet name="Cash Flow" sheetId="8" r:id="rId7"/>
    <sheet name="DCF valuation" sheetId="20" r:id="rId8"/>
    <sheet name="Perpetuity Growth" sheetId="10" r:id="rId9"/>
    <sheet name="Exit Multiple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ivLX6YbNqbIgfJxx7nuf6zXJyhRz6VE7ekdqj5FDvAg="/>
    </ext>
  </extLst>
</workbook>
</file>

<file path=xl/calcChain.xml><?xml version="1.0" encoding="utf-8"?>
<calcChain xmlns="http://schemas.openxmlformats.org/spreadsheetml/2006/main">
  <c r="C35" i="20" l="1"/>
  <c r="C20" i="8"/>
  <c r="C17" i="8"/>
  <c r="F21" i="7"/>
  <c r="C19" i="8"/>
  <c r="F9" i="3"/>
  <c r="F8" i="3" s="1"/>
  <c r="J27" i="19"/>
  <c r="J28" i="19" s="1"/>
  <c r="I27" i="19"/>
  <c r="I28" i="19" s="1"/>
  <c r="H27" i="19"/>
  <c r="E25" i="19"/>
  <c r="C25" i="19"/>
  <c r="E24" i="19"/>
  <c r="D24" i="19"/>
  <c r="D25" i="19" s="1"/>
  <c r="C24" i="19"/>
  <c r="J18" i="19"/>
  <c r="I18" i="19"/>
  <c r="H18" i="19"/>
  <c r="H28" i="19" s="1"/>
  <c r="E15" i="19"/>
  <c r="D15" i="19"/>
  <c r="J10" i="19"/>
  <c r="J29" i="19" s="1"/>
  <c r="I10" i="19"/>
  <c r="I29" i="19" s="1"/>
  <c r="H10" i="19"/>
  <c r="E9" i="18"/>
  <c r="E10" i="18" s="1"/>
  <c r="D9" i="18"/>
  <c r="C9" i="18"/>
  <c r="C10" i="18" s="1"/>
  <c r="E6" i="18"/>
  <c r="D6" i="18"/>
  <c r="D10" i="18" s="1"/>
  <c r="C6" i="18"/>
  <c r="E21" i="7"/>
  <c r="D21" i="7"/>
  <c r="C21" i="7"/>
  <c r="E19" i="7"/>
  <c r="D19" i="7"/>
  <c r="C27" i="8" s="1"/>
  <c r="C19" i="7"/>
  <c r="C16" i="7"/>
  <c r="E12" i="7"/>
  <c r="D12" i="7"/>
  <c r="C12" i="7"/>
  <c r="C31" i="8" s="1"/>
  <c r="C9" i="7"/>
  <c r="D8" i="7"/>
  <c r="M6" i="7"/>
  <c r="E6" i="7"/>
  <c r="D6" i="7"/>
  <c r="C6" i="7"/>
  <c r="O4" i="7"/>
  <c r="K4" i="7"/>
  <c r="G4" i="7"/>
  <c r="E4" i="7"/>
  <c r="D4" i="7"/>
  <c r="C4" i="7"/>
  <c r="C17" i="6"/>
  <c r="E14" i="6"/>
  <c r="D10" i="8" s="1"/>
  <c r="C11" i="6"/>
  <c r="E8" i="6"/>
  <c r="C8" i="6"/>
  <c r="E5" i="6"/>
  <c r="D5" i="6"/>
  <c r="E4" i="6"/>
  <c r="E21" i="4"/>
  <c r="E20" i="4"/>
  <c r="E17" i="7" s="1"/>
  <c r="D20" i="4"/>
  <c r="C20" i="4"/>
  <c r="C17" i="7" s="1"/>
  <c r="C18" i="4"/>
  <c r="E17" i="4"/>
  <c r="E10" i="7" s="1"/>
  <c r="D17" i="4"/>
  <c r="D10" i="7" s="1"/>
  <c r="C17" i="4"/>
  <c r="C10" i="7" s="1"/>
  <c r="E15" i="4"/>
  <c r="C15" i="4"/>
  <c r="E14" i="4"/>
  <c r="E5" i="7" s="1"/>
  <c r="D14" i="4"/>
  <c r="C14" i="4"/>
  <c r="C5" i="7" s="1"/>
  <c r="D12" i="4"/>
  <c r="C12" i="4"/>
  <c r="E11" i="4"/>
  <c r="E16" i="7" s="1"/>
  <c r="D11" i="4"/>
  <c r="D16" i="7" s="1"/>
  <c r="C11" i="4"/>
  <c r="N9" i="4"/>
  <c r="I9" i="4"/>
  <c r="E9" i="4"/>
  <c r="C9" i="4"/>
  <c r="E8" i="4"/>
  <c r="E8" i="7" s="1"/>
  <c r="D8" i="4"/>
  <c r="D9" i="4" s="1"/>
  <c r="C8" i="4"/>
  <c r="C8" i="7" s="1"/>
  <c r="O6" i="4"/>
  <c r="I6" i="4"/>
  <c r="E6" i="4"/>
  <c r="E5" i="4"/>
  <c r="E9" i="7" s="1"/>
  <c r="D5" i="4"/>
  <c r="D9" i="7" s="1"/>
  <c r="C5" i="4"/>
  <c r="O44" i="3"/>
  <c r="N44" i="3"/>
  <c r="M44" i="3"/>
  <c r="L44" i="3"/>
  <c r="K44" i="3"/>
  <c r="J44" i="3"/>
  <c r="I44" i="3"/>
  <c r="H44" i="3"/>
  <c r="G44" i="3"/>
  <c r="F44" i="3"/>
  <c r="E44" i="3"/>
  <c r="C44" i="3"/>
  <c r="E43" i="3"/>
  <c r="E18" i="6" s="1"/>
  <c r="D22" i="8" s="1"/>
  <c r="D43" i="3"/>
  <c r="C43" i="3"/>
  <c r="C18" i="6" s="1"/>
  <c r="O38" i="3"/>
  <c r="N38" i="3"/>
  <c r="M38" i="3"/>
  <c r="L38" i="3"/>
  <c r="K38" i="3"/>
  <c r="J38" i="3"/>
  <c r="I38" i="3"/>
  <c r="H38" i="3"/>
  <c r="G38" i="3"/>
  <c r="F38" i="3"/>
  <c r="C38" i="3"/>
  <c r="E37" i="3"/>
  <c r="E17" i="6" s="1"/>
  <c r="D26" i="8" s="1"/>
  <c r="D37" i="3"/>
  <c r="D17" i="6" s="1"/>
  <c r="C26" i="8" s="1"/>
  <c r="C37" i="3"/>
  <c r="O32" i="3"/>
  <c r="N32" i="3"/>
  <c r="M32" i="3"/>
  <c r="L32" i="3"/>
  <c r="K32" i="3"/>
  <c r="J32" i="3"/>
  <c r="I32" i="3"/>
  <c r="H32" i="3"/>
  <c r="G32" i="3"/>
  <c r="F32" i="3"/>
  <c r="E32" i="3"/>
  <c r="E31" i="3"/>
  <c r="D31" i="3"/>
  <c r="C31" i="3"/>
  <c r="C14" i="6" s="1"/>
  <c r="O26" i="3"/>
  <c r="N26" i="3"/>
  <c r="M26" i="3"/>
  <c r="L26" i="3"/>
  <c r="K26" i="3"/>
  <c r="J26" i="3"/>
  <c r="I26" i="3"/>
  <c r="H26" i="3"/>
  <c r="G26" i="3"/>
  <c r="F26" i="3"/>
  <c r="E26" i="3"/>
  <c r="E25" i="3"/>
  <c r="E11" i="6" s="1"/>
  <c r="D25" i="3"/>
  <c r="D11" i="6" s="1"/>
  <c r="C25" i="3"/>
  <c r="O20" i="3"/>
  <c r="N20" i="3"/>
  <c r="M20" i="3"/>
  <c r="L20" i="3"/>
  <c r="K20" i="3"/>
  <c r="J20" i="3"/>
  <c r="I20" i="3"/>
  <c r="H20" i="3"/>
  <c r="G20" i="3"/>
  <c r="F20" i="3"/>
  <c r="E20" i="3"/>
  <c r="C20" i="3"/>
  <c r="E19" i="3"/>
  <c r="D19" i="3"/>
  <c r="C19" i="3"/>
  <c r="O14" i="3"/>
  <c r="N14" i="3"/>
  <c r="M14" i="3"/>
  <c r="L14" i="3"/>
  <c r="K14" i="3"/>
  <c r="J14" i="3"/>
  <c r="I14" i="3"/>
  <c r="H14" i="3"/>
  <c r="G14" i="3"/>
  <c r="F14" i="3"/>
  <c r="F13" i="3"/>
  <c r="F5" i="6" s="1"/>
  <c r="E13" i="3"/>
  <c r="D13" i="3"/>
  <c r="C13" i="3"/>
  <c r="C5" i="6" s="1"/>
  <c r="O9" i="3"/>
  <c r="N9" i="3"/>
  <c r="M9" i="3"/>
  <c r="L9" i="3"/>
  <c r="K9" i="3"/>
  <c r="J9" i="3"/>
  <c r="I9" i="3"/>
  <c r="H9" i="3"/>
  <c r="G9" i="3"/>
  <c r="E8" i="3"/>
  <c r="D8" i="3"/>
  <c r="D9" i="3" s="1"/>
  <c r="C8" i="3"/>
  <c r="C4" i="6" s="1"/>
  <c r="G8" i="3" l="1"/>
  <c r="F25" i="3"/>
  <c r="F11" i="6" s="1"/>
  <c r="F19" i="3"/>
  <c r="F8" i="6" s="1"/>
  <c r="F5" i="4"/>
  <c r="F43" i="3"/>
  <c r="F18" i="6" s="1"/>
  <c r="E22" i="8" s="1"/>
  <c r="F31" i="3"/>
  <c r="F14" i="6" s="1"/>
  <c r="E10" i="8" s="1"/>
  <c r="G4" i="6"/>
  <c r="G31" i="3"/>
  <c r="G14" i="6" s="1"/>
  <c r="F10" i="8" s="1"/>
  <c r="H8" i="3"/>
  <c r="H25" i="3" s="1"/>
  <c r="H11" i="6" s="1"/>
  <c r="G19" i="3"/>
  <c r="G8" i="6" s="1"/>
  <c r="G43" i="3"/>
  <c r="G18" i="6" s="1"/>
  <c r="F22" i="8" s="1"/>
  <c r="D26" i="3"/>
  <c r="D6" i="4"/>
  <c r="D15" i="8"/>
  <c r="E23" i="7"/>
  <c r="D4" i="6"/>
  <c r="N6" i="4"/>
  <c r="J6" i="4"/>
  <c r="F6" i="4"/>
  <c r="K6" i="4"/>
  <c r="L9" i="4"/>
  <c r="H9" i="4"/>
  <c r="O9" i="4"/>
  <c r="E9" i="3"/>
  <c r="G13" i="3"/>
  <c r="J9" i="4"/>
  <c r="H15" i="4"/>
  <c r="H14" i="4" s="1"/>
  <c r="H5" i="7" s="1"/>
  <c r="E6" i="6"/>
  <c r="E9" i="6" s="1"/>
  <c r="E12" i="6" s="1"/>
  <c r="E14" i="7"/>
  <c r="E31" i="8"/>
  <c r="D34" i="8"/>
  <c r="C14" i="8"/>
  <c r="G6" i="4"/>
  <c r="G5" i="4" s="1"/>
  <c r="G9" i="7" s="1"/>
  <c r="L6" i="4"/>
  <c r="F9" i="4"/>
  <c r="K9" i="4"/>
  <c r="E12" i="4"/>
  <c r="D18" i="4"/>
  <c r="C21" i="4"/>
  <c r="F4" i="6"/>
  <c r="L6" i="7"/>
  <c r="H6" i="7"/>
  <c r="O6" i="7"/>
  <c r="K6" i="7"/>
  <c r="G6" i="7"/>
  <c r="N6" i="7"/>
  <c r="J6" i="7"/>
  <c r="F6" i="7"/>
  <c r="D21" i="4"/>
  <c r="D17" i="7"/>
  <c r="D23" i="7" s="1"/>
  <c r="D14" i="6"/>
  <c r="C10" i="8" s="1"/>
  <c r="D32" i="3"/>
  <c r="D17" i="8"/>
  <c r="C13" i="8"/>
  <c r="F37" i="3"/>
  <c r="D38" i="3"/>
  <c r="C6" i="6"/>
  <c r="C9" i="6" s="1"/>
  <c r="C12" i="6" s="1"/>
  <c r="D8" i="6"/>
  <c r="D20" i="3"/>
  <c r="C26" i="3"/>
  <c r="G25" i="3"/>
  <c r="G11" i="6" s="1"/>
  <c r="C32" i="3"/>
  <c r="E38" i="3"/>
  <c r="D44" i="3"/>
  <c r="D18" i="6"/>
  <c r="C22" i="8" s="1"/>
  <c r="D14" i="8"/>
  <c r="C6" i="4"/>
  <c r="H6" i="4"/>
  <c r="H5" i="4" s="1"/>
  <c r="H9" i="7" s="1"/>
  <c r="M6" i="4"/>
  <c r="D13" i="8"/>
  <c r="G9" i="4"/>
  <c r="G8" i="4" s="1"/>
  <c r="G8" i="7" s="1"/>
  <c r="M9" i="4"/>
  <c r="C15" i="8"/>
  <c r="D15" i="4"/>
  <c r="L15" i="4" s="1"/>
  <c r="D5" i="7"/>
  <c r="D19" i="8" s="1"/>
  <c r="F15" i="4"/>
  <c r="F14" i="4" s="1"/>
  <c r="F5" i="7" s="1"/>
  <c r="E19" i="8" s="1"/>
  <c r="E18" i="4"/>
  <c r="K18" i="4"/>
  <c r="C14" i="7"/>
  <c r="I6" i="7"/>
  <c r="C23" i="7"/>
  <c r="C25" i="7" s="1"/>
  <c r="D27" i="8"/>
  <c r="I19" i="7"/>
  <c r="M19" i="7"/>
  <c r="H29" i="19"/>
  <c r="H4" i="7"/>
  <c r="L4" i="7"/>
  <c r="F19" i="7"/>
  <c r="E27" i="8" s="1"/>
  <c r="J19" i="7"/>
  <c r="I27" i="8" s="1"/>
  <c r="N19" i="7"/>
  <c r="M27" i="8" s="1"/>
  <c r="C11" i="18"/>
  <c r="C16" i="18"/>
  <c r="D20" i="8"/>
  <c r="I4" i="7"/>
  <c r="M4" i="7"/>
  <c r="G19" i="7"/>
  <c r="K19" i="7"/>
  <c r="J27" i="8" s="1"/>
  <c r="O19" i="7"/>
  <c r="N27" i="8" s="1"/>
  <c r="F4" i="7"/>
  <c r="J4" i="7"/>
  <c r="J20" i="8" s="1"/>
  <c r="N4" i="7"/>
  <c r="D31" i="8"/>
  <c r="C34" i="8"/>
  <c r="H19" i="7"/>
  <c r="G27" i="8" s="1"/>
  <c r="L19" i="7"/>
  <c r="D11" i="18"/>
  <c r="D16" i="18"/>
  <c r="E16" i="18"/>
  <c r="E11" i="18"/>
  <c r="D16" i="8" l="1"/>
  <c r="C16" i="8"/>
  <c r="G14" i="8"/>
  <c r="F9" i="7"/>
  <c r="E14" i="8" s="1"/>
  <c r="F8" i="4"/>
  <c r="F8" i="7" s="1"/>
  <c r="E13" i="8" s="1"/>
  <c r="H20" i="8"/>
  <c r="K20" i="8"/>
  <c r="F6" i="6"/>
  <c r="F9" i="6" s="1"/>
  <c r="F12" i="6" s="1"/>
  <c r="G18" i="4"/>
  <c r="G17" i="4" s="1"/>
  <c r="G10" i="7" s="1"/>
  <c r="L18" i="4"/>
  <c r="F27" i="8"/>
  <c r="G20" i="8"/>
  <c r="C15" i="6"/>
  <c r="C19" i="6" s="1"/>
  <c r="C24" i="6" s="1"/>
  <c r="F17" i="6"/>
  <c r="E26" i="8" s="1"/>
  <c r="G37" i="3"/>
  <c r="L21" i="4"/>
  <c r="H21" i="4"/>
  <c r="H20" i="4" s="1"/>
  <c r="H17" i="7" s="1"/>
  <c r="O21" i="4"/>
  <c r="J21" i="4"/>
  <c r="M21" i="4"/>
  <c r="G21" i="4"/>
  <c r="G20" i="4" s="1"/>
  <c r="G17" i="7" s="1"/>
  <c r="K21" i="4"/>
  <c r="N21" i="4"/>
  <c r="I21" i="4"/>
  <c r="F21" i="4"/>
  <c r="F20" i="4" s="1"/>
  <c r="F17" i="7" s="1"/>
  <c r="O15" i="4"/>
  <c r="M18" i="4"/>
  <c r="F18" i="4"/>
  <c r="F17" i="4" s="1"/>
  <c r="F10" i="7" s="1"/>
  <c r="E17" i="8" s="1"/>
  <c r="D6" i="6"/>
  <c r="D9" i="6" s="1"/>
  <c r="D12" i="6" s="1"/>
  <c r="I8" i="3"/>
  <c r="H4" i="6"/>
  <c r="H43" i="3"/>
  <c r="H18" i="6" s="1"/>
  <c r="G22" i="8" s="1"/>
  <c r="H19" i="3"/>
  <c r="H8" i="6" s="1"/>
  <c r="H31" i="3"/>
  <c r="H14" i="6" s="1"/>
  <c r="G10" i="8" s="1"/>
  <c r="D22" i="18"/>
  <c r="D25" i="18" s="1"/>
  <c r="D26" i="18" s="1"/>
  <c r="D30" i="18"/>
  <c r="E20" i="8"/>
  <c r="L27" i="8"/>
  <c r="M15" i="4"/>
  <c r="G15" i="4"/>
  <c r="G14" i="4" s="1"/>
  <c r="G5" i="7" s="1"/>
  <c r="C30" i="18"/>
  <c r="C22" i="18"/>
  <c r="C25" i="18" s="1"/>
  <c r="C26" i="18" s="1"/>
  <c r="H27" i="8"/>
  <c r="K15" i="4"/>
  <c r="F20" i="8"/>
  <c r="O18" i="4"/>
  <c r="J15" i="4"/>
  <c r="N15" i="4"/>
  <c r="J18" i="4"/>
  <c r="E25" i="7"/>
  <c r="E22" i="18"/>
  <c r="E25" i="18" s="1"/>
  <c r="E26" i="18" s="1"/>
  <c r="E30" i="18"/>
  <c r="I20" i="8"/>
  <c r="D14" i="7"/>
  <c r="D25" i="7" s="1"/>
  <c r="K27" i="8"/>
  <c r="M20" i="8"/>
  <c r="L20" i="8"/>
  <c r="H18" i="4"/>
  <c r="H17" i="4" s="1"/>
  <c r="H10" i="7" s="1"/>
  <c r="I18" i="4"/>
  <c r="I17" i="4" s="1"/>
  <c r="I10" i="7" s="1"/>
  <c r="N12" i="4"/>
  <c r="J12" i="4"/>
  <c r="F12" i="4"/>
  <c r="F11" i="4" s="1"/>
  <c r="F16" i="7" s="1"/>
  <c r="L12" i="4"/>
  <c r="G12" i="4"/>
  <c r="G11" i="4" s="1"/>
  <c r="G16" i="7" s="1"/>
  <c r="K12" i="4"/>
  <c r="O12" i="4"/>
  <c r="I12" i="4"/>
  <c r="M12" i="4"/>
  <c r="H12" i="4"/>
  <c r="F14" i="8"/>
  <c r="E15" i="6"/>
  <c r="I15" i="4"/>
  <c r="I14" i="4" s="1"/>
  <c r="I5" i="7" s="1"/>
  <c r="H13" i="3"/>
  <c r="G5" i="6"/>
  <c r="G6" i="6" s="1"/>
  <c r="G9" i="6" s="1"/>
  <c r="G12" i="6" s="1"/>
  <c r="N18" i="4"/>
  <c r="N20" i="8"/>
  <c r="G17" i="8" l="1"/>
  <c r="F13" i="8"/>
  <c r="F15" i="8"/>
  <c r="F16" i="8" s="1"/>
  <c r="C31" i="18"/>
  <c r="C28" i="18"/>
  <c r="C29" i="18" s="1"/>
  <c r="G17" i="6"/>
  <c r="F26" i="8" s="1"/>
  <c r="H37" i="3"/>
  <c r="I4" i="6"/>
  <c r="J8" i="3"/>
  <c r="J20" i="4" s="1"/>
  <c r="J17" i="7" s="1"/>
  <c r="I19" i="3"/>
  <c r="I11" i="4" s="1"/>
  <c r="I16" i="7" s="1"/>
  <c r="I43" i="3"/>
  <c r="I18" i="6" s="1"/>
  <c r="H22" i="8" s="1"/>
  <c r="I5" i="4"/>
  <c r="I9" i="7" s="1"/>
  <c r="H14" i="8" s="1"/>
  <c r="I31" i="3"/>
  <c r="I14" i="6" s="1"/>
  <c r="H10" i="8" s="1"/>
  <c r="I25" i="3"/>
  <c r="I11" i="6" s="1"/>
  <c r="D5" i="8"/>
  <c r="D8" i="8" s="1"/>
  <c r="D11" i="8" s="1"/>
  <c r="D24" i="8" s="1"/>
  <c r="E19" i="6"/>
  <c r="E24" i="6" s="1"/>
  <c r="D28" i="8" s="1"/>
  <c r="G15" i="6"/>
  <c r="D15" i="6"/>
  <c r="H5" i="6"/>
  <c r="H6" i="6" s="1"/>
  <c r="H9" i="6" s="1"/>
  <c r="H12" i="6" s="1"/>
  <c r="I13" i="3"/>
  <c r="E15" i="8"/>
  <c r="E16" i="8" s="1"/>
  <c r="E28" i="18"/>
  <c r="E29" i="18" s="1"/>
  <c r="E31" i="18"/>
  <c r="F19" i="8"/>
  <c r="F17" i="8"/>
  <c r="H11" i="4"/>
  <c r="H16" i="7" s="1"/>
  <c r="D31" i="18"/>
  <c r="D28" i="18"/>
  <c r="D29" i="18" s="1"/>
  <c r="G19" i="8"/>
  <c r="H8" i="4"/>
  <c r="H8" i="7" s="1"/>
  <c r="I20" i="4"/>
  <c r="I17" i="7" s="1"/>
  <c r="H17" i="8" s="1"/>
  <c r="F15" i="6"/>
  <c r="G13" i="8" l="1"/>
  <c r="H19" i="8"/>
  <c r="D19" i="6"/>
  <c r="D24" i="6" s="1"/>
  <c r="C28" i="8" s="1"/>
  <c r="C5" i="8"/>
  <c r="C8" i="8" s="1"/>
  <c r="C11" i="8" s="1"/>
  <c r="C24" i="8" s="1"/>
  <c r="I8" i="6"/>
  <c r="I8" i="4"/>
  <c r="I8" i="7" s="1"/>
  <c r="G15" i="8"/>
  <c r="J25" i="3"/>
  <c r="J11" i="6" s="1"/>
  <c r="K8" i="3"/>
  <c r="J19" i="3"/>
  <c r="J4" i="6"/>
  <c r="J43" i="3"/>
  <c r="J18" i="6" s="1"/>
  <c r="I22" i="8" s="1"/>
  <c r="J31" i="3"/>
  <c r="J14" i="6" s="1"/>
  <c r="I10" i="8" s="1"/>
  <c r="J5" i="4"/>
  <c r="J9" i="7" s="1"/>
  <c r="I14" i="8" s="1"/>
  <c r="J14" i="4"/>
  <c r="J5" i="7" s="1"/>
  <c r="H15" i="8"/>
  <c r="F19" i="6"/>
  <c r="F24" i="6" s="1"/>
  <c r="E5" i="8"/>
  <c r="E8" i="8" s="1"/>
  <c r="E11" i="8" s="1"/>
  <c r="E24" i="8" s="1"/>
  <c r="H15" i="6"/>
  <c r="I5" i="6"/>
  <c r="I6" i="6" s="1"/>
  <c r="I9" i="6" s="1"/>
  <c r="I12" i="6" s="1"/>
  <c r="J13" i="3"/>
  <c r="G19" i="6"/>
  <c r="G24" i="6" s="1"/>
  <c r="F5" i="8"/>
  <c r="F8" i="8" s="1"/>
  <c r="F11" i="8" s="1"/>
  <c r="F24" i="8" s="1"/>
  <c r="D29" i="8"/>
  <c r="D32" i="8" s="1"/>
  <c r="J17" i="4"/>
  <c r="J10" i="7" s="1"/>
  <c r="I17" i="8" s="1"/>
  <c r="H17" i="6"/>
  <c r="G26" i="8" s="1"/>
  <c r="I37" i="3"/>
  <c r="I15" i="6" l="1"/>
  <c r="E28" i="8"/>
  <c r="E29" i="8" s="1"/>
  <c r="G21" i="7"/>
  <c r="F23" i="7"/>
  <c r="J8" i="6"/>
  <c r="J8" i="4"/>
  <c r="J8" i="7" s="1"/>
  <c r="I13" i="8" s="1"/>
  <c r="J11" i="4"/>
  <c r="J16" i="7" s="1"/>
  <c r="H19" i="6"/>
  <c r="H24" i="6" s="1"/>
  <c r="G5" i="8"/>
  <c r="G8" i="8" s="1"/>
  <c r="G11" i="8" s="1"/>
  <c r="K4" i="6"/>
  <c r="L8" i="3"/>
  <c r="K31" i="3"/>
  <c r="K14" i="6" s="1"/>
  <c r="J10" i="8" s="1"/>
  <c r="K43" i="3"/>
  <c r="K18" i="6" s="1"/>
  <c r="J22" i="8" s="1"/>
  <c r="K19" i="3"/>
  <c r="K25" i="3"/>
  <c r="K11" i="6" s="1"/>
  <c r="K5" i="4"/>
  <c r="K9" i="7" s="1"/>
  <c r="J14" i="8" s="1"/>
  <c r="K17" i="4"/>
  <c r="K10" i="7" s="1"/>
  <c r="K20" i="4"/>
  <c r="K17" i="7" s="1"/>
  <c r="K14" i="4"/>
  <c r="K5" i="7" s="1"/>
  <c r="H13" i="8"/>
  <c r="H16" i="8" s="1"/>
  <c r="I17" i="6"/>
  <c r="H26" i="8" s="1"/>
  <c r="J37" i="3"/>
  <c r="J5" i="6"/>
  <c r="J6" i="6" s="1"/>
  <c r="J9" i="6" s="1"/>
  <c r="J12" i="6" s="1"/>
  <c r="K13" i="3"/>
  <c r="I19" i="8"/>
  <c r="C29" i="8"/>
  <c r="C32" i="8" s="1"/>
  <c r="G16" i="8"/>
  <c r="F12" i="7" l="1"/>
  <c r="E32" i="8"/>
  <c r="J15" i="6"/>
  <c r="F28" i="8"/>
  <c r="F29" i="8" s="1"/>
  <c r="H21" i="7"/>
  <c r="G23" i="7"/>
  <c r="J17" i="6"/>
  <c r="I26" i="8" s="1"/>
  <c r="K37" i="3"/>
  <c r="M8" i="3"/>
  <c r="L4" i="6"/>
  <c r="L25" i="3"/>
  <c r="L11" i="6" s="1"/>
  <c r="L43" i="3"/>
  <c r="L18" i="6" s="1"/>
  <c r="K22" i="8" s="1"/>
  <c r="L19" i="3"/>
  <c r="L31" i="3"/>
  <c r="L14" i="6" s="1"/>
  <c r="K10" i="8" s="1"/>
  <c r="L14" i="4"/>
  <c r="L5" i="7" s="1"/>
  <c r="L5" i="4"/>
  <c r="L9" i="7" s="1"/>
  <c r="K14" i="8" s="1"/>
  <c r="L17" i="4"/>
  <c r="L10" i="7" s="1"/>
  <c r="L20" i="4"/>
  <c r="L17" i="7" s="1"/>
  <c r="K8" i="6"/>
  <c r="K8" i="4"/>
  <c r="K8" i="7" s="1"/>
  <c r="J13" i="8" s="1"/>
  <c r="K11" i="4"/>
  <c r="K16" i="7" s="1"/>
  <c r="H5" i="8"/>
  <c r="H8" i="8" s="1"/>
  <c r="H11" i="8" s="1"/>
  <c r="H24" i="8" s="1"/>
  <c r="I19" i="6"/>
  <c r="I24" i="6" s="1"/>
  <c r="I15" i="8"/>
  <c r="I16" i="8" s="1"/>
  <c r="J19" i="8"/>
  <c r="L13" i="3"/>
  <c r="K5" i="6"/>
  <c r="K6" i="6" s="1"/>
  <c r="K9" i="6" s="1"/>
  <c r="K12" i="6" s="1"/>
  <c r="J17" i="8"/>
  <c r="G24" i="8"/>
  <c r="K15" i="6" l="1"/>
  <c r="K19" i="8"/>
  <c r="J19" i="6"/>
  <c r="J24" i="6" s="1"/>
  <c r="I5" i="8"/>
  <c r="I8" i="8" s="1"/>
  <c r="I11" i="8" s="1"/>
  <c r="I24" i="8" s="1"/>
  <c r="L5" i="6"/>
  <c r="L6" i="6" s="1"/>
  <c r="M13" i="3"/>
  <c r="K17" i="8"/>
  <c r="L8" i="6"/>
  <c r="L8" i="4"/>
  <c r="L8" i="7" s="1"/>
  <c r="K13" i="8" s="1"/>
  <c r="L11" i="4"/>
  <c r="L16" i="7" s="1"/>
  <c r="M4" i="6"/>
  <c r="M25" i="3"/>
  <c r="M11" i="6" s="1"/>
  <c r="N8" i="3"/>
  <c r="M31" i="3"/>
  <c r="M14" i="6" s="1"/>
  <c r="L10" i="8" s="1"/>
  <c r="M19" i="3"/>
  <c r="M43" i="3"/>
  <c r="M18" i="6" s="1"/>
  <c r="L22" i="8" s="1"/>
  <c r="M5" i="4"/>
  <c r="M9" i="7" s="1"/>
  <c r="L14" i="8" s="1"/>
  <c r="M17" i="4"/>
  <c r="M10" i="7" s="1"/>
  <c r="L17" i="8" s="1"/>
  <c r="M20" i="4"/>
  <c r="M17" i="7" s="1"/>
  <c r="M14" i="4"/>
  <c r="M5" i="7" s="1"/>
  <c r="G28" i="8"/>
  <c r="G29" i="8" s="1"/>
  <c r="I21" i="7"/>
  <c r="H23" i="7"/>
  <c r="J15" i="8"/>
  <c r="J16" i="8" s="1"/>
  <c r="L37" i="3"/>
  <c r="K17" i="6"/>
  <c r="J26" i="8" s="1"/>
  <c r="E34" i="8"/>
  <c r="F31" i="8"/>
  <c r="F32" i="8" s="1"/>
  <c r="G12" i="7"/>
  <c r="F14" i="7"/>
  <c r="F25" i="7" s="1"/>
  <c r="L19" i="8" l="1"/>
  <c r="M5" i="6"/>
  <c r="M6" i="6" s="1"/>
  <c r="N13" i="3"/>
  <c r="M8" i="6"/>
  <c r="M8" i="4"/>
  <c r="M8" i="7" s="1"/>
  <c r="L13" i="8" s="1"/>
  <c r="M11" i="4"/>
  <c r="M16" i="7" s="1"/>
  <c r="G31" i="8"/>
  <c r="G32" i="8" s="1"/>
  <c r="F34" i="8"/>
  <c r="H12" i="7"/>
  <c r="G14" i="7"/>
  <c r="G25" i="7" s="1"/>
  <c r="K15" i="8"/>
  <c r="L9" i="6"/>
  <c r="L12" i="6" s="1"/>
  <c r="K19" i="6"/>
  <c r="K24" i="6" s="1"/>
  <c r="J5" i="8"/>
  <c r="J8" i="8" s="1"/>
  <c r="J11" i="8" s="1"/>
  <c r="J24" i="8" s="1"/>
  <c r="L17" i="6"/>
  <c r="K26" i="8" s="1"/>
  <c r="M37" i="3"/>
  <c r="H28" i="8"/>
  <c r="H29" i="8" s="1"/>
  <c r="J21" i="7"/>
  <c r="I23" i="7"/>
  <c r="N43" i="3"/>
  <c r="N18" i="6" s="1"/>
  <c r="M22" i="8" s="1"/>
  <c r="N19" i="3"/>
  <c r="N25" i="3"/>
  <c r="N11" i="6" s="1"/>
  <c r="N31" i="3"/>
  <c r="N14" i="6" s="1"/>
  <c r="M10" i="8" s="1"/>
  <c r="N4" i="6"/>
  <c r="O8" i="3"/>
  <c r="N5" i="4"/>
  <c r="N9" i="7" s="1"/>
  <c r="M14" i="8" s="1"/>
  <c r="N20" i="4"/>
  <c r="N17" i="7" s="1"/>
  <c r="N14" i="4"/>
  <c r="N5" i="7" s="1"/>
  <c r="N17" i="4"/>
  <c r="N10" i="7" s="1"/>
  <c r="K16" i="8"/>
  <c r="M9" i="6" l="1"/>
  <c r="M12" i="6" s="1"/>
  <c r="M17" i="8"/>
  <c r="O4" i="6"/>
  <c r="O31" i="3"/>
  <c r="O14" i="6" s="1"/>
  <c r="N10" i="8" s="1"/>
  <c r="O19" i="3"/>
  <c r="O43" i="3"/>
  <c r="O18" i="6" s="1"/>
  <c r="N22" i="8" s="1"/>
  <c r="O25" i="3"/>
  <c r="O11" i="6" s="1"/>
  <c r="O5" i="4"/>
  <c r="O9" i="7" s="1"/>
  <c r="N14" i="8" s="1"/>
  <c r="O20" i="4"/>
  <c r="O17" i="7" s="1"/>
  <c r="O17" i="4"/>
  <c r="O10" i="7" s="1"/>
  <c r="N17" i="8" s="1"/>
  <c r="O14" i="4"/>
  <c r="O5" i="7" s="1"/>
  <c r="N8" i="6"/>
  <c r="N8" i="4"/>
  <c r="N8" i="7" s="1"/>
  <c r="M13" i="8" s="1"/>
  <c r="N11" i="4"/>
  <c r="N16" i="7" s="1"/>
  <c r="L15" i="6"/>
  <c r="M19" i="8"/>
  <c r="L15" i="8"/>
  <c r="L16" i="8" s="1"/>
  <c r="N5" i="6"/>
  <c r="N6" i="6" s="1"/>
  <c r="O13" i="3"/>
  <c r="O5" i="6" s="1"/>
  <c r="H31" i="8"/>
  <c r="H32" i="8" s="1"/>
  <c r="G34" i="8"/>
  <c r="I12" i="7"/>
  <c r="H14" i="7"/>
  <c r="H25" i="7" s="1"/>
  <c r="M17" i="6"/>
  <c r="L26" i="8" s="1"/>
  <c r="N37" i="3"/>
  <c r="I28" i="8"/>
  <c r="I29" i="8" s="1"/>
  <c r="K21" i="7"/>
  <c r="J23" i="7"/>
  <c r="M15" i="6"/>
  <c r="L5" i="8" l="1"/>
  <c r="L8" i="8" s="1"/>
  <c r="L11" i="8" s="1"/>
  <c r="L24" i="8" s="1"/>
  <c r="M19" i="6"/>
  <c r="M24" i="6" s="1"/>
  <c r="N9" i="6"/>
  <c r="N12" i="6" s="1"/>
  <c r="L19" i="6"/>
  <c r="L24" i="6" s="1"/>
  <c r="L21" i="7" s="1"/>
  <c r="K5" i="8"/>
  <c r="K8" i="8" s="1"/>
  <c r="K11" i="8" s="1"/>
  <c r="K24" i="8" s="1"/>
  <c r="N19" i="8"/>
  <c r="J28" i="8"/>
  <c r="J29" i="8" s="1"/>
  <c r="K23" i="7"/>
  <c r="M15" i="8"/>
  <c r="M16" i="8" s="1"/>
  <c r="I31" i="8"/>
  <c r="I32" i="8" s="1"/>
  <c r="H34" i="8"/>
  <c r="J12" i="7"/>
  <c r="I14" i="7"/>
  <c r="I25" i="7" s="1"/>
  <c r="O8" i="6"/>
  <c r="O8" i="4"/>
  <c r="O8" i="7" s="1"/>
  <c r="N13" i="8" s="1"/>
  <c r="O11" i="4"/>
  <c r="O16" i="7" s="1"/>
  <c r="N17" i="6"/>
  <c r="M26" i="8" s="1"/>
  <c r="O37" i="3"/>
  <c r="O17" i="6" s="1"/>
  <c r="N26" i="8" s="1"/>
  <c r="O6" i="6"/>
  <c r="K28" i="8" l="1"/>
  <c r="M21" i="7"/>
  <c r="L23" i="7"/>
  <c r="O9" i="6"/>
  <c r="O12" i="6" s="1"/>
  <c r="N15" i="8"/>
  <c r="N16" i="8" s="1"/>
  <c r="N15" i="6"/>
  <c r="I34" i="8"/>
  <c r="J31" i="8"/>
  <c r="J32" i="8" s="1"/>
  <c r="K12" i="7"/>
  <c r="J14" i="7"/>
  <c r="J25" i="7" s="1"/>
  <c r="K29" i="8"/>
  <c r="L28" i="8" l="1"/>
  <c r="L29" i="8" s="1"/>
  <c r="M23" i="7"/>
  <c r="O15" i="6"/>
  <c r="K31" i="8"/>
  <c r="K32" i="8" s="1"/>
  <c r="J34" i="8"/>
  <c r="L12" i="7"/>
  <c r="K14" i="7"/>
  <c r="K25" i="7" s="1"/>
  <c r="N19" i="6"/>
  <c r="N24" i="6" s="1"/>
  <c r="N21" i="7" s="1"/>
  <c r="M5" i="8"/>
  <c r="M8" i="8" s="1"/>
  <c r="M11" i="8" s="1"/>
  <c r="M24" i="8" s="1"/>
  <c r="M28" i="8" l="1"/>
  <c r="N23" i="7"/>
  <c r="O19" i="6"/>
  <c r="O24" i="6" s="1"/>
  <c r="O21" i="7" s="1"/>
  <c r="N5" i="8"/>
  <c r="N8" i="8" s="1"/>
  <c r="N11" i="8" s="1"/>
  <c r="N24" i="8" s="1"/>
  <c r="L31" i="8"/>
  <c r="L32" i="8" s="1"/>
  <c r="K34" i="8"/>
  <c r="M12" i="7"/>
  <c r="L14" i="7"/>
  <c r="L25" i="7" s="1"/>
  <c r="M29" i="8"/>
  <c r="N28" i="8" l="1"/>
  <c r="O23" i="7"/>
  <c r="M31" i="8"/>
  <c r="M32" i="8" s="1"/>
  <c r="L34" i="8"/>
  <c r="N12" i="7"/>
  <c r="M14" i="7"/>
  <c r="M25" i="7" s="1"/>
  <c r="N29" i="8"/>
  <c r="M34" i="8" l="1"/>
  <c r="N31" i="8"/>
  <c r="N32" i="8" s="1"/>
  <c r="O12" i="7"/>
  <c r="N14" i="7"/>
  <c r="N25" i="7" s="1"/>
  <c r="N34" i="8" l="1"/>
  <c r="O14" i="7"/>
  <c r="O25" i="7" s="1"/>
</calcChain>
</file>

<file path=xl/sharedStrings.xml><?xml version="1.0" encoding="utf-8"?>
<sst xmlns="http://schemas.openxmlformats.org/spreadsheetml/2006/main" count="344" uniqueCount="194">
  <si>
    <t>P&amp;L assumptions</t>
  </si>
  <si>
    <t>Scenarios</t>
  </si>
  <si>
    <t>Selected Case</t>
  </si>
  <si>
    <t>Case 1</t>
  </si>
  <si>
    <t>Optimistic case</t>
  </si>
  <si>
    <t>Case 2</t>
  </si>
  <si>
    <t>Base Case</t>
  </si>
  <si>
    <t>Case 3</t>
  </si>
  <si>
    <t>Worst Case</t>
  </si>
  <si>
    <t xml:space="preserve"> INR In Millions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</si>
  <si>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</si>
  <si>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</si>
  <si>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</si>
  <si>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</si>
  <si>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</si>
  <si>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</si>
  <si>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</si>
  <si>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</si>
  <si>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FY30
Forecast</t>
  </si>
  <si>
    <t>FY31
Forecast</t>
  </si>
  <si>
    <t>FY32
Forecast</t>
  </si>
  <si>
    <t>FY33
Forecast</t>
  </si>
  <si>
    <t>FY34
Forecast</t>
  </si>
  <si>
    <t>Revenues</t>
  </si>
  <si>
    <t>y-o-y growth %</t>
  </si>
  <si>
    <t>Other revenues</t>
  </si>
  <si>
    <t>Cost of goods sold</t>
  </si>
  <si>
    <t>% of revenues</t>
  </si>
  <si>
    <t>Operating expenses</t>
  </si>
  <si>
    <t>D&amp;A</t>
  </si>
  <si>
    <t>Interest expense</t>
  </si>
  <si>
    <t>Extraordinary income</t>
  </si>
  <si>
    <t>BS assumptions</t>
  </si>
  <si>
    <t>INR In Millions</t>
  </si>
  <si>
    <t xml:space="preserve">Trade receivable </t>
  </si>
  <si>
    <t xml:space="preserve">Days receivable </t>
  </si>
  <si>
    <t xml:space="preserve">Inventory </t>
  </si>
  <si>
    <t xml:space="preserve">Days Inventory </t>
  </si>
  <si>
    <t xml:space="preserve">Trade payables </t>
  </si>
  <si>
    <t xml:space="preserve">Days payable </t>
  </si>
  <si>
    <t xml:space="preserve">PP&amp;E </t>
  </si>
  <si>
    <t xml:space="preserve">as a % of revenue </t>
  </si>
  <si>
    <t xml:space="preserve">Other assets </t>
  </si>
  <si>
    <t>Other liabilities</t>
  </si>
  <si>
    <t>P&amp;L</t>
  </si>
  <si>
    <t>Note</t>
  </si>
  <si>
    <t>Taxes are assumed as NIL</t>
  </si>
  <si>
    <t xml:space="preserve">Total revenue </t>
  </si>
  <si>
    <t xml:space="preserve">Gross margin </t>
  </si>
  <si>
    <t xml:space="preserve">EBITDA </t>
  </si>
  <si>
    <t xml:space="preserve">EBIT </t>
  </si>
  <si>
    <t xml:space="preserve">EBT </t>
  </si>
  <si>
    <t>Tax Rate</t>
  </si>
  <si>
    <t>Taxes</t>
  </si>
  <si>
    <t xml:space="preserve">Net income </t>
  </si>
  <si>
    <t xml:space="preserve"> </t>
  </si>
  <si>
    <t>Balance Sheet</t>
  </si>
  <si>
    <t>Intangible assets</t>
  </si>
  <si>
    <t>Flat</t>
  </si>
  <si>
    <t>Financial assets</t>
  </si>
  <si>
    <t>Cash and equivalents</t>
  </si>
  <si>
    <t>Total Assets</t>
  </si>
  <si>
    <t>Financial liabilities</t>
  </si>
  <si>
    <t>Shareholders' equity</t>
  </si>
  <si>
    <t>Last year equity + Net Income</t>
  </si>
  <si>
    <t>Total Liabilities &amp; Equities</t>
  </si>
  <si>
    <t>Check</t>
  </si>
  <si>
    <t>Cash Flow</t>
  </si>
  <si>
    <t>Note:Here we will prepare an unlevered cash flow</t>
  </si>
  <si>
    <t>EBIT</t>
  </si>
  <si>
    <t>Operating taxes</t>
  </si>
  <si>
    <t xml:space="preserve">Ignore taxes and tax rate </t>
  </si>
  <si>
    <t>Operating tax rate</t>
  </si>
  <si>
    <t>NOPAT</t>
  </si>
  <si>
    <t>Add-back D&amp;A</t>
  </si>
  <si>
    <t>Gross Cash Flow</t>
  </si>
  <si>
    <t>1)</t>
  </si>
  <si>
    <t>Inventory</t>
  </si>
  <si>
    <t>Trade receivables</t>
  </si>
  <si>
    <t>Trade payables</t>
  </si>
  <si>
    <t>Investments in working capital</t>
  </si>
  <si>
    <t>2)</t>
  </si>
  <si>
    <t>Investments in other assets/liabilities</t>
  </si>
  <si>
    <t>3)</t>
  </si>
  <si>
    <t>Capex</t>
  </si>
  <si>
    <t>4)</t>
  </si>
  <si>
    <t>Investments (other)</t>
  </si>
  <si>
    <t>5)</t>
  </si>
  <si>
    <t>Extraordinary items</t>
  </si>
  <si>
    <t>6)</t>
  </si>
  <si>
    <t>UFCF</t>
  </si>
  <si>
    <t>1)+2)+3)+4)+5)+6)</t>
  </si>
  <si>
    <t>Interest Expenses</t>
  </si>
  <si>
    <t>Delta Financial Liabilities</t>
  </si>
  <si>
    <t>Delta Equity(incl dividends)</t>
  </si>
  <si>
    <t>Net Cash Flow</t>
  </si>
  <si>
    <t>Opening cash</t>
  </si>
  <si>
    <t>Closing cash</t>
  </si>
  <si>
    <t>DCF VALUATION</t>
  </si>
  <si>
    <t>WACC</t>
  </si>
  <si>
    <t>g</t>
  </si>
  <si>
    <t>INR in Millions</t>
  </si>
  <si>
    <t>FY 29 Forecast</t>
  </si>
  <si>
    <t>FY 33 Forecast</t>
  </si>
  <si>
    <t>Discount Factor</t>
  </si>
  <si>
    <t>Present Value of UFCF</t>
  </si>
  <si>
    <t>PV of Cash Flows</t>
  </si>
  <si>
    <t>Continuing Vlalue</t>
  </si>
  <si>
    <t>PV of Continuing Value</t>
  </si>
  <si>
    <t>Enterprise Value</t>
  </si>
  <si>
    <t>Less: Financial Liabilities</t>
  </si>
  <si>
    <t xml:space="preserve"> Add: Cash and cash equivalents</t>
  </si>
  <si>
    <t>Equity Value</t>
  </si>
  <si>
    <t>No of Outstanding equity shares</t>
  </si>
  <si>
    <t>Equity value per share</t>
  </si>
  <si>
    <t>Perpetuity Growth Method(Gordon Model)</t>
  </si>
  <si>
    <t>(Assumption)</t>
  </si>
  <si>
    <t>FCF in year 10(FY34)</t>
  </si>
  <si>
    <t>Terminal Value</t>
  </si>
  <si>
    <t>Present Value of Terminal Value</t>
  </si>
  <si>
    <t>Note:Perpetuity Model here provides a more conservative estimate of Swiggy's Terminal Value</t>
  </si>
  <si>
    <t>Exit Multiple Method</t>
  </si>
  <si>
    <t>EBIDTA For FY34</t>
  </si>
  <si>
    <t>Exit Multiple</t>
  </si>
  <si>
    <t>Note: The Exit Multiple Model provides a more optimistic estimate of Swiggy's Terminal Value.</t>
  </si>
  <si>
    <t>EBITDA</t>
  </si>
  <si>
    <t>P&amp;L source</t>
  </si>
  <si>
    <t xml:space="preserve"> YEAR 2022</t>
  </si>
  <si>
    <t xml:space="preserve"> YEAR 2023</t>
  </si>
  <si>
    <t xml:space="preserve"> YEAR 2024</t>
  </si>
  <si>
    <t>Revenues from Operations</t>
  </si>
  <si>
    <t>Other Income</t>
  </si>
  <si>
    <t>Total Revenues</t>
  </si>
  <si>
    <t>Cost of Good Sold</t>
  </si>
  <si>
    <t>Delivery and related charges</t>
  </si>
  <si>
    <t>Total COGS</t>
  </si>
  <si>
    <t>Gross Profit</t>
  </si>
  <si>
    <t>Gross Margin</t>
  </si>
  <si>
    <t>Advertising and sales promotion</t>
  </si>
  <si>
    <t>Other Expenses</t>
  </si>
  <si>
    <t>Employee benefits expense</t>
  </si>
  <si>
    <t>Depreciation and amortisation expense</t>
  </si>
  <si>
    <t>Finance costs</t>
  </si>
  <si>
    <t>Share in net loss of an associate</t>
  </si>
  <si>
    <t>Exceptional items</t>
  </si>
  <si>
    <t>Income before tax</t>
  </si>
  <si>
    <t>Income tax expense</t>
  </si>
  <si>
    <t>Net income for the year</t>
  </si>
  <si>
    <t>NI Margin</t>
  </si>
  <si>
    <t>Margin</t>
  </si>
  <si>
    <t>BS source</t>
  </si>
  <si>
    <t>31ST DEC 22</t>
  </si>
  <si>
    <t>31ST DEC 23</t>
  </si>
  <si>
    <t>31ST DEC 24</t>
  </si>
  <si>
    <t>INR IN Millions</t>
  </si>
  <si>
    <t>31ST  DEC 24</t>
  </si>
  <si>
    <t>ASSETS</t>
  </si>
  <si>
    <t>EQUITY AND LIABILITIES</t>
  </si>
  <si>
    <t>Non-current asets</t>
  </si>
  <si>
    <t>Equity</t>
  </si>
  <si>
    <t>Property, plant and equipment</t>
  </si>
  <si>
    <t>Equity share capital</t>
  </si>
  <si>
    <t>Right-of-use assets</t>
  </si>
  <si>
    <t>Additional Paid up Capital (Share Premium)</t>
  </si>
  <si>
    <t>Goodwill</t>
  </si>
  <si>
    <t>Instruments entirely equity in nature</t>
  </si>
  <si>
    <t>Other intangible assets</t>
  </si>
  <si>
    <t>Other equity</t>
  </si>
  <si>
    <t>Investment in associates</t>
  </si>
  <si>
    <t>Total equity</t>
  </si>
  <si>
    <t>Investments</t>
  </si>
  <si>
    <t>Other financial assets</t>
  </si>
  <si>
    <t>Non-current liabilities</t>
  </si>
  <si>
    <t>Income tax assets</t>
  </si>
  <si>
    <t>Borrowings</t>
  </si>
  <si>
    <t>Other assets</t>
  </si>
  <si>
    <t>Lease Liabilties</t>
  </si>
  <si>
    <t>Total non-current assets</t>
  </si>
  <si>
    <t>Other Financial Liabilties</t>
  </si>
  <si>
    <t>Current assets</t>
  </si>
  <si>
    <t>Contracts Liabilities</t>
  </si>
  <si>
    <t>Inventories</t>
  </si>
  <si>
    <t>Provisons</t>
  </si>
  <si>
    <t>Total non-current liabilities</t>
  </si>
  <si>
    <t>Current liabilities</t>
  </si>
  <si>
    <t>Cash and cash equivalents</t>
  </si>
  <si>
    <t>Bank balances other than cash and equivalents</t>
  </si>
  <si>
    <t>Trade Payables</t>
  </si>
  <si>
    <t>Total current assets</t>
  </si>
  <si>
    <t>TOTAL ASSETS</t>
  </si>
  <si>
    <t>Other Liabilties</t>
  </si>
  <si>
    <t>Total current liabilities</t>
  </si>
  <si>
    <t>Total liabilities</t>
  </si>
  <si>
    <t>Total shareholders’ equity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</si>
</sst>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₹&quot;\ #,##0.00;[Red]&quot;₹&quot;\ \-#,##0.00"/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_(* #,##0.0_);_(* \(#,##0.0\);_(* &quot;-&quot;?_);@_l"/>
    <numFmt numFmtId="169" formatCode="_(* #,##0_);_(* \(#,##0\);_(* &quot;-&quot;?_);@_l"/>
    <numFmt numFmtId="170" formatCode="0.0"/>
    <numFmt numFmtId="171" formatCode="_(* #,##0.00_);_(* \(#,##0.00\);_(* &quot;-&quot;?_);@_)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rgb="FF002060"/>
      <name val="Arial"/>
      <family val="2"/>
    </font>
    <font>
      <b/>
      <sz val="22"/>
      <color rgb="FF002060"/>
      <name val="Arial"/>
      <family val="2"/>
    </font>
    <font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4"/>
      <color theme="0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i/>
      <sz val="8"/>
      <color theme="1"/>
      <name val="Arial"/>
      <family val="2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sz val="14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1"/>
      <color theme="1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rgb="FF1F497D"/>
        <bgColor rgb="FF1F497D"/>
      </patternFill>
    </fill>
    <fill>
      <patternFill patternType="solid">
        <fgColor rgb="FFB6DDE8"/>
        <bgColor rgb="FFB6DDE8"/>
      </patternFill>
    </fill>
    <fill>
      <patternFill patternType="solid">
        <fgColor rgb="FFC6D9F0"/>
        <bgColor rgb="FFC6D9F0"/>
      </patternFill>
    </fill>
    <fill>
      <patternFill patternType="solid">
        <fgColor rgb="FFFF0000"/>
        <bgColor rgb="FFFF0000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theme="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22">
    <xf numFmtId="0" fontId="0" fillId="0" borderId="0" xfId="0"/>
    <xf numFmtId="164" fontId="3" fillId="2" borderId="1" xfId="0" applyNumberFormat="1" applyFont="1" applyFill="1" applyBorder="1"/>
    <xf numFmtId="164" fontId="5" fillId="2" borderId="1" xfId="0" applyNumberFormat="1" applyFont="1" applyFill="1" applyBorder="1"/>
    <xf numFmtId="164" fontId="6" fillId="2" borderId="1" xfId="0" applyNumberFormat="1" applyFont="1" applyFill="1" applyBorder="1"/>
    <xf numFmtId="164" fontId="7" fillId="2" borderId="1" xfId="0" applyNumberFormat="1" applyFont="1" applyFill="1" applyBorder="1"/>
    <xf numFmtId="164" fontId="8" fillId="2" borderId="1" xfId="0" applyNumberFormat="1" applyFont="1" applyFill="1" applyBorder="1"/>
    <xf numFmtId="165" fontId="9" fillId="3" borderId="1" xfId="0" applyNumberFormat="1" applyFont="1" applyFill="1" applyBorder="1" applyAlignment="1">
      <alignment horizontal="center"/>
    </xf>
    <xf numFmtId="164" fontId="10" fillId="2" borderId="1" xfId="0" applyNumberFormat="1" applyFont="1" applyFill="1" applyBorder="1"/>
    <xf numFmtId="164" fontId="11" fillId="2" borderId="1" xfId="0" applyNumberFormat="1" applyFont="1" applyFill="1" applyBorder="1"/>
    <xf numFmtId="165" fontId="9" fillId="2" borderId="1" xfId="0" applyNumberFormat="1" applyFont="1" applyFill="1" applyBorder="1"/>
    <xf numFmtId="164" fontId="4" fillId="2" borderId="2" xfId="0" applyNumberFormat="1" applyFont="1" applyFill="1" applyBorder="1"/>
    <xf numFmtId="164" fontId="12" fillId="2" borderId="2" xfId="0" applyNumberFormat="1" applyFont="1" applyFill="1" applyBorder="1" applyAlignment="1">
      <alignment horizontal="right" wrapText="1"/>
    </xf>
    <xf numFmtId="164" fontId="12" fillId="4" borderId="2" xfId="0" applyNumberFormat="1" applyFont="1" applyFill="1" applyBorder="1" applyAlignment="1">
      <alignment horizontal="right" wrapText="1"/>
    </xf>
    <xf numFmtId="165" fontId="11" fillId="2" borderId="1" xfId="0" applyNumberFormat="1" applyFont="1" applyFill="1" applyBorder="1" applyAlignment="1">
      <alignment horizontal="right"/>
    </xf>
    <xf numFmtId="1" fontId="3" fillId="4" borderId="1" xfId="0" applyNumberFormat="1" applyFont="1" applyFill="1" applyBorder="1"/>
    <xf numFmtId="9" fontId="3" fillId="2" borderId="1" xfId="0" applyNumberFormat="1" applyFont="1" applyFill="1" applyBorder="1"/>
    <xf numFmtId="9" fontId="3" fillId="4" borderId="1" xfId="0" applyNumberFormat="1" applyFont="1" applyFill="1" applyBorder="1"/>
    <xf numFmtId="165" fontId="3" fillId="2" borderId="1" xfId="0" applyNumberFormat="1" applyFont="1" applyFill="1" applyBorder="1"/>
    <xf numFmtId="165" fontId="3" fillId="4" borderId="1" xfId="0" applyNumberFormat="1" applyFont="1" applyFill="1" applyBorder="1"/>
    <xf numFmtId="10" fontId="3" fillId="2" borderId="1" xfId="0" applyNumberFormat="1" applyFont="1" applyFill="1" applyBorder="1"/>
    <xf numFmtId="166" fontId="3" fillId="4" borderId="1" xfId="0" applyNumberFormat="1" applyFont="1" applyFill="1" applyBorder="1"/>
    <xf numFmtId="10" fontId="3" fillId="2" borderId="1" xfId="0" applyNumberFormat="1" applyFont="1" applyFill="1" applyBorder="1" applyAlignment="1">
      <alignment horizontal="right"/>
    </xf>
    <xf numFmtId="10" fontId="2" fillId="2" borderId="1" xfId="0" applyNumberFormat="1" applyFont="1" applyFill="1" applyBorder="1"/>
    <xf numFmtId="0" fontId="2" fillId="2" borderId="1" xfId="0" applyFont="1" applyFill="1" applyBorder="1"/>
    <xf numFmtId="164" fontId="4" fillId="2" borderId="1" xfId="0" applyNumberFormat="1" applyFont="1" applyFill="1" applyBorder="1"/>
    <xf numFmtId="164" fontId="12" fillId="2" borderId="2" xfId="0" applyNumberFormat="1" applyFont="1" applyFill="1" applyBorder="1"/>
    <xf numFmtId="164" fontId="13" fillId="2" borderId="1" xfId="0" applyNumberFormat="1" applyFont="1" applyFill="1" applyBorder="1"/>
    <xf numFmtId="164" fontId="13" fillId="4" borderId="1" xfId="0" applyNumberFormat="1" applyFont="1" applyFill="1" applyBorder="1"/>
    <xf numFmtId="164" fontId="3" fillId="4" borderId="1" xfId="0" applyNumberFormat="1" applyFont="1" applyFill="1" applyBorder="1"/>
    <xf numFmtId="166" fontId="13" fillId="2" borderId="1" xfId="0" applyNumberFormat="1" applyFont="1" applyFill="1" applyBorder="1"/>
    <xf numFmtId="166" fontId="13" fillId="4" borderId="1" xfId="0" applyNumberFormat="1" applyFont="1" applyFill="1" applyBorder="1"/>
    <xf numFmtId="164" fontId="12" fillId="2" borderId="2" xfId="0" applyNumberFormat="1" applyFont="1" applyFill="1" applyBorder="1" applyAlignment="1">
      <alignment wrapText="1"/>
    </xf>
    <xf numFmtId="165" fontId="3" fillId="5" borderId="1" xfId="0" applyNumberFormat="1" applyFont="1" applyFill="1" applyBorder="1"/>
    <xf numFmtId="164" fontId="12" fillId="2" borderId="3" xfId="0" applyNumberFormat="1" applyFont="1" applyFill="1" applyBorder="1"/>
    <xf numFmtId="165" fontId="12" fillId="2" borderId="3" xfId="0" applyNumberFormat="1" applyFont="1" applyFill="1" applyBorder="1"/>
    <xf numFmtId="164" fontId="12" fillId="2" borderId="1" xfId="0" applyNumberFormat="1" applyFont="1" applyFill="1" applyBorder="1"/>
    <xf numFmtId="165" fontId="12" fillId="2" borderId="1" xfId="0" applyNumberFormat="1" applyFont="1" applyFill="1" applyBorder="1"/>
    <xf numFmtId="165" fontId="14" fillId="2" borderId="1" xfId="0" applyNumberFormat="1" applyFont="1" applyFill="1" applyBorder="1"/>
    <xf numFmtId="164" fontId="3" fillId="5" borderId="1" xfId="0" applyNumberFormat="1" applyFont="1" applyFill="1" applyBorder="1"/>
    <xf numFmtId="167" fontId="3" fillId="2" borderId="1" xfId="0" applyNumberFormat="1" applyFont="1" applyFill="1" applyBorder="1"/>
    <xf numFmtId="167" fontId="3" fillId="5" borderId="1" xfId="0" applyNumberFormat="1" applyFont="1" applyFill="1" applyBorder="1"/>
    <xf numFmtId="2" fontId="3" fillId="2" borderId="1" xfId="0" applyNumberFormat="1" applyFont="1" applyFill="1" applyBorder="1"/>
    <xf numFmtId="2" fontId="3" fillId="5" borderId="1" xfId="0" applyNumberFormat="1" applyFont="1" applyFill="1" applyBorder="1"/>
    <xf numFmtId="164" fontId="15" fillId="6" borderId="1" xfId="0" applyNumberFormat="1" applyFont="1" applyFill="1" applyBorder="1"/>
    <xf numFmtId="165" fontId="15" fillId="6" borderId="1" xfId="0" applyNumberFormat="1" applyFont="1" applyFill="1" applyBorder="1"/>
    <xf numFmtId="164" fontId="12" fillId="2" borderId="4" xfId="0" applyNumberFormat="1" applyFont="1" applyFill="1" applyBorder="1"/>
    <xf numFmtId="165" fontId="12" fillId="2" borderId="4" xfId="0" applyNumberFormat="1" applyFont="1" applyFill="1" applyBorder="1"/>
    <xf numFmtId="168" fontId="3" fillId="2" borderId="1" xfId="0" applyNumberFormat="1" applyFont="1" applyFill="1" applyBorder="1"/>
    <xf numFmtId="168" fontId="4" fillId="2" borderId="1" xfId="0" applyNumberFormat="1" applyFont="1" applyFill="1" applyBorder="1"/>
    <xf numFmtId="168" fontId="14" fillId="2" borderId="1" xfId="0" applyNumberFormat="1" applyFont="1" applyFill="1" applyBorder="1"/>
    <xf numFmtId="169" fontId="3" fillId="4" borderId="1" xfId="0" applyNumberFormat="1" applyFont="1" applyFill="1" applyBorder="1"/>
    <xf numFmtId="168" fontId="3" fillId="2" borderId="3" xfId="0" applyNumberFormat="1" applyFont="1" applyFill="1" applyBorder="1"/>
    <xf numFmtId="165" fontId="14" fillId="4" borderId="3" xfId="0" applyNumberFormat="1" applyFont="1" applyFill="1" applyBorder="1"/>
    <xf numFmtId="165" fontId="12" fillId="4" borderId="3" xfId="0" applyNumberFormat="1" applyFont="1" applyFill="1" applyBorder="1"/>
    <xf numFmtId="165" fontId="3" fillId="4" borderId="3" xfId="0" applyNumberFormat="1" applyFont="1" applyFill="1" applyBorder="1"/>
    <xf numFmtId="165" fontId="12" fillId="4" borderId="1" xfId="0" applyNumberFormat="1" applyFont="1" applyFill="1" applyBorder="1"/>
    <xf numFmtId="165" fontId="14" fillId="4" borderId="1" xfId="0" applyNumberFormat="1" applyFont="1" applyFill="1" applyBorder="1"/>
    <xf numFmtId="168" fontId="12" fillId="2" borderId="1" xfId="0" applyNumberFormat="1" applyFont="1" applyFill="1" applyBorder="1"/>
    <xf numFmtId="168" fontId="3" fillId="4" borderId="1" xfId="0" applyNumberFormat="1" applyFont="1" applyFill="1" applyBorder="1"/>
    <xf numFmtId="165" fontId="15" fillId="4" borderId="1" xfId="0" applyNumberFormat="1" applyFont="1" applyFill="1" applyBorder="1"/>
    <xf numFmtId="165" fontId="11" fillId="4" borderId="1" xfId="0" applyNumberFormat="1" applyFont="1" applyFill="1" applyBorder="1"/>
    <xf numFmtId="164" fontId="3" fillId="7" borderId="1" xfId="0" applyNumberFormat="1" applyFont="1" applyFill="1" applyBorder="1"/>
    <xf numFmtId="164" fontId="16" fillId="7" borderId="1" xfId="0" applyNumberFormat="1" applyFont="1" applyFill="1" applyBorder="1"/>
    <xf numFmtId="164" fontId="14" fillId="7" borderId="1" xfId="0" applyNumberFormat="1" applyFont="1" applyFill="1" applyBorder="1"/>
    <xf numFmtId="164" fontId="16" fillId="7" borderId="1" xfId="0" applyNumberFormat="1" applyFont="1" applyFill="1" applyBorder="1" applyAlignment="1">
      <alignment horizontal="left"/>
    </xf>
    <xf numFmtId="164" fontId="17" fillId="7" borderId="1" xfId="0" applyNumberFormat="1" applyFont="1" applyFill="1" applyBorder="1" applyAlignment="1">
      <alignment horizontal="left"/>
    </xf>
    <xf numFmtId="164" fontId="18" fillId="7" borderId="1" xfId="0" applyNumberFormat="1" applyFont="1" applyFill="1" applyBorder="1"/>
    <xf numFmtId="164" fontId="14" fillId="8" borderId="1" xfId="0" applyNumberFormat="1" applyFont="1" applyFill="1" applyBorder="1"/>
    <xf numFmtId="9" fontId="3" fillId="3" borderId="1" xfId="0" applyNumberFormat="1" applyFont="1" applyFill="1" applyBorder="1"/>
    <xf numFmtId="164" fontId="3" fillId="9" borderId="5" xfId="0" applyNumberFormat="1" applyFont="1" applyFill="1" applyBorder="1"/>
    <xf numFmtId="170" fontId="3" fillId="9" borderId="5" xfId="0" applyNumberFormat="1" applyFont="1" applyFill="1" applyBorder="1"/>
    <xf numFmtId="9" fontId="3" fillId="2" borderId="1" xfId="0" applyNumberFormat="1" applyFont="1" applyFill="1" applyBorder="1" applyAlignment="1">
      <alignment horizontal="left"/>
    </xf>
    <xf numFmtId="164" fontId="11" fillId="9" borderId="5" xfId="0" applyNumberFormat="1" applyFont="1" applyFill="1" applyBorder="1"/>
    <xf numFmtId="170" fontId="11" fillId="9" borderId="5" xfId="0" applyNumberFormat="1" applyFont="1" applyFill="1" applyBorder="1"/>
    <xf numFmtId="171" fontId="15" fillId="2" borderId="1" xfId="0" applyNumberFormat="1" applyFont="1" applyFill="1" applyBorder="1"/>
    <xf numFmtId="9" fontId="11" fillId="2" borderId="1" xfId="0" applyNumberFormat="1" applyFont="1" applyFill="1" applyBorder="1"/>
    <xf numFmtId="0" fontId="19" fillId="9" borderId="5" xfId="0" applyFont="1" applyFill="1" applyBorder="1"/>
    <xf numFmtId="9" fontId="11" fillId="10" borderId="1" xfId="0" applyNumberFormat="1" applyFont="1" applyFill="1" applyBorder="1"/>
    <xf numFmtId="164" fontId="3" fillId="9" borderId="6" xfId="0" applyNumberFormat="1" applyFont="1" applyFill="1" applyBorder="1"/>
    <xf numFmtId="164" fontId="3" fillId="9" borderId="7" xfId="0" applyNumberFormat="1" applyFont="1" applyFill="1" applyBorder="1"/>
    <xf numFmtId="164" fontId="3" fillId="9" borderId="8" xfId="0" applyNumberFormat="1" applyFont="1" applyFill="1" applyBorder="1"/>
    <xf numFmtId="0" fontId="20" fillId="2" borderId="1" xfId="0" applyFont="1" applyFill="1" applyBorder="1"/>
    <xf numFmtId="0" fontId="21" fillId="2" borderId="1" xfId="0" applyFont="1" applyFill="1" applyBorder="1"/>
    <xf numFmtId="0" fontId="2" fillId="11" borderId="5" xfId="0" applyFont="1" applyFill="1" applyBorder="1"/>
    <xf numFmtId="9" fontId="2" fillId="11" borderId="5" xfId="0" applyNumberFormat="1" applyFont="1" applyFill="1" applyBorder="1"/>
    <xf numFmtId="164" fontId="2" fillId="11" borderId="5" xfId="0" applyNumberFormat="1" applyFont="1" applyFill="1" applyBorder="1"/>
    <xf numFmtId="0" fontId="19" fillId="11" borderId="5" xfId="0" applyFont="1" applyFill="1" applyBorder="1"/>
    <xf numFmtId="164" fontId="22" fillId="2" borderId="1" xfId="0" applyNumberFormat="1" applyFont="1" applyFill="1" applyBorder="1"/>
    <xf numFmtId="170" fontId="22" fillId="2" borderId="1" xfId="0" applyNumberFormat="1" applyFont="1" applyFill="1" applyBorder="1"/>
    <xf numFmtId="0" fontId="19" fillId="2" borderId="1" xfId="0" applyFont="1" applyFill="1" applyBorder="1"/>
    <xf numFmtId="170" fontId="19" fillId="2" borderId="1" xfId="0" applyNumberFormat="1" applyFont="1" applyFill="1" applyBorder="1"/>
    <xf numFmtId="171" fontId="22" fillId="2" borderId="1" xfId="0" applyNumberFormat="1" applyFont="1" applyFill="1" applyBorder="1"/>
    <xf numFmtId="170" fontId="19" fillId="11" borderId="5" xfId="0" applyNumberFormat="1" applyFont="1" applyFill="1" applyBorder="1"/>
    <xf numFmtId="164" fontId="23" fillId="2" borderId="1" xfId="0" applyNumberFormat="1" applyFont="1" applyFill="1" applyBorder="1"/>
    <xf numFmtId="164" fontId="22" fillId="11" borderId="5" xfId="0" applyNumberFormat="1" applyFont="1" applyFill="1" applyBorder="1"/>
    <xf numFmtId="170" fontId="22" fillId="11" borderId="5" xfId="0" applyNumberFormat="1" applyFont="1" applyFill="1" applyBorder="1"/>
    <xf numFmtId="171" fontId="22" fillId="11" borderId="5" xfId="0" applyNumberFormat="1" applyFont="1" applyFill="1" applyBorder="1"/>
    <xf numFmtId="164" fontId="23" fillId="11" borderId="5" xfId="0" applyNumberFormat="1" applyFont="1" applyFill="1" applyBorder="1"/>
    <xf numFmtId="0" fontId="24" fillId="2" borderId="1" xfId="0" applyFont="1" applyFill="1" applyBorder="1"/>
    <xf numFmtId="165" fontId="2" fillId="11" borderId="9" xfId="0" applyNumberFormat="1" applyFont="1" applyFill="1" applyBorder="1"/>
    <xf numFmtId="0" fontId="2" fillId="11" borderId="9" xfId="0" applyFont="1" applyFill="1" applyBorder="1"/>
    <xf numFmtId="0" fontId="19" fillId="11" borderId="9" xfId="0" applyFont="1" applyFill="1" applyBorder="1"/>
    <xf numFmtId="9" fontId="2" fillId="11" borderId="9" xfId="0" applyNumberFormat="1" applyFont="1" applyFill="1" applyBorder="1"/>
    <xf numFmtId="170" fontId="19" fillId="11" borderId="9" xfId="0" applyNumberFormat="1" applyFont="1" applyFill="1" applyBorder="1"/>
    <xf numFmtId="164" fontId="11" fillId="2" borderId="10" xfId="0" applyNumberFormat="1" applyFont="1" applyFill="1" applyBorder="1"/>
    <xf numFmtId="165" fontId="11" fillId="2" borderId="10" xfId="0" applyNumberFormat="1" applyFont="1" applyFill="1" applyBorder="1"/>
    <xf numFmtId="165" fontId="11" fillId="2" borderId="10" xfId="0" applyNumberFormat="1" applyFont="1" applyFill="1" applyBorder="1" applyAlignment="1">
      <alignment horizontal="right" wrapText="1"/>
    </xf>
    <xf numFmtId="164" fontId="11" fillId="2" borderId="10" xfId="0" applyNumberFormat="1" applyFont="1" applyFill="1" applyBorder="1" applyAlignment="1">
      <alignment horizontal="right" wrapText="1"/>
    </xf>
    <xf numFmtId="171" fontId="3" fillId="2" borderId="1" xfId="0" applyNumberFormat="1" applyFont="1" applyFill="1" applyBorder="1"/>
    <xf numFmtId="164" fontId="11" fillId="2" borderId="3" xfId="0" applyNumberFormat="1" applyFont="1" applyFill="1" applyBorder="1"/>
    <xf numFmtId="165" fontId="11" fillId="2" borderId="3" xfId="0" applyNumberFormat="1" applyFont="1" applyFill="1" applyBorder="1"/>
    <xf numFmtId="164" fontId="11" fillId="2" borderId="11" xfId="0" applyNumberFormat="1" applyFont="1" applyFill="1" applyBorder="1"/>
    <xf numFmtId="165" fontId="11" fillId="2" borderId="11" xfId="0" applyNumberFormat="1" applyFont="1" applyFill="1" applyBorder="1"/>
    <xf numFmtId="164" fontId="3" fillId="2" borderId="11" xfId="0" applyNumberFormat="1" applyFont="1" applyFill="1" applyBorder="1"/>
    <xf numFmtId="165" fontId="3" fillId="2" borderId="11" xfId="0" applyNumberFormat="1" applyFont="1" applyFill="1" applyBorder="1"/>
    <xf numFmtId="165" fontId="11" fillId="2" borderId="1" xfId="0" applyNumberFormat="1" applyFont="1" applyFill="1" applyBorder="1"/>
    <xf numFmtId="164" fontId="3" fillId="2" borderId="10" xfId="0" applyNumberFormat="1" applyFont="1" applyFill="1" applyBorder="1"/>
    <xf numFmtId="171" fontId="3" fillId="4" borderId="1" xfId="0" applyNumberFormat="1" applyFont="1" applyFill="1" applyBorder="1"/>
    <xf numFmtId="8" fontId="3" fillId="2" borderId="1" xfId="0" applyNumberFormat="1" applyFont="1" applyFill="1" applyBorder="1" applyAlignment="1">
      <alignment horizontal="left"/>
    </xf>
    <xf numFmtId="3" fontId="3" fillId="9" borderId="5" xfId="0" applyNumberFormat="1" applyFont="1" applyFill="1" applyBorder="1"/>
    <xf numFmtId="164" fontId="3" fillId="12" borderId="1" xfId="0" applyNumberFormat="1" applyFont="1" applyFill="1" applyBorder="1"/>
    <xf numFmtId="4" fontId="1" fillId="0" borderId="0" xfId="0" applyNumberFormat="1" applyFont="1"/>
  </cellXfs>
  <cellStyles count="1">
    <cellStyle name="Normal" xfId="0" builtinId="0"/>
  </cellStyles>
  <dxfs count="15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DCF result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DCF results-style 2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CF results-style 3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Sensitivity Analysi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Sensitivity Analysis-style 2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32</xdr:row>
      <xdr:rowOff>0</xdr:rowOff>
    </xdr:from>
    <xdr:ext cx="4657725" cy="2857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75A4ACFB-8C86-4AAB-B80F-CA97833067E1}"/>
            </a:ext>
          </a:extLst>
        </xdr:cNvPr>
        <xdr:cNvSpPr txBox="1"/>
      </xdr:nvSpPr>
      <xdr:spPr>
        <a:xfrm>
          <a:off x="3206750" y="4406900"/>
          <a:ext cx="4657725" cy="285750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3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WACC</a:t>
          </a:r>
          <a:endParaRPr sz="1400"/>
        </a:p>
      </xdr:txBody>
    </xdr:sp>
    <xdr:clientData fLocksWithSheet="0"/>
  </xdr:oneCellAnchor>
  <xdr:oneCellAnchor>
    <xdr:from>
      <xdr:col>2</xdr:col>
      <xdr:colOff>0</xdr:colOff>
      <xdr:row>35</xdr:row>
      <xdr:rowOff>0</xdr:rowOff>
    </xdr:from>
    <xdr:ext cx="561975" cy="714375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78D400AC-C36E-4225-802A-6605864F128D}"/>
            </a:ext>
          </a:extLst>
        </xdr:cNvPr>
        <xdr:cNvSpPr txBox="1"/>
      </xdr:nvSpPr>
      <xdr:spPr>
        <a:xfrm>
          <a:off x="2171700" y="4826000"/>
          <a:ext cx="561975" cy="714375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</a:t>
          </a:r>
          <a:endParaRPr sz="1400"/>
        </a:p>
      </xdr:txBody>
    </xdr:sp>
    <xdr:clientData fLocksWithSheet="0"/>
  </xdr:oneCellAnchor>
  <xdr:oneCellAnchor>
    <xdr:from>
      <xdr:col>2</xdr:col>
      <xdr:colOff>180975</xdr:colOff>
      <xdr:row>29</xdr:row>
      <xdr:rowOff>76200</xdr:rowOff>
    </xdr:from>
    <xdr:ext cx="5715000" cy="36195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9BBDD1BF-4443-488F-8290-F3AF12EA1CF3}"/>
            </a:ext>
          </a:extLst>
        </xdr:cNvPr>
        <xdr:cNvSpPr txBox="1"/>
      </xdr:nvSpPr>
      <xdr:spPr>
        <a:xfrm>
          <a:off x="2352675" y="4064000"/>
          <a:ext cx="5715000" cy="361950"/>
        </a:xfrm>
        <a:prstGeom prst="rect">
          <a:avLst/>
        </a:prstGeom>
        <a:solidFill>
          <a:schemeClr val="dk2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SENSITIVITY ANALYSIS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Z1000"/>
  <sheetViews>
    <sheetView tabSelected="1" workbookViewId="0">
      <selection activeCell="G21" sqref="G21"/>
    </sheetView>
  </sheetViews>
  <sheetFormatPr defaultColWidth="14.453125" defaultRowHeight="15" customHeight="1" x14ac:dyDescent="0.35"/>
  <cols>
    <col min="1" max="1" width="2" customWidth="1"/>
    <col min="2" max="2" width="33" customWidth="1"/>
    <col min="3" max="6" width="10.54296875" customWidth="1"/>
    <col min="7" max="26" width="9.08984375" customWidth="1"/>
  </cols>
  <sheetData>
    <row r="1" spans="1:26" ht="11.25" customHeight="1" x14ac:dyDescent="0.35">
      <c r="A1" s="1"/>
      <c r="B1" s="24" t="s">
        <v>126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104" t="s">
        <v>101</v>
      </c>
      <c r="C3" s="105" t="s">
        <v>127</v>
      </c>
      <c r="D3" s="106" t="s">
        <v>128</v>
      </c>
      <c r="E3" s="106" t="s">
        <v>129</v>
      </c>
      <c r="F3" s="107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130</v>
      </c>
      <c r="C4" s="1">
        <v>57048.97</v>
      </c>
      <c r="D4" s="17">
        <v>82645.960000000006</v>
      </c>
      <c r="E4" s="17">
        <v>112473.9</v>
      </c>
      <c r="F4" s="17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131</v>
      </c>
      <c r="C5" s="1">
        <v>4148.8</v>
      </c>
      <c r="D5" s="17">
        <v>4498.57</v>
      </c>
      <c r="E5" s="17">
        <v>3869.59</v>
      </c>
      <c r="F5" s="17"/>
      <c r="G5" s="1"/>
      <c r="H5" s="1"/>
      <c r="I5" s="1"/>
      <c r="J5" s="108"/>
      <c r="K5" s="108"/>
      <c r="L5" s="108"/>
      <c r="M5" s="10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09" t="s">
        <v>132</v>
      </c>
      <c r="C6" s="109">
        <f t="shared" ref="C6:E6" si="0">SUM(C4:C5)</f>
        <v>61197.770000000004</v>
      </c>
      <c r="D6" s="110">
        <f t="shared" si="0"/>
        <v>87144.53</v>
      </c>
      <c r="E6" s="110">
        <f t="shared" si="0"/>
        <v>116343.48999999999</v>
      </c>
      <c r="F6" s="11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133</v>
      </c>
      <c r="C7" s="1">
        <v>-22680.46</v>
      </c>
      <c r="D7" s="17">
        <v>-33808.730000000003</v>
      </c>
      <c r="E7" s="17">
        <v>-46041.99</v>
      </c>
      <c r="F7" s="17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134</v>
      </c>
      <c r="C8" s="1">
        <v>-20688.13</v>
      </c>
      <c r="D8" s="17">
        <v>-23348.44</v>
      </c>
      <c r="E8" s="17">
        <v>-33510.589999999997</v>
      </c>
      <c r="F8" s="17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135</v>
      </c>
      <c r="C9" s="1">
        <f t="shared" ref="C9:E9" si="1">SUM(C7:C8)</f>
        <v>-43368.59</v>
      </c>
      <c r="D9" s="17">
        <f t="shared" si="1"/>
        <v>-57157.17</v>
      </c>
      <c r="E9" s="17">
        <f t="shared" si="1"/>
        <v>-79552.579999999987</v>
      </c>
      <c r="F9" s="17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136</v>
      </c>
      <c r="C10" s="1">
        <f t="shared" ref="C10:E10" si="2">SUM(C9,C6)</f>
        <v>17829.180000000008</v>
      </c>
      <c r="D10" s="17">
        <f t="shared" si="2"/>
        <v>29987.360000000001</v>
      </c>
      <c r="E10" s="17">
        <f t="shared" si="2"/>
        <v>36790.910000000003</v>
      </c>
      <c r="F10" s="17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137</v>
      </c>
      <c r="C11" s="1">
        <f t="shared" ref="C11:E11" si="3">C10/C6</f>
        <v>0.2913370863023278</v>
      </c>
      <c r="D11" s="17">
        <f t="shared" si="3"/>
        <v>0.34411064010558096</v>
      </c>
      <c r="E11" s="17">
        <f t="shared" si="3"/>
        <v>0.31622663201868884</v>
      </c>
      <c r="F11" s="17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/>
      <c r="C12" s="1"/>
      <c r="D12" s="17"/>
      <c r="E12" s="17"/>
      <c r="F12" s="1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138</v>
      </c>
      <c r="C13" s="1">
        <v>-20050.73</v>
      </c>
      <c r="D13" s="17">
        <v>-25011.599999999999</v>
      </c>
      <c r="E13" s="17">
        <v>-18507.990000000002</v>
      </c>
      <c r="F13" s="1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09" t="s">
        <v>139</v>
      </c>
      <c r="C14" s="109">
        <v>-13055.63</v>
      </c>
      <c r="D14" s="110">
        <v>-16936.240000000002</v>
      </c>
      <c r="E14" s="110">
        <v>-16371.75</v>
      </c>
      <c r="F14" s="11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140</v>
      </c>
      <c r="C15" s="1">
        <v>-17084.900000000001</v>
      </c>
      <c r="D15" s="17">
        <v>-21298.2</v>
      </c>
      <c r="E15" s="17">
        <v>-20121.64</v>
      </c>
      <c r="F15" s="1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125</v>
      </c>
      <c r="C16" s="1">
        <f t="shared" ref="C16:E16" si="4">C10+SUM(C13:C15)</f>
        <v>-32362.079999999994</v>
      </c>
      <c r="D16" s="17">
        <f t="shared" si="4"/>
        <v>-33258.679999999993</v>
      </c>
      <c r="E16" s="17">
        <f t="shared" si="4"/>
        <v>-18210.47</v>
      </c>
      <c r="F16" s="17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/>
      <c r="C17" s="1"/>
      <c r="D17" s="17"/>
      <c r="E17" s="17"/>
      <c r="F17" s="17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09" t="s">
        <v>141</v>
      </c>
      <c r="C18" s="109">
        <v>-1700.3</v>
      </c>
      <c r="D18" s="110">
        <v>-2857.85</v>
      </c>
      <c r="E18" s="110">
        <v>-4205.8500000000004</v>
      </c>
      <c r="F18" s="11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142</v>
      </c>
      <c r="C19" s="1">
        <v>-483.76</v>
      </c>
      <c r="D19" s="17">
        <v>-581.91999999999996</v>
      </c>
      <c r="E19" s="17">
        <v>-714.03</v>
      </c>
      <c r="F19" s="17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143</v>
      </c>
      <c r="C20" s="1">
        <v>-10.16</v>
      </c>
      <c r="D20" s="17">
        <v>-1.03</v>
      </c>
      <c r="E20" s="17">
        <v>-66.14</v>
      </c>
      <c r="F20" s="1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144</v>
      </c>
      <c r="C21" s="1">
        <v>-1732.04</v>
      </c>
      <c r="D21" s="17">
        <v>-92.56</v>
      </c>
      <c r="E21" s="17">
        <v>-305.94</v>
      </c>
      <c r="F21" s="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145</v>
      </c>
      <c r="C22" s="1">
        <f t="shared" ref="C22:E22" si="5">SUM(C16,C18:C21)</f>
        <v>-36288.340000000004</v>
      </c>
      <c r="D22" s="17">
        <f t="shared" si="5"/>
        <v>-36792.039999999986</v>
      </c>
      <c r="E22" s="17">
        <f t="shared" si="5"/>
        <v>-23502.429999999997</v>
      </c>
      <c r="F22" s="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09"/>
      <c r="C23" s="109"/>
      <c r="D23" s="110"/>
      <c r="E23" s="110"/>
      <c r="F23" s="11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 t="s">
        <v>146</v>
      </c>
      <c r="C24" s="1">
        <v>0</v>
      </c>
      <c r="D24" s="17">
        <v>0</v>
      </c>
      <c r="E24" s="17">
        <v>0</v>
      </c>
      <c r="F24" s="17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147</v>
      </c>
      <c r="C25" s="1">
        <f t="shared" ref="C25:E25" si="6">C22+C24</f>
        <v>-36288.340000000004</v>
      </c>
      <c r="D25" s="17">
        <f t="shared" si="6"/>
        <v>-36792.039999999986</v>
      </c>
      <c r="E25" s="17">
        <f t="shared" si="6"/>
        <v>-23502.429999999997</v>
      </c>
      <c r="F25" s="1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 t="s">
        <v>148</v>
      </c>
      <c r="C26" s="1">
        <f t="shared" ref="C26:E26" si="7">C25/C4</f>
        <v>-0.6360910635196394</v>
      </c>
      <c r="D26" s="17">
        <f t="shared" si="7"/>
        <v>-0.44517650953537213</v>
      </c>
      <c r="E26" s="17">
        <f t="shared" si="7"/>
        <v>-0.20895896736931854</v>
      </c>
      <c r="F26" s="1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11"/>
      <c r="C27" s="111"/>
      <c r="D27" s="112"/>
      <c r="E27" s="112"/>
      <c r="F27" s="1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69</v>
      </c>
      <c r="C28" s="1">
        <f t="shared" ref="C28:E28" si="8">C30+C18</f>
        <v>-34062.379999999997</v>
      </c>
      <c r="D28" s="1">
        <f t="shared" si="8"/>
        <v>-36116.529999999992</v>
      </c>
      <c r="E28" s="1">
        <f t="shared" si="8"/>
        <v>-22416.32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149</v>
      </c>
      <c r="C29" s="1">
        <f t="shared" ref="C29:E29" si="9">C28/C4</f>
        <v>-0.5970726552994734</v>
      </c>
      <c r="D29" s="1">
        <f t="shared" si="9"/>
        <v>-0.43700297026013113</v>
      </c>
      <c r="E29" s="1">
        <f t="shared" si="9"/>
        <v>-0.19930241593827547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 t="s">
        <v>125</v>
      </c>
      <c r="C30" s="1">
        <f t="shared" ref="C30:E30" si="10">C16</f>
        <v>-32362.079999999994</v>
      </c>
      <c r="D30" s="1">
        <f t="shared" si="10"/>
        <v>-33258.679999999993</v>
      </c>
      <c r="E30" s="1">
        <f t="shared" si="10"/>
        <v>-18210.47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149</v>
      </c>
      <c r="C31" s="1">
        <f t="shared" ref="C31:E31" si="11">C30/C4</f>
        <v>-0.56726843622242429</v>
      </c>
      <c r="D31" s="1">
        <f t="shared" si="11"/>
        <v>-0.40242354254218826</v>
      </c>
      <c r="E31" s="1">
        <f t="shared" si="11"/>
        <v>-0.16190840719491367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Z1000"/>
  <sheetViews>
    <sheetView topLeftCell="C7" zoomScale="130" zoomScaleNormal="130" workbookViewId="0">
      <selection activeCell="G23" sqref="G23"/>
    </sheetView>
  </sheetViews>
  <sheetFormatPr defaultColWidth="14.453125" defaultRowHeight="15" customHeight="1" x14ac:dyDescent="0.35"/>
  <cols>
    <col min="1" max="1" width="2" customWidth="1"/>
    <col min="2" max="2" width="36.26953125" customWidth="1"/>
    <col min="3" max="4" width="9.54296875" customWidth="1"/>
    <col min="5" max="5" width="10" customWidth="1"/>
    <col min="6" max="6" width="9.08984375" customWidth="1"/>
    <col min="7" max="7" width="33.08984375" customWidth="1"/>
    <col min="8" max="9" width="9.54296875" customWidth="1"/>
    <col min="10" max="10" width="10.81640625" customWidth="1"/>
    <col min="11" max="26" width="9.08984375" customWidth="1"/>
  </cols>
  <sheetData>
    <row r="1" spans="1:26" ht="11.25" customHeight="1" x14ac:dyDescent="0.35">
      <c r="A1" s="1"/>
      <c r="B1" s="24" t="s">
        <v>150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104" t="s">
        <v>33</v>
      </c>
      <c r="C3" s="107" t="s">
        <v>151</v>
      </c>
      <c r="D3" s="107" t="s">
        <v>152</v>
      </c>
      <c r="E3" s="107" t="s">
        <v>153</v>
      </c>
      <c r="F3" s="1"/>
      <c r="G3" s="104" t="s">
        <v>154</v>
      </c>
      <c r="H3" s="107" t="s">
        <v>151</v>
      </c>
      <c r="I3" s="107" t="s">
        <v>152</v>
      </c>
      <c r="J3" s="107" t="s">
        <v>155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156</v>
      </c>
      <c r="C4" s="17"/>
      <c r="D4" s="17"/>
      <c r="E4" s="17"/>
      <c r="F4" s="17"/>
      <c r="G4" s="17" t="s">
        <v>157</v>
      </c>
      <c r="H4" s="17"/>
      <c r="I4" s="17"/>
      <c r="J4" s="1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158</v>
      </c>
      <c r="C5" s="17"/>
      <c r="D5" s="17"/>
      <c r="E5" s="17"/>
      <c r="F5" s="17"/>
      <c r="G5" s="17" t="s">
        <v>159</v>
      </c>
      <c r="H5" s="17"/>
      <c r="I5" s="17"/>
      <c r="J5" s="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160</v>
      </c>
      <c r="C6" s="1">
        <v>3116</v>
      </c>
      <c r="D6" s="1">
        <v>3137.49</v>
      </c>
      <c r="E6" s="17">
        <v>4527.8500000000004</v>
      </c>
      <c r="F6" s="17"/>
      <c r="G6" s="17" t="s">
        <v>161</v>
      </c>
      <c r="H6" s="17">
        <v>8.56</v>
      </c>
      <c r="I6" s="17">
        <v>26.57</v>
      </c>
      <c r="J6" s="17">
        <v>30.06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162</v>
      </c>
      <c r="C7" s="1">
        <v>4622</v>
      </c>
      <c r="D7" s="1">
        <v>5458.25</v>
      </c>
      <c r="E7" s="17">
        <v>5877.99</v>
      </c>
      <c r="F7" s="17"/>
      <c r="G7" s="17" t="s">
        <v>163</v>
      </c>
      <c r="H7" s="17">
        <v>0</v>
      </c>
      <c r="I7" s="17">
        <v>0</v>
      </c>
      <c r="J7" s="17"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11" t="s">
        <v>164</v>
      </c>
      <c r="C8" s="113">
        <v>109.15</v>
      </c>
      <c r="D8" s="111">
        <v>3257.74</v>
      </c>
      <c r="E8" s="112">
        <v>6964.67</v>
      </c>
      <c r="F8" s="17"/>
      <c r="G8" s="112" t="s">
        <v>165</v>
      </c>
      <c r="H8" s="114">
        <v>155625.42000000001</v>
      </c>
      <c r="I8" s="112">
        <v>155625.42000000001</v>
      </c>
      <c r="J8" s="112">
        <v>155732.64000000001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166</v>
      </c>
      <c r="C9" s="1">
        <v>163</v>
      </c>
      <c r="D9" s="1">
        <v>3197.38</v>
      </c>
      <c r="E9" s="17">
        <v>3043.11</v>
      </c>
      <c r="F9" s="17"/>
      <c r="G9" s="17" t="s">
        <v>167</v>
      </c>
      <c r="H9" s="1">
        <v>-32964.18</v>
      </c>
      <c r="I9" s="1">
        <v>-65085.87</v>
      </c>
      <c r="J9" s="1">
        <v>-77848.09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168</v>
      </c>
      <c r="C10" s="1">
        <v>0</v>
      </c>
      <c r="D10" s="1">
        <v>669.72</v>
      </c>
      <c r="E10" s="17">
        <v>603.58000000000004</v>
      </c>
      <c r="F10" s="17"/>
      <c r="G10" s="17" t="s">
        <v>169</v>
      </c>
      <c r="H10" s="1">
        <f t="shared" ref="H10:J10" si="0">SUM(H6:H9)</f>
        <v>122669.80000000002</v>
      </c>
      <c r="I10" s="1">
        <f t="shared" si="0"/>
        <v>90566.120000000024</v>
      </c>
      <c r="J10" s="1">
        <f t="shared" si="0"/>
        <v>77914.610000000015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170</v>
      </c>
      <c r="C11" s="1">
        <v>12800.19</v>
      </c>
      <c r="D11" s="1">
        <v>16164.02</v>
      </c>
      <c r="E11" s="17">
        <v>13822.84</v>
      </c>
      <c r="F11" s="17"/>
      <c r="G11" s="17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171</v>
      </c>
      <c r="C12" s="1">
        <v>573.01</v>
      </c>
      <c r="D12" s="1">
        <v>805.45</v>
      </c>
      <c r="E12" s="17">
        <v>948.89</v>
      </c>
      <c r="F12" s="17"/>
      <c r="G12" s="17" t="s">
        <v>172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173</v>
      </c>
      <c r="C13" s="108">
        <v>1091.68</v>
      </c>
      <c r="D13" s="1">
        <v>1574.51</v>
      </c>
      <c r="E13" s="17">
        <v>1603.01</v>
      </c>
      <c r="F13" s="17"/>
      <c r="G13" s="17" t="s">
        <v>174</v>
      </c>
      <c r="H13" s="1">
        <v>0</v>
      </c>
      <c r="I13" s="1">
        <v>0</v>
      </c>
      <c r="J13" s="1">
        <v>959.77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175</v>
      </c>
      <c r="C14" s="1">
        <v>246.36</v>
      </c>
      <c r="D14" s="1">
        <v>314.92</v>
      </c>
      <c r="E14" s="17">
        <v>535.99</v>
      </c>
      <c r="F14" s="17"/>
      <c r="G14" s="17" t="s">
        <v>176</v>
      </c>
      <c r="H14" s="1">
        <v>4086.67</v>
      </c>
      <c r="I14" s="1">
        <v>4445.7700000000004</v>
      </c>
      <c r="J14" s="1">
        <v>4670.59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11" t="s">
        <v>177</v>
      </c>
      <c r="C15" s="113"/>
      <c r="D15" s="111">
        <f t="shared" ref="D15:E15" si="1">SUM(D6:D14)</f>
        <v>34579.479999999996</v>
      </c>
      <c r="E15" s="112">
        <f t="shared" si="1"/>
        <v>37927.930000000008</v>
      </c>
      <c r="F15" s="17"/>
      <c r="G15" s="17" t="s">
        <v>178</v>
      </c>
      <c r="H15" s="1">
        <v>185.9</v>
      </c>
      <c r="I15" s="1">
        <v>374.37</v>
      </c>
      <c r="J15" s="1">
        <v>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179</v>
      </c>
      <c r="C16" s="1"/>
      <c r="D16" s="1"/>
      <c r="E16" s="17"/>
      <c r="F16" s="17"/>
      <c r="G16" s="17" t="s">
        <v>180</v>
      </c>
      <c r="H16" s="1">
        <v>0</v>
      </c>
      <c r="I16" s="1">
        <v>0</v>
      </c>
      <c r="J16" s="1">
        <v>290.12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181</v>
      </c>
      <c r="C17" s="108">
        <v>177.4</v>
      </c>
      <c r="D17" s="108">
        <v>106.41</v>
      </c>
      <c r="E17" s="108">
        <v>486.9</v>
      </c>
      <c r="F17" s="17"/>
      <c r="G17" s="115" t="s">
        <v>182</v>
      </c>
      <c r="H17" s="1">
        <v>277.2</v>
      </c>
      <c r="I17" s="8">
        <v>384.94</v>
      </c>
      <c r="J17" s="8">
        <v>391.1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" t="s">
        <v>170</v>
      </c>
      <c r="C18" s="1">
        <v>90679.83</v>
      </c>
      <c r="D18" s="1">
        <v>48571.519999999997</v>
      </c>
      <c r="E18" s="17">
        <v>37284.699999999997</v>
      </c>
      <c r="F18" s="17"/>
      <c r="G18" s="17" t="s">
        <v>183</v>
      </c>
      <c r="H18" s="1">
        <f t="shared" ref="H18:J18" si="2">(SUM(H13:H17))</f>
        <v>4549.7699999999995</v>
      </c>
      <c r="I18" s="1">
        <f t="shared" si="2"/>
        <v>5205.08</v>
      </c>
      <c r="J18" s="1">
        <f t="shared" si="2"/>
        <v>6311.5800000000008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8" t="s">
        <v>78</v>
      </c>
      <c r="C19" s="1">
        <v>11119.32</v>
      </c>
      <c r="D19" s="8">
        <v>10623.49</v>
      </c>
      <c r="E19" s="115">
        <v>9638.5</v>
      </c>
      <c r="F19" s="17"/>
      <c r="G19" s="112" t="s">
        <v>184</v>
      </c>
      <c r="H19" s="113"/>
      <c r="I19" s="111"/>
      <c r="J19" s="11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185</v>
      </c>
      <c r="C20" s="1">
        <v>10961.31</v>
      </c>
      <c r="D20" s="1">
        <v>8325.2099999999991</v>
      </c>
      <c r="E20" s="1">
        <v>8870.51</v>
      </c>
      <c r="F20" s="1"/>
      <c r="G20" s="1" t="s">
        <v>174</v>
      </c>
      <c r="H20" s="1">
        <v>0</v>
      </c>
      <c r="I20" s="1">
        <v>0</v>
      </c>
      <c r="J20" s="1">
        <v>1152.0899999999999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186</v>
      </c>
      <c r="C21" s="1">
        <v>77.099999999999994</v>
      </c>
      <c r="D21" s="1">
        <v>313.97000000000003</v>
      </c>
      <c r="E21" s="1">
        <v>38</v>
      </c>
      <c r="F21" s="1"/>
      <c r="G21" s="1" t="s">
        <v>176</v>
      </c>
      <c r="H21" s="1">
        <v>995.43</v>
      </c>
      <c r="I21" s="1">
        <v>1550.23</v>
      </c>
      <c r="J21" s="1">
        <v>1859.45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171</v>
      </c>
      <c r="C22" s="1">
        <v>3198.51</v>
      </c>
      <c r="D22" s="1">
        <v>6518.66</v>
      </c>
      <c r="E22" s="1">
        <v>8268</v>
      </c>
      <c r="F22" s="1"/>
      <c r="G22" s="1" t="s">
        <v>187</v>
      </c>
      <c r="H22" s="1">
        <v>9561.42</v>
      </c>
      <c r="I22" s="1">
        <v>8731.74</v>
      </c>
      <c r="J22" s="1">
        <v>8808.98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 t="s">
        <v>175</v>
      </c>
      <c r="C23" s="1">
        <v>5122.51</v>
      </c>
      <c r="D23" s="1">
        <v>3767.71</v>
      </c>
      <c r="E23" s="1">
        <v>2779.67</v>
      </c>
      <c r="F23" s="1"/>
      <c r="G23" s="1" t="s">
        <v>178</v>
      </c>
      <c r="H23" s="1">
        <v>3826.63</v>
      </c>
      <c r="I23" s="1">
        <v>3916.56</v>
      </c>
      <c r="J23" s="1">
        <v>6394.16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16" t="s">
        <v>188</v>
      </c>
      <c r="C24" s="116">
        <f t="shared" ref="C24:E24" si="3">SUM(C17:C23)</f>
        <v>121335.97999999998</v>
      </c>
      <c r="D24" s="116">
        <f t="shared" si="3"/>
        <v>78226.970000000016</v>
      </c>
      <c r="E24" s="116">
        <f t="shared" si="3"/>
        <v>67366.28</v>
      </c>
      <c r="F24" s="1"/>
      <c r="G24" s="1" t="s">
        <v>180</v>
      </c>
      <c r="H24" s="1">
        <v>226.86</v>
      </c>
      <c r="I24" s="1">
        <v>350.41</v>
      </c>
      <c r="J24" s="1">
        <v>209.35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189</v>
      </c>
      <c r="C25" s="1">
        <f t="shared" ref="C25:E25" si="4">SUM(C24,C15)</f>
        <v>121335.97999999998</v>
      </c>
      <c r="D25" s="1">
        <f t="shared" si="4"/>
        <v>112806.45000000001</v>
      </c>
      <c r="E25" s="1">
        <f t="shared" si="4"/>
        <v>105294.21</v>
      </c>
      <c r="F25" s="1"/>
      <c r="G25" s="1" t="s">
        <v>190</v>
      </c>
      <c r="H25" s="1">
        <v>1622.2</v>
      </c>
      <c r="I25" s="1">
        <v>1666.94</v>
      </c>
      <c r="J25" s="1">
        <v>1856.74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 t="s">
        <v>182</v>
      </c>
      <c r="H26" s="1">
        <v>605.24999999997783</v>
      </c>
      <c r="I26" s="1">
        <v>819.37</v>
      </c>
      <c r="J26" s="1">
        <v>787.25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 t="s">
        <v>191</v>
      </c>
      <c r="H27" s="1">
        <f t="shared" ref="H27:J27" si="5">SUM(H20:H26)</f>
        <v>16837.789999999979</v>
      </c>
      <c r="I27" s="1">
        <f t="shared" si="5"/>
        <v>17035.25</v>
      </c>
      <c r="J27" s="1">
        <f t="shared" si="5"/>
        <v>21068.02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 t="s">
        <v>192</v>
      </c>
      <c r="H28" s="1">
        <f t="shared" ref="H28:J28" si="6">SUM(H27,H18)</f>
        <v>21387.559999999979</v>
      </c>
      <c r="I28" s="1">
        <f t="shared" si="6"/>
        <v>22240.33</v>
      </c>
      <c r="J28" s="1">
        <f t="shared" si="6"/>
        <v>27379.600000000002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 t="s">
        <v>193</v>
      </c>
      <c r="H29" s="1">
        <f t="shared" ref="H29:J29" si="7">H10+H28</f>
        <v>144057.35999999999</v>
      </c>
      <c r="I29" s="1">
        <f t="shared" si="7"/>
        <v>112806.45000000003</v>
      </c>
      <c r="J29" s="1">
        <f t="shared" si="7"/>
        <v>105294.21000000002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>
      <pane ySplit="7" topLeftCell="A8" activePane="bottomLeft" state="frozen"/>
      <selection pane="bottomLeft" activeCell="F8" sqref="F8"/>
    </sheetView>
  </sheetViews>
  <sheetFormatPr defaultColWidth="14.453125" defaultRowHeight="15" customHeight="1" x14ac:dyDescent="0.35"/>
  <cols>
    <col min="1" max="1" width="2" customWidth="1"/>
    <col min="2" max="2" width="21.81640625" customWidth="1"/>
    <col min="3" max="3" width="10.54296875" customWidth="1"/>
    <col min="4" max="5" width="9.08984375" customWidth="1"/>
    <col min="6" max="6" width="13.54296875" customWidth="1"/>
    <col min="7" max="11" width="12.54296875" customWidth="1"/>
    <col min="12" max="15" width="13.54296875" customWidth="1"/>
    <col min="16" max="26" width="9.08984375" customWidth="1"/>
  </cols>
  <sheetData>
    <row r="1" spans="1:26" ht="16.5" customHeight="1" x14ac:dyDescent="0.4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9.5" customHeight="1" x14ac:dyDescent="0.6">
      <c r="A2" s="1"/>
      <c r="B2" s="3"/>
      <c r="C2" s="1"/>
      <c r="D2" s="1"/>
      <c r="E2" s="1"/>
      <c r="F2" s="4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5" customHeight="1" x14ac:dyDescent="0.4">
      <c r="A3" s="1"/>
      <c r="B3" s="5" t="s">
        <v>2</v>
      </c>
      <c r="C3" s="6">
        <v>1</v>
      </c>
      <c r="D3" s="1"/>
      <c r="E3" s="1"/>
      <c r="F3" s="7" t="s">
        <v>3</v>
      </c>
      <c r="G3" s="8" t="s">
        <v>4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0.5" customHeight="1" x14ac:dyDescent="0.4">
      <c r="A4" s="1"/>
      <c r="B4" s="5"/>
      <c r="C4" s="9">
        <v>3</v>
      </c>
      <c r="D4" s="1"/>
      <c r="E4" s="1"/>
      <c r="F4" s="7" t="s">
        <v>5</v>
      </c>
      <c r="G4" s="8" t="s">
        <v>6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4">
      <c r="A5" s="1"/>
      <c r="B5" s="5"/>
      <c r="C5" s="9"/>
      <c r="D5" s="1"/>
      <c r="E5" s="1"/>
      <c r="F5" s="7" t="s">
        <v>7</v>
      </c>
      <c r="G5" s="8" t="s">
        <v>8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0" t="s">
        <v>9</v>
      </c>
      <c r="C7" s="11" t="s">
        <v>10</v>
      </c>
      <c r="D7" s="11" t="s">
        <v>11</v>
      </c>
      <c r="E7" s="11" t="s">
        <v>12</v>
      </c>
      <c r="F7" s="12" t="s">
        <v>13</v>
      </c>
      <c r="G7" s="12" t="s">
        <v>14</v>
      </c>
      <c r="H7" s="12" t="s">
        <v>15</v>
      </c>
      <c r="I7" s="12" t="s">
        <v>16</v>
      </c>
      <c r="J7" s="12" t="s">
        <v>17</v>
      </c>
      <c r="K7" s="12" t="s">
        <v>18</v>
      </c>
      <c r="L7" s="12" t="s">
        <v>19</v>
      </c>
      <c r="M7" s="12" t="s">
        <v>20</v>
      </c>
      <c r="N7" s="12" t="s">
        <v>21</v>
      </c>
      <c r="O7" s="12" t="s">
        <v>22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8" t="s">
        <v>23</v>
      </c>
      <c r="C8" s="13">
        <f>'P&amp;L source'!C4</f>
        <v>57048.97</v>
      </c>
      <c r="D8" s="13">
        <f>'P&amp;L source'!D4</f>
        <v>82645.960000000006</v>
      </c>
      <c r="E8" s="13">
        <f>'P&amp;L source'!E4</f>
        <v>112473.9</v>
      </c>
      <c r="F8" s="14">
        <f>E8*(1+F9)</f>
        <v>162939.19838419519</v>
      </c>
      <c r="G8" s="14">
        <f t="shared" ref="G8:O8" si="0">F8*(1+G9)</f>
        <v>236047.49519741128</v>
      </c>
      <c r="H8" s="14">
        <f t="shared" si="0"/>
        <v>341958.3534318927</v>
      </c>
      <c r="I8" s="14">
        <f t="shared" si="0"/>
        <v>495389.77477416449</v>
      </c>
      <c r="J8" s="14">
        <f t="shared" si="0"/>
        <v>717663.50050482259</v>
      </c>
      <c r="K8" s="14">
        <f t="shared" si="0"/>
        <v>1039668.0072608067</v>
      </c>
      <c r="L8" s="14">
        <f t="shared" si="0"/>
        <v>1506150.9531435247</v>
      </c>
      <c r="M8" s="14">
        <f t="shared" si="0"/>
        <v>2181937.5779696219</v>
      </c>
      <c r="N8" s="14">
        <f t="shared" si="0"/>
        <v>3160939.2034838535</v>
      </c>
      <c r="O8" s="14">
        <f t="shared" si="0"/>
        <v>4579203.7082099542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24</v>
      </c>
      <c r="C9" s="1"/>
      <c r="D9" s="15">
        <f t="shared" ref="D9:E9" si="1">D8/C8-1</f>
        <v>0.44868452489150989</v>
      </c>
      <c r="E9" s="15">
        <f t="shared" si="1"/>
        <v>0.36091225753805745</v>
      </c>
      <c r="F9" s="16">
        <f>CHOOSE($C$3,F10,F11,F12)</f>
        <v>0.44868452489150989</v>
      </c>
      <c r="G9" s="16">
        <f t="shared" ref="G9:O9" si="2">CHOOSE($C$3,G10,G11,G12)</f>
        <v>0.44868452489150989</v>
      </c>
      <c r="H9" s="16">
        <f t="shared" si="2"/>
        <v>0.44868452489150989</v>
      </c>
      <c r="I9" s="16">
        <f t="shared" si="2"/>
        <v>0.44868452489150989</v>
      </c>
      <c r="J9" s="16">
        <f t="shared" si="2"/>
        <v>0.44868452489150989</v>
      </c>
      <c r="K9" s="16">
        <f t="shared" si="2"/>
        <v>0.44868452489150989</v>
      </c>
      <c r="L9" s="16">
        <f t="shared" si="2"/>
        <v>0.44868452489150989</v>
      </c>
      <c r="M9" s="16">
        <f t="shared" si="2"/>
        <v>0.44868452489150989</v>
      </c>
      <c r="N9" s="16">
        <f t="shared" si="2"/>
        <v>0.44868452489150989</v>
      </c>
      <c r="O9" s="16">
        <f t="shared" si="2"/>
        <v>0.44868452489150989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3</v>
      </c>
      <c r="C10" s="1"/>
      <c r="D10" s="1"/>
      <c r="E10" s="1"/>
      <c r="F10" s="16">
        <v>0.44868452489150989</v>
      </c>
      <c r="G10" s="16">
        <v>0.44868452489150989</v>
      </c>
      <c r="H10" s="16">
        <v>0.44868452489150989</v>
      </c>
      <c r="I10" s="16">
        <v>0.44868452489150989</v>
      </c>
      <c r="J10" s="16">
        <v>0.44868452489150989</v>
      </c>
      <c r="K10" s="16">
        <v>0.44868452489150989</v>
      </c>
      <c r="L10" s="16">
        <v>0.44868452489150989</v>
      </c>
      <c r="M10" s="16">
        <v>0.44868452489150989</v>
      </c>
      <c r="N10" s="16">
        <v>0.44868452489150989</v>
      </c>
      <c r="O10" s="16">
        <v>0.44868452489150989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5</v>
      </c>
      <c r="C11" s="1"/>
      <c r="D11" s="1"/>
      <c r="E11" s="1"/>
      <c r="F11" s="16">
        <v>0.4</v>
      </c>
      <c r="G11" s="16">
        <v>0.4</v>
      </c>
      <c r="H11" s="16">
        <v>0.4</v>
      </c>
      <c r="I11" s="16">
        <v>0.4</v>
      </c>
      <c r="J11" s="16">
        <v>0.4</v>
      </c>
      <c r="K11" s="16">
        <v>0.4</v>
      </c>
      <c r="L11" s="16">
        <v>0.4</v>
      </c>
      <c r="M11" s="16">
        <v>0.4</v>
      </c>
      <c r="N11" s="16">
        <v>0.4</v>
      </c>
      <c r="O11" s="16">
        <v>0.4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7</v>
      </c>
      <c r="C12" s="1"/>
      <c r="D12" s="1"/>
      <c r="E12" s="1"/>
      <c r="F12" s="16">
        <v>0.2</v>
      </c>
      <c r="G12" s="16">
        <v>0.2</v>
      </c>
      <c r="H12" s="16">
        <v>0.2</v>
      </c>
      <c r="I12" s="16">
        <v>0.2</v>
      </c>
      <c r="J12" s="16">
        <v>0.2</v>
      </c>
      <c r="K12" s="16">
        <v>0.2</v>
      </c>
      <c r="L12" s="16">
        <v>0.2</v>
      </c>
      <c r="M12" s="16">
        <v>0.2</v>
      </c>
      <c r="N12" s="16">
        <v>0.2</v>
      </c>
      <c r="O12" s="16">
        <v>0.2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25</v>
      </c>
      <c r="C13" s="17">
        <f>'P&amp;L source'!C5</f>
        <v>4148.8</v>
      </c>
      <c r="D13" s="17">
        <f>'P&amp;L source'!D5</f>
        <v>4498.57</v>
      </c>
      <c r="E13" s="17">
        <f>'P&amp;L source'!E5</f>
        <v>3869.59</v>
      </c>
      <c r="F13" s="18">
        <f t="shared" ref="F13:O13" si="3">E13*(1+F14)</f>
        <v>3869.59</v>
      </c>
      <c r="G13" s="18">
        <f t="shared" si="3"/>
        <v>3869.59</v>
      </c>
      <c r="H13" s="18">
        <f t="shared" si="3"/>
        <v>3869.59</v>
      </c>
      <c r="I13" s="18">
        <f t="shared" si="3"/>
        <v>3869.59</v>
      </c>
      <c r="J13" s="18">
        <f t="shared" si="3"/>
        <v>3869.59</v>
      </c>
      <c r="K13" s="18">
        <f t="shared" si="3"/>
        <v>3869.59</v>
      </c>
      <c r="L13" s="18">
        <f t="shared" si="3"/>
        <v>3869.59</v>
      </c>
      <c r="M13" s="18">
        <f t="shared" si="3"/>
        <v>3869.59</v>
      </c>
      <c r="N13" s="18">
        <f t="shared" si="3"/>
        <v>3869.59</v>
      </c>
      <c r="O13" s="18">
        <f t="shared" si="3"/>
        <v>3869.59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24</v>
      </c>
      <c r="C14" s="17"/>
      <c r="D14" s="19"/>
      <c r="E14" s="19"/>
      <c r="F14" s="16">
        <f t="shared" ref="F14:O14" si="4">CHOOSE($C$3,F15,F16,F17)</f>
        <v>0</v>
      </c>
      <c r="G14" s="16">
        <f t="shared" si="4"/>
        <v>0</v>
      </c>
      <c r="H14" s="16">
        <f t="shared" si="4"/>
        <v>0</v>
      </c>
      <c r="I14" s="16">
        <f t="shared" si="4"/>
        <v>0</v>
      </c>
      <c r="J14" s="16">
        <f t="shared" si="4"/>
        <v>0</v>
      </c>
      <c r="K14" s="16">
        <f t="shared" si="4"/>
        <v>0</v>
      </c>
      <c r="L14" s="16">
        <f t="shared" si="4"/>
        <v>0</v>
      </c>
      <c r="M14" s="16">
        <f t="shared" si="4"/>
        <v>0</v>
      </c>
      <c r="N14" s="16">
        <f t="shared" si="4"/>
        <v>0</v>
      </c>
      <c r="O14" s="16">
        <f t="shared" si="4"/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3</v>
      </c>
      <c r="C15" s="1"/>
      <c r="D15" s="1"/>
      <c r="E15" s="1"/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5</v>
      </c>
      <c r="C16" s="1"/>
      <c r="D16" s="1"/>
      <c r="E16" s="1"/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7</v>
      </c>
      <c r="C17" s="1"/>
      <c r="D17" s="1"/>
      <c r="E17" s="1"/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C18" s="17"/>
      <c r="D18" s="17"/>
      <c r="E18" s="17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26</v>
      </c>
      <c r="C19" s="17">
        <f>'P&amp;L source'!C7</f>
        <v>-22680.46</v>
      </c>
      <c r="D19" s="17">
        <f>'P&amp;L source'!D7</f>
        <v>-33808.730000000003</v>
      </c>
      <c r="E19" s="17">
        <f>'P&amp;L source'!E7</f>
        <v>-46041.99</v>
      </c>
      <c r="F19" s="14">
        <f t="shared" ref="F19:O19" si="5">F20*F$8</f>
        <v>-66805.071337520028</v>
      </c>
      <c r="G19" s="14">
        <f t="shared" si="5"/>
        <v>-96779.473030938621</v>
      </c>
      <c r="H19" s="14">
        <f t="shared" si="5"/>
        <v>-140202.924907076</v>
      </c>
      <c r="I19" s="14">
        <f t="shared" si="5"/>
        <v>-203109.80765740742</v>
      </c>
      <c r="J19" s="14">
        <f t="shared" si="5"/>
        <v>-294242.03520697722</v>
      </c>
      <c r="K19" s="14">
        <f t="shared" si="5"/>
        <v>-426263.88297693076</v>
      </c>
      <c r="L19" s="14">
        <f t="shared" si="5"/>
        <v>-617521.89078884514</v>
      </c>
      <c r="M19" s="14">
        <f t="shared" si="5"/>
        <v>-894594.40696754493</v>
      </c>
      <c r="N19" s="14">
        <f t="shared" si="5"/>
        <v>-1295985.0734283798</v>
      </c>
      <c r="O19" s="14">
        <f t="shared" si="5"/>
        <v>-1877473.520366081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27</v>
      </c>
      <c r="C20" s="15">
        <f t="shared" ref="C20:E20" si="6">C19/C$8</f>
        <v>-0.39756125307783818</v>
      </c>
      <c r="D20" s="15">
        <f t="shared" si="6"/>
        <v>-0.40907904028218683</v>
      </c>
      <c r="E20" s="15">
        <f t="shared" si="6"/>
        <v>-0.40935710418150345</v>
      </c>
      <c r="F20" s="16">
        <f t="shared" ref="F20:O20" si="7">CHOOSE($C$3,F21,F22,F23)</f>
        <v>-0.41</v>
      </c>
      <c r="G20" s="16">
        <f t="shared" si="7"/>
        <v>-0.41</v>
      </c>
      <c r="H20" s="16">
        <f t="shared" si="7"/>
        <v>-0.41</v>
      </c>
      <c r="I20" s="16">
        <f t="shared" si="7"/>
        <v>-0.41</v>
      </c>
      <c r="J20" s="16">
        <f t="shared" si="7"/>
        <v>-0.41</v>
      </c>
      <c r="K20" s="16">
        <f t="shared" si="7"/>
        <v>-0.41</v>
      </c>
      <c r="L20" s="16">
        <f t="shared" si="7"/>
        <v>-0.41</v>
      </c>
      <c r="M20" s="16">
        <f t="shared" si="7"/>
        <v>-0.41</v>
      </c>
      <c r="N20" s="16">
        <f t="shared" si="7"/>
        <v>-0.41</v>
      </c>
      <c r="O20" s="16">
        <f t="shared" si="7"/>
        <v>-0.41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3</v>
      </c>
      <c r="C21" s="1"/>
      <c r="D21" s="1"/>
      <c r="E21" s="1"/>
      <c r="F21" s="16">
        <v>-0.41</v>
      </c>
      <c r="G21" s="16">
        <v>-0.41</v>
      </c>
      <c r="H21" s="16">
        <v>-0.41</v>
      </c>
      <c r="I21" s="16">
        <v>-0.41</v>
      </c>
      <c r="J21" s="16">
        <v>-0.41</v>
      </c>
      <c r="K21" s="16">
        <v>-0.41</v>
      </c>
      <c r="L21" s="16">
        <v>-0.41</v>
      </c>
      <c r="M21" s="16">
        <v>-0.41</v>
      </c>
      <c r="N21" s="16">
        <v>-0.41</v>
      </c>
      <c r="O21" s="16">
        <v>-0.41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5</v>
      </c>
      <c r="C22" s="1"/>
      <c r="D22" s="1"/>
      <c r="E22" s="1"/>
      <c r="F22" s="20">
        <v>-0.40500000000000003</v>
      </c>
      <c r="G22" s="20">
        <v>-0.40500000000000003</v>
      </c>
      <c r="H22" s="20">
        <v>-0.40500000000000003</v>
      </c>
      <c r="I22" s="20">
        <v>-0.40500000000000003</v>
      </c>
      <c r="J22" s="20">
        <v>-0.40500000000000003</v>
      </c>
      <c r="K22" s="20">
        <v>-0.40500000000000003</v>
      </c>
      <c r="L22" s="20">
        <v>-0.40500000000000003</v>
      </c>
      <c r="M22" s="20">
        <v>-0.40500000000000003</v>
      </c>
      <c r="N22" s="20">
        <v>-0.40500000000000003</v>
      </c>
      <c r="O22" s="20">
        <v>-0.40500000000000003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" customHeight="1" x14ac:dyDescent="0.35">
      <c r="A23" s="1"/>
      <c r="B23" s="1" t="s">
        <v>7</v>
      </c>
      <c r="C23" s="1"/>
      <c r="D23" s="1"/>
      <c r="E23" s="1"/>
      <c r="F23" s="16">
        <v>-0.4</v>
      </c>
      <c r="G23" s="16">
        <v>-0.4</v>
      </c>
      <c r="H23" s="16">
        <v>-0.4</v>
      </c>
      <c r="I23" s="16">
        <v>-0.4</v>
      </c>
      <c r="J23" s="16">
        <v>-0.4</v>
      </c>
      <c r="K23" s="16">
        <v>-0.4</v>
      </c>
      <c r="L23" s="16">
        <v>-0.4</v>
      </c>
      <c r="M23" s="16">
        <v>-0.4</v>
      </c>
      <c r="N23" s="16">
        <v>-0.4</v>
      </c>
      <c r="O23" s="16">
        <v>-0.4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.75" customHeight="1" x14ac:dyDescent="0.35">
      <c r="A24" s="1"/>
      <c r="C24" s="17"/>
      <c r="D24" s="17"/>
      <c r="E24" s="17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" customHeight="1" x14ac:dyDescent="0.35">
      <c r="A25" s="1"/>
      <c r="B25" s="1" t="s">
        <v>28</v>
      </c>
      <c r="C25" s="17">
        <f>SUM('P&amp;L source'!C13:C15)</f>
        <v>-50191.26</v>
      </c>
      <c r="D25" s="17">
        <f>SUM('P&amp;L source'!D13:D15)</f>
        <v>-63246.039999999994</v>
      </c>
      <c r="E25" s="17">
        <f>SUM('P&amp;L source'!E13:E15)</f>
        <v>-55001.380000000005</v>
      </c>
      <c r="F25" s="14">
        <f t="shared" ref="F25:O25" si="8">F26*F$8</f>
        <v>-73322.639272887842</v>
      </c>
      <c r="G25" s="14">
        <f t="shared" si="8"/>
        <v>-106221.37283883507</v>
      </c>
      <c r="H25" s="14">
        <f t="shared" si="8"/>
        <v>-153881.25904435173</v>
      </c>
      <c r="I25" s="14">
        <f t="shared" si="8"/>
        <v>-222925.39864837402</v>
      </c>
      <c r="J25" s="14">
        <f t="shared" si="8"/>
        <v>-322948.57522717019</v>
      </c>
      <c r="K25" s="14">
        <f t="shared" si="8"/>
        <v>-467850.60326736304</v>
      </c>
      <c r="L25" s="14">
        <f t="shared" si="8"/>
        <v>-677767.92891458608</v>
      </c>
      <c r="M25" s="14">
        <f t="shared" si="8"/>
        <v>-981871.91008632991</v>
      </c>
      <c r="N25" s="14">
        <f t="shared" si="8"/>
        <v>-1422422.6415677341</v>
      </c>
      <c r="O25" s="14">
        <f t="shared" si="8"/>
        <v>-2060641.6686944794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" customHeight="1" x14ac:dyDescent="0.35">
      <c r="A26" s="1"/>
      <c r="B26" s="1" t="s">
        <v>27</v>
      </c>
      <c r="C26" s="19">
        <f t="shared" ref="C26:E26" si="9">C25/C$8</f>
        <v>-0.87979257118927823</v>
      </c>
      <c r="D26" s="19">
        <f t="shared" si="9"/>
        <v>-0.76526475099327285</v>
      </c>
      <c r="E26" s="19">
        <f t="shared" si="9"/>
        <v>-0.48901460694436671</v>
      </c>
      <c r="F26" s="16">
        <f t="shared" ref="F26:O26" si="10">CHOOSE($C$3,F27,F28,F29)</f>
        <v>-0.45</v>
      </c>
      <c r="G26" s="16">
        <f t="shared" si="10"/>
        <v>-0.45</v>
      </c>
      <c r="H26" s="16">
        <f t="shared" si="10"/>
        <v>-0.45</v>
      </c>
      <c r="I26" s="16">
        <f t="shared" si="10"/>
        <v>-0.45</v>
      </c>
      <c r="J26" s="16">
        <f t="shared" si="10"/>
        <v>-0.45</v>
      </c>
      <c r="K26" s="16">
        <f t="shared" si="10"/>
        <v>-0.45</v>
      </c>
      <c r="L26" s="16">
        <f t="shared" si="10"/>
        <v>-0.45</v>
      </c>
      <c r="M26" s="16">
        <f t="shared" si="10"/>
        <v>-0.45</v>
      </c>
      <c r="N26" s="16">
        <f t="shared" si="10"/>
        <v>-0.45</v>
      </c>
      <c r="O26" s="16">
        <f t="shared" si="10"/>
        <v>-0.45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 t="s">
        <v>3</v>
      </c>
      <c r="C27" s="1"/>
      <c r="D27" s="1"/>
      <c r="E27" s="1"/>
      <c r="F27" s="16">
        <v>-0.45</v>
      </c>
      <c r="G27" s="16">
        <v>-0.45</v>
      </c>
      <c r="H27" s="16">
        <v>-0.45</v>
      </c>
      <c r="I27" s="16">
        <v>-0.45</v>
      </c>
      <c r="J27" s="16">
        <v>-0.45</v>
      </c>
      <c r="K27" s="16">
        <v>-0.45</v>
      </c>
      <c r="L27" s="16">
        <v>-0.45</v>
      </c>
      <c r="M27" s="16">
        <v>-0.45</v>
      </c>
      <c r="N27" s="16">
        <v>-0.45</v>
      </c>
      <c r="O27" s="16">
        <v>-0.45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5</v>
      </c>
      <c r="C28" s="1"/>
      <c r="D28" s="1"/>
      <c r="E28" s="1"/>
      <c r="F28" s="16">
        <v>-0.5</v>
      </c>
      <c r="G28" s="16">
        <v>-0.5</v>
      </c>
      <c r="H28" s="16">
        <v>-0.5</v>
      </c>
      <c r="I28" s="16">
        <v>-0.5</v>
      </c>
      <c r="J28" s="16">
        <v>-0.5</v>
      </c>
      <c r="K28" s="16">
        <v>-0.5</v>
      </c>
      <c r="L28" s="16">
        <v>-0.5</v>
      </c>
      <c r="M28" s="16">
        <v>-0.5</v>
      </c>
      <c r="N28" s="16">
        <v>-0.5</v>
      </c>
      <c r="O28" s="16">
        <v>-0.5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7</v>
      </c>
      <c r="C29" s="1"/>
      <c r="D29" s="1"/>
      <c r="E29" s="1"/>
      <c r="F29" s="16">
        <v>-0.55000000000000004</v>
      </c>
      <c r="G29" s="16">
        <v>-0.55000000000000004</v>
      </c>
      <c r="H29" s="16">
        <v>-0.55000000000000004</v>
      </c>
      <c r="I29" s="16">
        <v>-0.55000000000000004</v>
      </c>
      <c r="J29" s="16">
        <v>-0.55000000000000004</v>
      </c>
      <c r="K29" s="16">
        <v>-0.55000000000000004</v>
      </c>
      <c r="L29" s="16">
        <v>-0.55000000000000004</v>
      </c>
      <c r="M29" s="16">
        <v>-0.55000000000000004</v>
      </c>
      <c r="N29" s="16">
        <v>-0.55000000000000004</v>
      </c>
      <c r="O29" s="16">
        <v>-0.55000000000000004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C30" s="17"/>
      <c r="D30" s="17"/>
      <c r="E30" s="17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29</v>
      </c>
      <c r="C31" s="17">
        <f>'P&amp;L source'!C18</f>
        <v>-1700.3</v>
      </c>
      <c r="D31" s="17">
        <f>'P&amp;L source'!D18</f>
        <v>-2857.85</v>
      </c>
      <c r="E31" s="17">
        <f>'P&amp;L source'!E18</f>
        <v>-4205.8500000000004</v>
      </c>
      <c r="F31" s="14">
        <f t="shared" ref="F31:O31" si="11">F32*F$8</f>
        <v>-3258.7839676839039</v>
      </c>
      <c r="G31" s="14">
        <f t="shared" si="11"/>
        <v>-4720.9499039482253</v>
      </c>
      <c r="H31" s="14">
        <f t="shared" si="11"/>
        <v>-6839.1670686378538</v>
      </c>
      <c r="I31" s="14">
        <f t="shared" si="11"/>
        <v>-9907.7954954832894</v>
      </c>
      <c r="J31" s="14">
        <f t="shared" si="11"/>
        <v>-14353.270010096452</v>
      </c>
      <c r="K31" s="14">
        <f t="shared" si="11"/>
        <v>-20793.360145216135</v>
      </c>
      <c r="L31" s="14">
        <f t="shared" si="11"/>
        <v>-30123.019062870495</v>
      </c>
      <c r="M31" s="14">
        <f t="shared" si="11"/>
        <v>-43638.75155939244</v>
      </c>
      <c r="N31" s="14">
        <f t="shared" si="11"/>
        <v>-63218.784069677073</v>
      </c>
      <c r="O31" s="14">
        <f t="shared" si="11"/>
        <v>-91584.07416419909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 t="s">
        <v>27</v>
      </c>
      <c r="C32" s="19">
        <f t="shared" ref="C32:E32" si="12">C31/C$8</f>
        <v>-2.9804219077049068E-2</v>
      </c>
      <c r="D32" s="19">
        <f t="shared" si="12"/>
        <v>-3.4579427717942895E-2</v>
      </c>
      <c r="E32" s="19">
        <f t="shared" si="12"/>
        <v>-3.7394008743361795E-2</v>
      </c>
      <c r="F32" s="16">
        <f t="shared" ref="F32:O32" si="13">CHOOSE($C$3,F33,F34,F35)</f>
        <v>-0.02</v>
      </c>
      <c r="G32" s="16">
        <f t="shared" si="13"/>
        <v>-0.02</v>
      </c>
      <c r="H32" s="16">
        <f t="shared" si="13"/>
        <v>-0.02</v>
      </c>
      <c r="I32" s="16">
        <f t="shared" si="13"/>
        <v>-0.02</v>
      </c>
      <c r="J32" s="16">
        <f t="shared" si="13"/>
        <v>-0.02</v>
      </c>
      <c r="K32" s="16">
        <f t="shared" si="13"/>
        <v>-0.02</v>
      </c>
      <c r="L32" s="16">
        <f t="shared" si="13"/>
        <v>-0.02</v>
      </c>
      <c r="M32" s="16">
        <f t="shared" si="13"/>
        <v>-0.02</v>
      </c>
      <c r="N32" s="16">
        <f t="shared" si="13"/>
        <v>-0.02</v>
      </c>
      <c r="O32" s="16">
        <f t="shared" si="13"/>
        <v>-0.02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 t="s">
        <v>3</v>
      </c>
      <c r="C33" s="1"/>
      <c r="D33" s="1"/>
      <c r="E33" s="1"/>
      <c r="F33" s="16">
        <v>-0.02</v>
      </c>
      <c r="G33" s="16">
        <v>-0.02</v>
      </c>
      <c r="H33" s="16">
        <v>-0.02</v>
      </c>
      <c r="I33" s="16">
        <v>-0.02</v>
      </c>
      <c r="J33" s="16">
        <v>-0.02</v>
      </c>
      <c r="K33" s="16">
        <v>-0.02</v>
      </c>
      <c r="L33" s="16">
        <v>-0.02</v>
      </c>
      <c r="M33" s="16">
        <v>-0.02</v>
      </c>
      <c r="N33" s="16">
        <v>-0.02</v>
      </c>
      <c r="O33" s="16">
        <v>-0.02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 t="s">
        <v>5</v>
      </c>
      <c r="C34" s="1"/>
      <c r="D34" s="1"/>
      <c r="E34" s="1"/>
      <c r="F34" s="16">
        <v>-0.03</v>
      </c>
      <c r="G34" s="16">
        <v>-0.03</v>
      </c>
      <c r="H34" s="16">
        <v>-0.03</v>
      </c>
      <c r="I34" s="16">
        <v>-0.03</v>
      </c>
      <c r="J34" s="16">
        <v>-0.03</v>
      </c>
      <c r="K34" s="16">
        <v>-0.03</v>
      </c>
      <c r="L34" s="16">
        <v>-0.03</v>
      </c>
      <c r="M34" s="16">
        <v>-0.03</v>
      </c>
      <c r="N34" s="16">
        <v>-0.03</v>
      </c>
      <c r="O34" s="16">
        <v>-0.03</v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 t="s">
        <v>7</v>
      </c>
      <c r="C35" s="1"/>
      <c r="D35" s="1"/>
      <c r="E35" s="1"/>
      <c r="F35" s="16">
        <v>-0.04</v>
      </c>
      <c r="G35" s="16">
        <v>-0.04</v>
      </c>
      <c r="H35" s="16">
        <v>-0.04</v>
      </c>
      <c r="I35" s="16">
        <v>-0.04</v>
      </c>
      <c r="J35" s="16">
        <v>-0.04</v>
      </c>
      <c r="K35" s="16">
        <v>-0.04</v>
      </c>
      <c r="L35" s="16">
        <v>-0.04</v>
      </c>
      <c r="M35" s="16">
        <v>-0.04</v>
      </c>
      <c r="N35" s="16">
        <v>-0.04</v>
      </c>
      <c r="O35" s="16">
        <v>-0.04</v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C36" s="17"/>
      <c r="D36" s="17"/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 t="s">
        <v>30</v>
      </c>
      <c r="C37" s="17">
        <f>'P&amp;L source'!C19</f>
        <v>-483.76</v>
      </c>
      <c r="D37" s="17">
        <f>'P&amp;L source'!D19</f>
        <v>-581.91999999999996</v>
      </c>
      <c r="E37" s="17">
        <f>'P&amp;L source'!E19</f>
        <v>-714.03</v>
      </c>
      <c r="F37" s="14">
        <f t="shared" ref="F37:O37" si="14">E37*(1+F38)</f>
        <v>-714.03</v>
      </c>
      <c r="G37" s="14">
        <f t="shared" si="14"/>
        <v>-714.03</v>
      </c>
      <c r="H37" s="14">
        <f t="shared" si="14"/>
        <v>-714.03</v>
      </c>
      <c r="I37" s="14">
        <f t="shared" si="14"/>
        <v>-714.03</v>
      </c>
      <c r="J37" s="14">
        <f t="shared" si="14"/>
        <v>-714.03</v>
      </c>
      <c r="K37" s="14">
        <f t="shared" si="14"/>
        <v>-714.03</v>
      </c>
      <c r="L37" s="14">
        <f t="shared" si="14"/>
        <v>-714.03</v>
      </c>
      <c r="M37" s="14">
        <f t="shared" si="14"/>
        <v>-714.03</v>
      </c>
      <c r="N37" s="14">
        <f t="shared" si="14"/>
        <v>-714.03</v>
      </c>
      <c r="O37" s="14">
        <f t="shared" si="14"/>
        <v>-714.03</v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 t="s">
        <v>24</v>
      </c>
      <c r="C38" s="21">
        <f t="shared" ref="C38:E38" si="15">C37/C$8</f>
        <v>-8.4797324123467958E-3</v>
      </c>
      <c r="D38" s="21">
        <f t="shared" si="15"/>
        <v>-7.0411185253338449E-3</v>
      </c>
      <c r="E38" s="21">
        <f t="shared" si="15"/>
        <v>-6.3484061635632801E-3</v>
      </c>
      <c r="F38" s="16">
        <f t="shared" ref="F38:O38" si="16">CHOOSE($C$3,F39,F40,F41)</f>
        <v>0</v>
      </c>
      <c r="G38" s="16">
        <f t="shared" si="16"/>
        <v>0</v>
      </c>
      <c r="H38" s="16">
        <f t="shared" si="16"/>
        <v>0</v>
      </c>
      <c r="I38" s="16">
        <f t="shared" si="16"/>
        <v>0</v>
      </c>
      <c r="J38" s="16">
        <f t="shared" si="16"/>
        <v>0</v>
      </c>
      <c r="K38" s="16">
        <f t="shared" si="16"/>
        <v>0</v>
      </c>
      <c r="L38" s="16">
        <f t="shared" si="16"/>
        <v>0</v>
      </c>
      <c r="M38" s="16">
        <f t="shared" si="16"/>
        <v>0</v>
      </c>
      <c r="N38" s="16">
        <f t="shared" si="16"/>
        <v>0</v>
      </c>
      <c r="O38" s="16">
        <f t="shared" si="16"/>
        <v>0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 t="s">
        <v>3</v>
      </c>
      <c r="C39" s="1"/>
      <c r="D39" s="1"/>
      <c r="E39" s="1"/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 t="s">
        <v>5</v>
      </c>
      <c r="C40" s="1"/>
      <c r="D40" s="1"/>
      <c r="E40" s="1"/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 t="s">
        <v>7</v>
      </c>
      <c r="C41" s="1"/>
      <c r="D41" s="1"/>
      <c r="E41" s="1"/>
      <c r="F41" s="16">
        <v>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C42" s="17"/>
      <c r="D42" s="17"/>
      <c r="E42" s="17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 t="s">
        <v>31</v>
      </c>
      <c r="C43" s="17">
        <f>'P&amp;L source'!C21</f>
        <v>-1732.04</v>
      </c>
      <c r="D43" s="17">
        <f>'P&amp;L source'!D21</f>
        <v>-92.56</v>
      </c>
      <c r="E43" s="17">
        <f>'P&amp;L source'!E21</f>
        <v>-305.94</v>
      </c>
      <c r="F43" s="14">
        <f t="shared" ref="F43:O43" si="17">F44*F$8</f>
        <v>0</v>
      </c>
      <c r="G43" s="14">
        <f t="shared" si="17"/>
        <v>0</v>
      </c>
      <c r="H43" s="14">
        <f t="shared" si="17"/>
        <v>0</v>
      </c>
      <c r="I43" s="14">
        <f t="shared" si="17"/>
        <v>0</v>
      </c>
      <c r="J43" s="14">
        <f t="shared" si="17"/>
        <v>0</v>
      </c>
      <c r="K43" s="14">
        <f t="shared" si="17"/>
        <v>0</v>
      </c>
      <c r="L43" s="14">
        <f t="shared" si="17"/>
        <v>0</v>
      </c>
      <c r="M43" s="14">
        <f t="shared" si="17"/>
        <v>0</v>
      </c>
      <c r="N43" s="14">
        <f t="shared" si="17"/>
        <v>0</v>
      </c>
      <c r="O43" s="14">
        <f t="shared" si="17"/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 t="s">
        <v>24</v>
      </c>
      <c r="C44" s="19">
        <f t="shared" ref="C44:E44" si="18">C43/C$8</f>
        <v>-3.0360583197207591E-2</v>
      </c>
      <c r="D44" s="19">
        <f t="shared" si="18"/>
        <v>-1.1199579507576655E-3</v>
      </c>
      <c r="E44" s="19">
        <f t="shared" si="18"/>
        <v>-2.7200977293398735E-3</v>
      </c>
      <c r="F44" s="16">
        <f t="shared" ref="F44:O44" si="19">CHOOSE($C$3,F45,F46,F47)</f>
        <v>0</v>
      </c>
      <c r="G44" s="16">
        <f t="shared" si="19"/>
        <v>0</v>
      </c>
      <c r="H44" s="16">
        <f t="shared" si="19"/>
        <v>0</v>
      </c>
      <c r="I44" s="16">
        <f t="shared" si="19"/>
        <v>0</v>
      </c>
      <c r="J44" s="16">
        <f t="shared" si="19"/>
        <v>0</v>
      </c>
      <c r="K44" s="16">
        <f t="shared" si="19"/>
        <v>0</v>
      </c>
      <c r="L44" s="16">
        <f t="shared" si="19"/>
        <v>0</v>
      </c>
      <c r="M44" s="16">
        <f t="shared" si="19"/>
        <v>0</v>
      </c>
      <c r="N44" s="16">
        <f t="shared" si="19"/>
        <v>0</v>
      </c>
      <c r="O44" s="16">
        <f t="shared" si="19"/>
        <v>0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 t="s">
        <v>3</v>
      </c>
      <c r="C45" s="1"/>
      <c r="D45" s="1"/>
      <c r="E45" s="1"/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 t="s">
        <v>5</v>
      </c>
      <c r="C46" s="1"/>
      <c r="D46" s="1"/>
      <c r="E46" s="1"/>
      <c r="F46" s="16">
        <v>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 t="s">
        <v>7</v>
      </c>
      <c r="C47" s="1"/>
      <c r="D47" s="1"/>
      <c r="E47" s="1"/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C48" s="17"/>
      <c r="D48" s="17"/>
      <c r="E48" s="17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7"/>
      <c r="D49" s="17"/>
      <c r="E49" s="17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22"/>
      <c r="D50" s="22"/>
      <c r="E50" s="22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23"/>
      <c r="D51" s="23"/>
      <c r="E51" s="23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23"/>
      <c r="D52" s="23"/>
      <c r="E52" s="23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23"/>
      <c r="D53" s="23"/>
      <c r="E53" s="23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>
      <selection activeCell="F5" sqref="F5"/>
    </sheetView>
  </sheetViews>
  <sheetFormatPr defaultColWidth="14.453125" defaultRowHeight="15" customHeight="1" x14ac:dyDescent="0.35"/>
  <cols>
    <col min="1" max="1" width="2" customWidth="1"/>
    <col min="2" max="2" width="23.453125" customWidth="1"/>
    <col min="3" max="3" width="12.453125" customWidth="1"/>
    <col min="4" max="4" width="9.08984375" customWidth="1"/>
    <col min="5" max="5" width="10" customWidth="1"/>
    <col min="6" max="6" width="11" customWidth="1"/>
    <col min="7" max="26" width="9.08984375" customWidth="1"/>
  </cols>
  <sheetData>
    <row r="1" spans="1:26" ht="11.25" customHeight="1" x14ac:dyDescent="0.35">
      <c r="A1" s="1"/>
      <c r="B1" s="24" t="s">
        <v>32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.7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3" customHeight="1" x14ac:dyDescent="0.35">
      <c r="A4" s="1"/>
      <c r="B4" s="25" t="s">
        <v>33</v>
      </c>
      <c r="C4" s="11" t="s">
        <v>10</v>
      </c>
      <c r="D4" s="11" t="s">
        <v>11</v>
      </c>
      <c r="E4" s="11" t="s">
        <v>12</v>
      </c>
      <c r="F4" s="12" t="s">
        <v>13</v>
      </c>
      <c r="G4" s="12" t="s">
        <v>14</v>
      </c>
      <c r="H4" s="12" t="s">
        <v>15</v>
      </c>
      <c r="I4" s="12" t="s">
        <v>16</v>
      </c>
      <c r="J4" s="12" t="s">
        <v>17</v>
      </c>
      <c r="K4" s="12" t="s">
        <v>18</v>
      </c>
      <c r="L4" s="12" t="s">
        <v>19</v>
      </c>
      <c r="M4" s="12" t="s">
        <v>20</v>
      </c>
      <c r="N4" s="12" t="s">
        <v>21</v>
      </c>
      <c r="O4" s="12" t="s">
        <v>22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7" customHeight="1" x14ac:dyDescent="0.35">
      <c r="A5" s="1"/>
      <c r="B5" s="1" t="s">
        <v>34</v>
      </c>
      <c r="C5" s="17">
        <f>'BS source'!C19</f>
        <v>11119.32</v>
      </c>
      <c r="D5" s="17">
        <f>'BS source'!D19</f>
        <v>10623.49</v>
      </c>
      <c r="E5" s="17">
        <f>'BS source'!E19</f>
        <v>9638.5</v>
      </c>
      <c r="F5" s="18">
        <f>'BS assumptions'!F6*'P&amp;L assumptions'!F8/360</f>
        <v>13963.145793166816</v>
      </c>
      <c r="G5" s="18">
        <f>'BS assumptions'!G6*'P&amp;L assumptions'!G8/360</f>
        <v>20228.193229364755</v>
      </c>
      <c r="H5" s="18">
        <f>'BS assumptions'!H6*'P&amp;L assumptions'!H8/360</f>
        <v>29304.270497895934</v>
      </c>
      <c r="I5" s="18">
        <f>'BS assumptions'!I6*'P&amp;L assumptions'!I8/360</f>
        <v>42452.64318353666</v>
      </c>
      <c r="J5" s="18">
        <f>'BS assumptions'!J6*'P&amp;L assumptions'!J8/360</f>
        <v>61500.487220730603</v>
      </c>
      <c r="K5" s="18">
        <f>'BS assumptions'!K6*'P&amp;L assumptions'!K8/360</f>
        <v>89094.804109960489</v>
      </c>
      <c r="L5" s="18">
        <f>'BS assumptions'!L6*'P&amp;L assumptions'!L8/360</f>
        <v>129070.26396234025</v>
      </c>
      <c r="M5" s="18">
        <f>'BS assumptions'!M6*'P&amp;L assumptions'!M8/360</f>
        <v>186982.09402590469</v>
      </c>
      <c r="N5" s="18">
        <f>'BS assumptions'!N6*'P&amp;L assumptions'!N8/360</f>
        <v>270878.06604713737</v>
      </c>
      <c r="O5" s="18">
        <f>'BS assumptions'!O6*'P&amp;L assumptions'!O8/360</f>
        <v>392416.86241502821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26" t="s">
        <v>35</v>
      </c>
      <c r="C6" s="26">
        <f>C5/'P&amp;L assumptions'!C8*360</f>
        <v>70.167002138688915</v>
      </c>
      <c r="D6" s="26">
        <f>D5/'P&amp;L assumptions'!D8*360</f>
        <v>46.275176669252794</v>
      </c>
      <c r="E6" s="26">
        <f>E5/'P&amp;L assumptions'!E8*360</f>
        <v>30.850357282889629</v>
      </c>
      <c r="F6" s="27">
        <f t="shared" ref="F6:O6" si="0">$E$6</f>
        <v>30.850357282889629</v>
      </c>
      <c r="G6" s="27">
        <f t="shared" si="0"/>
        <v>30.850357282889629</v>
      </c>
      <c r="H6" s="27">
        <f t="shared" si="0"/>
        <v>30.850357282889629</v>
      </c>
      <c r="I6" s="27">
        <f t="shared" si="0"/>
        <v>30.850357282889629</v>
      </c>
      <c r="J6" s="27">
        <f t="shared" si="0"/>
        <v>30.850357282889629</v>
      </c>
      <c r="K6" s="27">
        <f t="shared" si="0"/>
        <v>30.850357282889629</v>
      </c>
      <c r="L6" s="27">
        <f t="shared" si="0"/>
        <v>30.850357282889629</v>
      </c>
      <c r="M6" s="27">
        <f t="shared" si="0"/>
        <v>30.850357282889629</v>
      </c>
      <c r="N6" s="27">
        <f t="shared" si="0"/>
        <v>30.850357282889629</v>
      </c>
      <c r="O6" s="27">
        <f t="shared" si="0"/>
        <v>30.850357282889629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/>
      <c r="C7" s="17"/>
      <c r="D7" s="17"/>
      <c r="E7" s="17"/>
      <c r="F7" s="28"/>
      <c r="G7" s="28"/>
      <c r="H7" s="28"/>
      <c r="I7" s="28"/>
      <c r="J7" s="28"/>
      <c r="K7" s="18"/>
      <c r="L7" s="18"/>
      <c r="M7" s="18"/>
      <c r="N7" s="18"/>
      <c r="O7" s="18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17">
        <f>'BS source'!C17</f>
        <v>177.4</v>
      </c>
      <c r="D8" s="17">
        <f>'BS source'!D17</f>
        <v>106.41</v>
      </c>
      <c r="E8" s="17">
        <f>'BS source'!E17</f>
        <v>486.9</v>
      </c>
      <c r="F8" s="18">
        <f>-F9*'P&amp;L assumptions'!F19/360</f>
        <v>706.4722709474222</v>
      </c>
      <c r="G8" s="18">
        <f>-G9*'P&amp;L assumptions'!G19/360</f>
        <v>1023.4554461864923</v>
      </c>
      <c r="H8" s="18">
        <f>-H9*'P&amp;L assumptions'!H19/360</f>
        <v>1482.6640668063069</v>
      </c>
      <c r="I8" s="18">
        <f>-I9*'P&amp;L assumptions'!I19/360</f>
        <v>2147.9124891950082</v>
      </c>
      <c r="J8" s="18">
        <f>-J9*'P&amp;L assumptions'!J19/360</f>
        <v>3111.6475839180107</v>
      </c>
      <c r="K8" s="18">
        <f>-K9*'P&amp;L assumptions'!K19/360</f>
        <v>4507.7957017380786</v>
      </c>
      <c r="L8" s="18">
        <f>-L9*'P&amp;L assumptions'!L19/360</f>
        <v>6530.3738744804195</v>
      </c>
      <c r="M8" s="18">
        <f>-M9*'P&amp;L assumptions'!M19/360</f>
        <v>9460.4515737155943</v>
      </c>
      <c r="N8" s="18">
        <f>-N9*'P&amp;L assumptions'!N19/360</f>
        <v>13705.209793327311</v>
      </c>
      <c r="O8" s="18">
        <f>-O9*'P&amp;L assumptions'!O19/360</f>
        <v>19854.525337984847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26" t="s">
        <v>37</v>
      </c>
      <c r="C9" s="26">
        <f>-C8/'P&amp;L assumptions'!C19*360</f>
        <v>2.8158159049684177</v>
      </c>
      <c r="D9" s="26">
        <f>-D8/'P&amp;L assumptions'!D19*360</f>
        <v>1.133068293307675</v>
      </c>
      <c r="E9" s="26">
        <f>-E8/'P&amp;L assumptions'!E19*360</f>
        <v>3.8070465677091718</v>
      </c>
      <c r="F9" s="27">
        <f t="shared" ref="F9:O9" si="1">$E$9</f>
        <v>3.8070465677091718</v>
      </c>
      <c r="G9" s="27">
        <f t="shared" si="1"/>
        <v>3.8070465677091718</v>
      </c>
      <c r="H9" s="27">
        <f t="shared" si="1"/>
        <v>3.8070465677091718</v>
      </c>
      <c r="I9" s="27">
        <f t="shared" si="1"/>
        <v>3.8070465677091718</v>
      </c>
      <c r="J9" s="27">
        <f t="shared" si="1"/>
        <v>3.8070465677091718</v>
      </c>
      <c r="K9" s="27">
        <f t="shared" si="1"/>
        <v>3.8070465677091718</v>
      </c>
      <c r="L9" s="27">
        <f t="shared" si="1"/>
        <v>3.8070465677091718</v>
      </c>
      <c r="M9" s="27">
        <f t="shared" si="1"/>
        <v>3.8070465677091718</v>
      </c>
      <c r="N9" s="27">
        <f t="shared" si="1"/>
        <v>3.8070465677091718</v>
      </c>
      <c r="O9" s="27">
        <f t="shared" si="1"/>
        <v>3.8070465677091718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/>
      <c r="C10" s="17"/>
      <c r="D10" s="17"/>
      <c r="E10" s="17"/>
      <c r="F10" s="28"/>
      <c r="G10" s="28"/>
      <c r="H10" s="28"/>
      <c r="I10" s="28"/>
      <c r="J10" s="28"/>
      <c r="K10" s="18"/>
      <c r="L10" s="18"/>
      <c r="M10" s="18"/>
      <c r="N10" s="18"/>
      <c r="O10" s="1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38</v>
      </c>
      <c r="C11" s="17">
        <f>'BS source'!H22</f>
        <v>9561.42</v>
      </c>
      <c r="D11" s="17">
        <f>'BS source'!I22</f>
        <v>8731.74</v>
      </c>
      <c r="E11" s="17">
        <f>'BS source'!J22</f>
        <v>8808.98</v>
      </c>
      <c r="F11" s="18">
        <f>-F12*'P&amp;L assumptions'!F19/360</f>
        <v>12781.474851777415</v>
      </c>
      <c r="G11" s="18">
        <f>-G12*'P&amp;L assumptions'!G19/360</f>
        <v>18516.324823059942</v>
      </c>
      <c r="H11" s="18">
        <f>-H12*'P&amp;L assumptions'!H19/360</f>
        <v>26824.313229031461</v>
      </c>
      <c r="I11" s="18">
        <f>-I12*'P&amp;L assumptions'!I19/360</f>
        <v>38859.96746574049</v>
      </c>
      <c r="J11" s="18">
        <f>-J12*'P&amp;L assumptions'!J19/360</f>
        <v>56295.833505405782</v>
      </c>
      <c r="K11" s="18">
        <f>-K12*'P&amp;L assumptions'!K19/360</f>
        <v>81554.90281515033</v>
      </c>
      <c r="L11" s="18">
        <f>-L12*'P&amp;L assumptions'!L19/360</f>
        <v>118147.32563733932</v>
      </c>
      <c r="M11" s="18">
        <f>-M12*'P&amp;L assumptions'!M19/360</f>
        <v>171158.20230813141</v>
      </c>
      <c r="N11" s="18">
        <f>-N12*'P&amp;L assumptions'!N19/360</f>
        <v>247954.23899204031</v>
      </c>
      <c r="O11" s="18">
        <f>-O12*'P&amp;L assumptions'!O19/360</f>
        <v>359207.46890901984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26" t="s">
        <v>39</v>
      </c>
      <c r="C12" s="26">
        <f>-C11/'P&amp;L assumptions'!C19*360</f>
        <v>151.7654932924641</v>
      </c>
      <c r="D12" s="26">
        <f>-D11/'P&amp;L assumptions'!D19*360</f>
        <v>92.976766651690241</v>
      </c>
      <c r="E12" s="26">
        <f>-E11/'P&amp;L assumptions'!E19*360</f>
        <v>68.876970782540027</v>
      </c>
      <c r="F12" s="27">
        <f t="shared" ref="F12:O12" si="2">$E$12</f>
        <v>68.876970782540027</v>
      </c>
      <c r="G12" s="27">
        <f t="shared" si="2"/>
        <v>68.876970782540027</v>
      </c>
      <c r="H12" s="27">
        <f t="shared" si="2"/>
        <v>68.876970782540027</v>
      </c>
      <c r="I12" s="27">
        <f t="shared" si="2"/>
        <v>68.876970782540027</v>
      </c>
      <c r="J12" s="27">
        <f t="shared" si="2"/>
        <v>68.876970782540027</v>
      </c>
      <c r="K12" s="27">
        <f t="shared" si="2"/>
        <v>68.876970782540027</v>
      </c>
      <c r="L12" s="27">
        <f t="shared" si="2"/>
        <v>68.876970782540027</v>
      </c>
      <c r="M12" s="27">
        <f t="shared" si="2"/>
        <v>68.876970782540027</v>
      </c>
      <c r="N12" s="27">
        <f t="shared" si="2"/>
        <v>68.876970782540027</v>
      </c>
      <c r="O12" s="27">
        <f t="shared" si="2"/>
        <v>68.876970782540027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/>
      <c r="C13" s="17"/>
      <c r="D13" s="17"/>
      <c r="E13" s="17"/>
      <c r="F13" s="28"/>
      <c r="G13" s="28"/>
      <c r="H13" s="28"/>
      <c r="I13" s="28"/>
      <c r="J13" s="28"/>
      <c r="K13" s="18"/>
      <c r="L13" s="18"/>
      <c r="M13" s="18"/>
      <c r="N13" s="18"/>
      <c r="O13" s="1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40</v>
      </c>
      <c r="C14" s="17">
        <f>SUM('BS source'!C6:C7)</f>
        <v>7738</v>
      </c>
      <c r="D14" s="17">
        <f>SUM('BS source'!D6:D7)</f>
        <v>8595.74</v>
      </c>
      <c r="E14" s="17">
        <f>SUM('BS source'!E6:E7)</f>
        <v>10405.84</v>
      </c>
      <c r="F14" s="18">
        <f>F15*'P&amp;L assumptions'!F$8</f>
        <v>18040.761324229006</v>
      </c>
      <c r="G14" s="18">
        <f>G15*'P&amp;L assumptions'!G$8</f>
        <v>26135.371747671823</v>
      </c>
      <c r="H14" s="18">
        <f>H15*'P&amp;L assumptions'!H$8</f>
        <v>37861.908603138945</v>
      </c>
      <c r="I14" s="18">
        <f>I15*'P&amp;L assumptions'!I$8</f>
        <v>54849.961076224106</v>
      </c>
      <c r="J14" s="18">
        <f>J15*'P&amp;L assumptions'!J$8</f>
        <v>79460.289802027532</v>
      </c>
      <c r="K14" s="18">
        <f>K15*'P&amp;L assumptions'!K$8</f>
        <v>115112.89217959195</v>
      </c>
      <c r="L14" s="18">
        <f>L15*'P&amp;L assumptions'!L$8</f>
        <v>166762.26551607976</v>
      </c>
      <c r="M14" s="18">
        <f>M15*'P&amp;L assumptions'!M$8</f>
        <v>241585.91338899382</v>
      </c>
      <c r="N14" s="18">
        <f>N15*'P&amp;L assumptions'!N$8</f>
        <v>349981.77415841597</v>
      </c>
      <c r="O14" s="18">
        <f>O15*'P&amp;L assumptions'!O$8</f>
        <v>507013.1802173726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26" t="s">
        <v>41</v>
      </c>
      <c r="C15" s="29">
        <f>C14/'P&amp;L assumptions'!C$8</f>
        <v>0.13563785638899353</v>
      </c>
      <c r="D15" s="29">
        <f>D14/'P&amp;L assumptions'!D$8</f>
        <v>0.10400677782676854</v>
      </c>
      <c r="E15" s="29">
        <f>E14/'P&amp;L assumptions'!E$8</f>
        <v>9.2517819689723571E-2</v>
      </c>
      <c r="F15" s="30">
        <f t="shared" ref="F15:O15" si="3">AVERAGE($C15:$E15)</f>
        <v>0.11072081796849521</v>
      </c>
      <c r="G15" s="30">
        <f t="shared" si="3"/>
        <v>0.11072081796849521</v>
      </c>
      <c r="H15" s="30">
        <f t="shared" si="3"/>
        <v>0.11072081796849521</v>
      </c>
      <c r="I15" s="30">
        <f t="shared" si="3"/>
        <v>0.11072081796849521</v>
      </c>
      <c r="J15" s="30">
        <f t="shared" si="3"/>
        <v>0.11072081796849521</v>
      </c>
      <c r="K15" s="30">
        <f t="shared" si="3"/>
        <v>0.11072081796849521</v>
      </c>
      <c r="L15" s="30">
        <f t="shared" si="3"/>
        <v>0.11072081796849521</v>
      </c>
      <c r="M15" s="30">
        <f t="shared" si="3"/>
        <v>0.11072081796849521</v>
      </c>
      <c r="N15" s="30">
        <f t="shared" si="3"/>
        <v>0.11072081796849521</v>
      </c>
      <c r="O15" s="30">
        <f t="shared" si="3"/>
        <v>0.11072081796849521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/>
      <c r="C16" s="17"/>
      <c r="D16" s="17"/>
      <c r="E16" s="17"/>
      <c r="F16" s="30"/>
      <c r="G16" s="30"/>
      <c r="H16" s="30"/>
      <c r="I16" s="30"/>
      <c r="J16" s="30"/>
      <c r="K16" s="18"/>
      <c r="L16" s="18"/>
      <c r="M16" s="18"/>
      <c r="N16" s="18"/>
      <c r="O16" s="18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42</v>
      </c>
      <c r="C17" s="17">
        <f>SUM('BS source'!C13:C14,'BS source'!C23)</f>
        <v>6460.55</v>
      </c>
      <c r="D17" s="17">
        <f>SUM('BS source'!D13:D14,'BS source'!D23)</f>
        <v>5657.14</v>
      </c>
      <c r="E17" s="17">
        <f>SUM('BS source'!E13:E14,'BS source'!E23)</f>
        <v>4918.67</v>
      </c>
      <c r="F17" s="18">
        <f>F18*'P&amp;L assumptions'!F$8</f>
        <v>12243.666221261094</v>
      </c>
      <c r="G17" s="18">
        <f>G18*'P&amp;L assumptions'!G$8</f>
        <v>17737.209782677855</v>
      </c>
      <c r="H17" s="18">
        <f>H18*'P&amp;L assumptions'!H$8</f>
        <v>25695.621326919707</v>
      </c>
      <c r="I17" s="18">
        <f>I18*'P&amp;L assumptions'!I$8</f>
        <v>37224.848973780827</v>
      </c>
      <c r="J17" s="18">
        <f>J18*'P&amp;L assumptions'!J$8</f>
        <v>53927.062649739884</v>
      </c>
      <c r="K17" s="18">
        <f>K18*'P&amp;L assumptions'!K$8</f>
        <v>78123.30113353311</v>
      </c>
      <c r="L17" s="18">
        <f>L18*'P&amp;L assumptions'!L$8</f>
        <v>113176.01738558877</v>
      </c>
      <c r="M17" s="18">
        <f>M18*'P&amp;L assumptions'!M$8</f>
        <v>163956.34497535494</v>
      </c>
      <c r="N17" s="18">
        <f>N18*'P&amp;L assumptions'!N$8</f>
        <v>237521.01972357056</v>
      </c>
      <c r="O17" s="18">
        <f>O18*'P&amp;L assumptions'!O$8</f>
        <v>344093.02560998779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26" t="s">
        <v>41</v>
      </c>
      <c r="C18" s="29">
        <f>C17/'P&amp;L assumptions'!C$8</f>
        <v>0.11324569050063481</v>
      </c>
      <c r="D18" s="29">
        <f>D17/'P&amp;L assumptions'!D$8</f>
        <v>6.8450290855112575E-2</v>
      </c>
      <c r="E18" s="29">
        <f>E17/'P&amp;L assumptions'!E$8</f>
        <v>4.3731656855501587E-2</v>
      </c>
      <c r="F18" s="30">
        <f t="shared" ref="F18:O18" si="4">AVERAGE($C18:$E18)</f>
        <v>7.514254607041633E-2</v>
      </c>
      <c r="G18" s="30">
        <f t="shared" si="4"/>
        <v>7.514254607041633E-2</v>
      </c>
      <c r="H18" s="30">
        <f t="shared" si="4"/>
        <v>7.514254607041633E-2</v>
      </c>
      <c r="I18" s="30">
        <f t="shared" si="4"/>
        <v>7.514254607041633E-2</v>
      </c>
      <c r="J18" s="30">
        <f t="shared" si="4"/>
        <v>7.514254607041633E-2</v>
      </c>
      <c r="K18" s="18">
        <f t="shared" si="4"/>
        <v>7.514254607041633E-2</v>
      </c>
      <c r="L18" s="18">
        <f t="shared" si="4"/>
        <v>7.514254607041633E-2</v>
      </c>
      <c r="M18" s="18">
        <f t="shared" si="4"/>
        <v>7.514254607041633E-2</v>
      </c>
      <c r="N18" s="18">
        <f t="shared" si="4"/>
        <v>7.514254607041633E-2</v>
      </c>
      <c r="O18" s="18">
        <f t="shared" si="4"/>
        <v>7.514254607041633E-2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/>
      <c r="C19" s="17"/>
      <c r="D19" s="17"/>
      <c r="E19" s="17"/>
      <c r="F19" s="30"/>
      <c r="G19" s="30"/>
      <c r="H19" s="30"/>
      <c r="I19" s="30"/>
      <c r="J19" s="30"/>
      <c r="K19" s="18"/>
      <c r="L19" s="18"/>
      <c r="M19" s="18"/>
      <c r="N19" s="18"/>
      <c r="O19" s="1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43</v>
      </c>
      <c r="C20" s="17">
        <f>SUM('BS source'!H16:H17,'BS source'!H24:H26)</f>
        <v>2731.5099999999779</v>
      </c>
      <c r="D20" s="17">
        <f>SUM('BS source'!I16:I17,'BS source'!I24:I26)</f>
        <v>3221.66</v>
      </c>
      <c r="E20" s="17">
        <f>SUM('BS source'!J16:J17,'BS source'!J24:J26)</f>
        <v>3534.56</v>
      </c>
      <c r="F20" s="18">
        <f>F21*'P&amp;L assumptions'!F$8</f>
        <v>6424.5379529785805</v>
      </c>
      <c r="G20" s="18">
        <f>G21*'P&amp;L assumptions'!G$8</f>
        <v>9307.1287120582474</v>
      </c>
      <c r="H20" s="18">
        <f>H21*'P&amp;L assumptions'!H$8</f>
        <v>13483.093336332233</v>
      </c>
      <c r="I20" s="18">
        <f>I21*'P&amp;L assumptions'!I$8</f>
        <v>19532.748664012342</v>
      </c>
      <c r="J20" s="18">
        <f>J21*'P&amp;L assumptions'!J$8</f>
        <v>28296.790718149994</v>
      </c>
      <c r="K20" s="18">
        <f>K21*'P&amp;L assumptions'!K$8</f>
        <v>40993.122817477612</v>
      </c>
      <c r="L20" s="18">
        <f>L21*'P&amp;L assumptions'!L$8</f>
        <v>59386.102652656868</v>
      </c>
      <c r="M20" s="18">
        <f>M21*'P&amp;L assumptions'!M$8</f>
        <v>86031.727906522647</v>
      </c>
      <c r="N20" s="18">
        <f>N21*'P&amp;L assumptions'!N$8</f>
        <v>124632.83286785641</v>
      </c>
      <c r="O20" s="18">
        <f>O21*'P&amp;L assumptions'!O$8</f>
        <v>180553.65626905355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26" t="s">
        <v>41</v>
      </c>
      <c r="C21" s="29">
        <f>C20/'P&amp;L assumptions'!C$8</f>
        <v>4.7880093190113299E-2</v>
      </c>
      <c r="D21" s="29">
        <f>D20/'P&amp;L assumptions'!D$8</f>
        <v>3.8981457774826499E-2</v>
      </c>
      <c r="E21" s="29">
        <f>E20/'P&amp;L assumptions'!E$8</f>
        <v>3.1425601850740482E-2</v>
      </c>
      <c r="F21" s="30">
        <f t="shared" ref="F21:O21" si="5">AVERAGE($C21:$E21)</f>
        <v>3.9429050938560091E-2</v>
      </c>
      <c r="G21" s="30">
        <f t="shared" si="5"/>
        <v>3.9429050938560091E-2</v>
      </c>
      <c r="H21" s="30">
        <f t="shared" si="5"/>
        <v>3.9429050938560091E-2</v>
      </c>
      <c r="I21" s="30">
        <f t="shared" si="5"/>
        <v>3.9429050938560091E-2</v>
      </c>
      <c r="J21" s="30">
        <f t="shared" si="5"/>
        <v>3.9429050938560091E-2</v>
      </c>
      <c r="K21" s="18">
        <f t="shared" si="5"/>
        <v>3.9429050938560091E-2</v>
      </c>
      <c r="L21" s="18">
        <f t="shared" si="5"/>
        <v>3.9429050938560091E-2</v>
      </c>
      <c r="M21" s="18">
        <f t="shared" si="5"/>
        <v>3.9429050938560091E-2</v>
      </c>
      <c r="N21" s="18">
        <f t="shared" si="5"/>
        <v>3.9429050938560091E-2</v>
      </c>
      <c r="O21" s="18">
        <f t="shared" si="5"/>
        <v>3.9429050938560091E-2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zoomScale="130" zoomScaleNormal="130" workbookViewId="0">
      <selection activeCell="C4" sqref="C4"/>
    </sheetView>
  </sheetViews>
  <sheetFormatPr defaultColWidth="14.453125" defaultRowHeight="14.5" x14ac:dyDescent="0.35"/>
  <cols>
    <col min="1" max="1" width="3.453125" customWidth="1"/>
    <col min="2" max="2" width="16.7265625" bestFit="1" customWidth="1"/>
    <col min="3" max="4" width="7.453125" bestFit="1" customWidth="1"/>
    <col min="5" max="6" width="8.26953125" bestFit="1" customWidth="1"/>
    <col min="7" max="10" width="8.81640625" bestFit="1" customWidth="1"/>
    <col min="11" max="13" width="9.1796875" bestFit="1" customWidth="1"/>
    <col min="14" max="15" width="9.7265625" bestFit="1" customWidth="1"/>
    <col min="16" max="16" width="2" customWidth="1"/>
    <col min="17" max="17" width="20.90625" bestFit="1" customWidth="1"/>
    <col min="18" max="26" width="9.08984375" customWidth="1"/>
  </cols>
  <sheetData>
    <row r="1" spans="1:26" ht="15.5" x14ac:dyDescent="0.35">
      <c r="A1" s="1"/>
      <c r="B1" s="24" t="s">
        <v>44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4" x14ac:dyDescent="0.35">
      <c r="A3" s="1"/>
      <c r="B3" s="25" t="s">
        <v>33</v>
      </c>
      <c r="C3" s="11" t="s">
        <v>10</v>
      </c>
      <c r="D3" s="11" t="s">
        <v>11</v>
      </c>
      <c r="E3" s="11" t="s">
        <v>12</v>
      </c>
      <c r="F3" s="12" t="s">
        <v>13</v>
      </c>
      <c r="G3" s="12" t="s">
        <v>14</v>
      </c>
      <c r="H3" s="12" t="s">
        <v>15</v>
      </c>
      <c r="I3" s="12" t="s">
        <v>16</v>
      </c>
      <c r="J3" s="12" t="s">
        <v>17</v>
      </c>
      <c r="K3" s="12" t="s">
        <v>18</v>
      </c>
      <c r="L3" s="12" t="s">
        <v>19</v>
      </c>
      <c r="M3" s="12" t="s">
        <v>20</v>
      </c>
      <c r="N3" s="12" t="s">
        <v>21</v>
      </c>
      <c r="O3" s="12" t="s">
        <v>22</v>
      </c>
      <c r="P3" s="1"/>
      <c r="Q3" s="31" t="s">
        <v>45</v>
      </c>
      <c r="R3" s="1"/>
      <c r="S3" s="1"/>
      <c r="T3" s="1"/>
      <c r="U3" s="1"/>
      <c r="V3" s="1"/>
      <c r="W3" s="1"/>
      <c r="X3" s="1"/>
      <c r="Y3" s="1"/>
      <c r="Z3" s="1"/>
    </row>
    <row r="4" spans="1:26" x14ac:dyDescent="0.35">
      <c r="A4" s="1"/>
      <c r="B4" s="1" t="s">
        <v>23</v>
      </c>
      <c r="C4" s="17">
        <f>SUMIF('P&amp;L assumptions'!$B:$B,'P&amp;L'!B4,'P&amp;L assumptions'!C:C)</f>
        <v>57048.97</v>
      </c>
      <c r="D4" s="17">
        <f>SUMIF('P&amp;L assumptions'!$B:$B,'P&amp;L'!$B4,'P&amp;L assumptions'!D:D)</f>
        <v>82645.960000000006</v>
      </c>
      <c r="E4" s="17">
        <f>SUMIF('P&amp;L assumptions'!$B:$B,'P&amp;L'!$B4,'P&amp;L assumptions'!E:E)</f>
        <v>112473.9</v>
      </c>
      <c r="F4" s="32">
        <f>SUMIF('P&amp;L assumptions'!$B:$B,'P&amp;L'!$B4,'P&amp;L assumptions'!F:F)</f>
        <v>162939.19838419519</v>
      </c>
      <c r="G4" s="32">
        <f>SUMIF('P&amp;L assumptions'!$B:$B,'P&amp;L'!$B4,'P&amp;L assumptions'!G:G)</f>
        <v>236047.49519741128</v>
      </c>
      <c r="H4" s="32">
        <f>SUMIF('P&amp;L assumptions'!$B:$B,'P&amp;L'!$B4,'P&amp;L assumptions'!H:H)</f>
        <v>341958.3534318927</v>
      </c>
      <c r="I4" s="32">
        <f>SUMIF('P&amp;L assumptions'!$B:$B,'P&amp;L'!$B4,'P&amp;L assumptions'!I:I)</f>
        <v>495389.77477416449</v>
      </c>
      <c r="J4" s="32">
        <f>SUMIF('P&amp;L assumptions'!$B:$B,'P&amp;L'!$B4,'P&amp;L assumptions'!J:J)</f>
        <v>717663.50050482259</v>
      </c>
      <c r="K4" s="32">
        <f>SUMIF('P&amp;L assumptions'!$B:$B,'P&amp;L'!$B4,'P&amp;L assumptions'!K:K)</f>
        <v>1039668.0072608067</v>
      </c>
      <c r="L4" s="32">
        <f>SUMIF('P&amp;L assumptions'!$B:$B,'P&amp;L'!$B4,'P&amp;L assumptions'!L:L)</f>
        <v>1506150.9531435247</v>
      </c>
      <c r="M4" s="32">
        <f>SUMIF('P&amp;L assumptions'!$B:$B,'P&amp;L'!$B4,'P&amp;L assumptions'!M:M)</f>
        <v>2181937.5779696219</v>
      </c>
      <c r="N4" s="32">
        <f>SUMIF('P&amp;L assumptions'!$B:$B,'P&amp;L'!$B4,'P&amp;L assumptions'!N:N)</f>
        <v>3160939.2034838535</v>
      </c>
      <c r="O4" s="32">
        <f>SUMIF('P&amp;L assumptions'!$B:$B,'P&amp;L'!$B4,'P&amp;L assumptions'!O:O)</f>
        <v>4579203.7082099542</v>
      </c>
      <c r="P4" s="1"/>
      <c r="Q4" s="1" t="s">
        <v>46</v>
      </c>
      <c r="R4" s="1"/>
      <c r="S4" s="1"/>
      <c r="T4" s="1"/>
      <c r="U4" s="1"/>
      <c r="V4" s="1"/>
      <c r="W4" s="1"/>
      <c r="X4" s="1"/>
      <c r="Y4" s="1"/>
      <c r="Z4" s="1"/>
    </row>
    <row r="5" spans="1:26" x14ac:dyDescent="0.35">
      <c r="A5" s="1"/>
      <c r="B5" s="1" t="s">
        <v>25</v>
      </c>
      <c r="C5" s="17">
        <f>SUMIF('P&amp;L assumptions'!$B:$B,'P&amp;L'!B5,'P&amp;L assumptions'!C:C)</f>
        <v>4148.8</v>
      </c>
      <c r="D5" s="17">
        <f>SUMIF('P&amp;L assumptions'!$B:$B,'P&amp;L'!$B5,'P&amp;L assumptions'!D:D)</f>
        <v>4498.57</v>
      </c>
      <c r="E5" s="17">
        <f>SUMIF('P&amp;L assumptions'!$B:$B,'P&amp;L'!$B5,'P&amp;L assumptions'!E:E)</f>
        <v>3869.59</v>
      </c>
      <c r="F5" s="32">
        <f>SUMIF('P&amp;L assumptions'!$B:$B,'P&amp;L'!$B5,'P&amp;L assumptions'!F:F)</f>
        <v>3869.59</v>
      </c>
      <c r="G5" s="32">
        <f>SUMIF('P&amp;L assumptions'!$B:$B,'P&amp;L'!$B5,'P&amp;L assumptions'!G:G)</f>
        <v>3869.59</v>
      </c>
      <c r="H5" s="32">
        <f>SUMIF('P&amp;L assumptions'!$B:$B,'P&amp;L'!$B5,'P&amp;L assumptions'!H:H)</f>
        <v>3869.59</v>
      </c>
      <c r="I5" s="32">
        <f>SUMIF('P&amp;L assumptions'!$B:$B,'P&amp;L'!$B5,'P&amp;L assumptions'!I:I)</f>
        <v>3869.59</v>
      </c>
      <c r="J5" s="32">
        <f>SUMIF('P&amp;L assumptions'!$B:$B,'P&amp;L'!$B5,'P&amp;L assumptions'!J:J)</f>
        <v>3869.59</v>
      </c>
      <c r="K5" s="32">
        <f>SUMIF('P&amp;L assumptions'!$B:$B,'P&amp;L'!$B5,'P&amp;L assumptions'!K:K)</f>
        <v>3869.59</v>
      </c>
      <c r="L5" s="32">
        <f>SUMIF('P&amp;L assumptions'!$B:$B,'P&amp;L'!$B5,'P&amp;L assumptions'!L:L)</f>
        <v>3869.59</v>
      </c>
      <c r="M5" s="32">
        <f>SUMIF('P&amp;L assumptions'!$B:$B,'P&amp;L'!$B5,'P&amp;L assumptions'!M:M)</f>
        <v>3869.59</v>
      </c>
      <c r="N5" s="32">
        <f>SUMIF('P&amp;L assumptions'!$B:$B,'P&amp;L'!$B5,'P&amp;L assumptions'!N:N)</f>
        <v>3869.59</v>
      </c>
      <c r="O5" s="32">
        <f>SUMIF('P&amp;L assumptions'!$B:$B,'P&amp;L'!$B5,'P&amp;L assumptions'!O:O)</f>
        <v>3869.59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5">
      <c r="A6" s="1"/>
      <c r="B6" s="33" t="s">
        <v>47</v>
      </c>
      <c r="C6" s="34">
        <f t="shared" ref="C6:O6" si="0">C4+C5</f>
        <v>61197.770000000004</v>
      </c>
      <c r="D6" s="34">
        <f t="shared" si="0"/>
        <v>87144.53</v>
      </c>
      <c r="E6" s="34">
        <f t="shared" si="0"/>
        <v>116343.48999999999</v>
      </c>
      <c r="F6" s="34">
        <f t="shared" si="0"/>
        <v>166808.78838419518</v>
      </c>
      <c r="G6" s="34">
        <f t="shared" si="0"/>
        <v>239917.08519741127</v>
      </c>
      <c r="H6" s="34">
        <f t="shared" si="0"/>
        <v>345827.94343189272</v>
      </c>
      <c r="I6" s="34">
        <f t="shared" si="0"/>
        <v>499259.36477416451</v>
      </c>
      <c r="J6" s="34">
        <f t="shared" si="0"/>
        <v>721533.09050482255</v>
      </c>
      <c r="K6" s="34">
        <f t="shared" si="0"/>
        <v>1043537.5972608067</v>
      </c>
      <c r="L6" s="34">
        <f t="shared" si="0"/>
        <v>1510020.5431435248</v>
      </c>
      <c r="M6" s="34">
        <f t="shared" si="0"/>
        <v>2185807.1679696217</v>
      </c>
      <c r="N6" s="34">
        <f t="shared" si="0"/>
        <v>3164808.7934838533</v>
      </c>
      <c r="O6" s="34">
        <f t="shared" si="0"/>
        <v>4583073.2982099541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5">
      <c r="A7" s="1"/>
      <c r="B7" s="35"/>
      <c r="C7" s="36"/>
      <c r="D7" s="36"/>
      <c r="E7" s="36"/>
      <c r="F7" s="32"/>
      <c r="G7" s="32"/>
      <c r="H7" s="32"/>
      <c r="I7" s="32"/>
      <c r="J7" s="32"/>
      <c r="K7" s="32"/>
      <c r="L7" s="32"/>
      <c r="M7" s="32"/>
      <c r="N7" s="32"/>
      <c r="O7" s="32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5">
      <c r="A8" s="1"/>
      <c r="B8" s="1" t="s">
        <v>26</v>
      </c>
      <c r="C8" s="17">
        <f>SUMIF('P&amp;L assumptions'!$B:$B,'P&amp;L'!B8,'P&amp;L assumptions'!C:C)</f>
        <v>-22680.46</v>
      </c>
      <c r="D8" s="17">
        <f>SUMIF('P&amp;L assumptions'!$B:$B,'P&amp;L'!$B8,'P&amp;L assumptions'!D:D)</f>
        <v>-33808.730000000003</v>
      </c>
      <c r="E8" s="17">
        <f>SUMIF('P&amp;L assumptions'!$B:$B,'P&amp;L'!$B8,'P&amp;L assumptions'!E:E)</f>
        <v>-46041.99</v>
      </c>
      <c r="F8" s="32">
        <f>SUMIF('P&amp;L assumptions'!$B:$B,'P&amp;L'!$B8,'P&amp;L assumptions'!F:F)</f>
        <v>-66805.071337520028</v>
      </c>
      <c r="G8" s="32">
        <f>SUMIF('P&amp;L assumptions'!$B:$B,'P&amp;L'!$B8,'P&amp;L assumptions'!G:G)</f>
        <v>-96779.473030938621</v>
      </c>
      <c r="H8" s="32">
        <f>SUMIF('P&amp;L assumptions'!$B:$B,'P&amp;L'!$B8,'P&amp;L assumptions'!H:H)</f>
        <v>-140202.924907076</v>
      </c>
      <c r="I8" s="32">
        <f>SUMIF('P&amp;L assumptions'!$B:$B,'P&amp;L'!$B8,'P&amp;L assumptions'!I:I)</f>
        <v>-203109.80765740742</v>
      </c>
      <c r="J8" s="32">
        <f>SUMIF('P&amp;L assumptions'!$B:$B,'P&amp;L'!$B8,'P&amp;L assumptions'!J:J)</f>
        <v>-294242.03520697722</v>
      </c>
      <c r="K8" s="32">
        <f>SUMIF('P&amp;L assumptions'!$B:$B,'P&amp;L'!$B8,'P&amp;L assumptions'!K:K)</f>
        <v>-426263.88297693076</v>
      </c>
      <c r="L8" s="32">
        <f>SUMIF('P&amp;L assumptions'!$B:$B,'P&amp;L'!$B8,'P&amp;L assumptions'!L:L)</f>
        <v>-617521.89078884514</v>
      </c>
      <c r="M8" s="32">
        <f>SUMIF('P&amp;L assumptions'!$B:$B,'P&amp;L'!$B8,'P&amp;L assumptions'!M:M)</f>
        <v>-894594.40696754493</v>
      </c>
      <c r="N8" s="32">
        <f>SUMIF('P&amp;L assumptions'!$B:$B,'P&amp;L'!$B8,'P&amp;L assumptions'!N:N)</f>
        <v>-1295985.0734283798</v>
      </c>
      <c r="O8" s="32">
        <f>SUMIF('P&amp;L assumptions'!$B:$B,'P&amp;L'!$B8,'P&amp;L assumptions'!O:O)</f>
        <v>-1877473.520366081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5">
      <c r="A9" s="1"/>
      <c r="B9" s="33" t="s">
        <v>48</v>
      </c>
      <c r="C9" s="34">
        <f t="shared" ref="C9:O9" si="1">C6+C8</f>
        <v>38517.310000000005</v>
      </c>
      <c r="D9" s="34">
        <f t="shared" si="1"/>
        <v>53335.799999999996</v>
      </c>
      <c r="E9" s="34">
        <f t="shared" si="1"/>
        <v>70301.5</v>
      </c>
      <c r="F9" s="34">
        <f t="shared" si="1"/>
        <v>100003.71704667516</v>
      </c>
      <c r="G9" s="34">
        <f t="shared" si="1"/>
        <v>143137.61216647265</v>
      </c>
      <c r="H9" s="34">
        <f t="shared" si="1"/>
        <v>205625.01852481673</v>
      </c>
      <c r="I9" s="34">
        <f t="shared" si="1"/>
        <v>296149.55711675709</v>
      </c>
      <c r="J9" s="34">
        <f t="shared" si="1"/>
        <v>427291.05529784533</v>
      </c>
      <c r="K9" s="34">
        <f t="shared" si="1"/>
        <v>617273.71428387589</v>
      </c>
      <c r="L9" s="34">
        <f t="shared" si="1"/>
        <v>892498.65235467965</v>
      </c>
      <c r="M9" s="34">
        <f t="shared" si="1"/>
        <v>1291212.7610020768</v>
      </c>
      <c r="N9" s="34">
        <f t="shared" si="1"/>
        <v>1868823.7200554735</v>
      </c>
      <c r="O9" s="34">
        <f t="shared" si="1"/>
        <v>2705599.777843873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5">
      <c r="A10" s="1"/>
      <c r="B10" s="1"/>
      <c r="C10" s="1"/>
      <c r="D10" s="1"/>
      <c r="E10" s="1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5">
      <c r="A11" s="1"/>
      <c r="B11" s="1" t="s">
        <v>28</v>
      </c>
      <c r="C11" s="17">
        <f>SUMIF('P&amp;L assumptions'!$B:$B,'P&amp;L'!B11,'P&amp;L assumptions'!C:C)</f>
        <v>-50191.26</v>
      </c>
      <c r="D11" s="17">
        <f>SUMIF('P&amp;L assumptions'!$B:$B,'P&amp;L'!$B11,'P&amp;L assumptions'!D:D)</f>
        <v>-63246.039999999994</v>
      </c>
      <c r="E11" s="17">
        <f>SUMIF('P&amp;L assumptions'!$B:$B,'P&amp;L'!$B11,'P&amp;L assumptions'!E:E)</f>
        <v>-55001.380000000005</v>
      </c>
      <c r="F11" s="32">
        <f>SUMIF('P&amp;L assumptions'!$B:$B,'P&amp;L'!$B11,'P&amp;L assumptions'!F:F)</f>
        <v>-73322.639272887842</v>
      </c>
      <c r="G11" s="32">
        <f>SUMIF('P&amp;L assumptions'!$B:$B,'P&amp;L'!$B11,'P&amp;L assumptions'!G:G)</f>
        <v>-106221.37283883507</v>
      </c>
      <c r="H11" s="32">
        <f>SUMIF('P&amp;L assumptions'!$B:$B,'P&amp;L'!$B11,'P&amp;L assumptions'!H:H)</f>
        <v>-153881.25904435173</v>
      </c>
      <c r="I11" s="32">
        <f>SUMIF('P&amp;L assumptions'!$B:$B,'P&amp;L'!$B11,'P&amp;L assumptions'!I:I)</f>
        <v>-222925.39864837402</v>
      </c>
      <c r="J11" s="32">
        <f>SUMIF('P&amp;L assumptions'!$B:$B,'P&amp;L'!$B11,'P&amp;L assumptions'!J:J)</f>
        <v>-322948.57522717019</v>
      </c>
      <c r="K11" s="32">
        <f>SUMIF('P&amp;L assumptions'!$B:$B,'P&amp;L'!$B11,'P&amp;L assumptions'!K:K)</f>
        <v>-467850.60326736304</v>
      </c>
      <c r="L11" s="32">
        <f>SUMIF('P&amp;L assumptions'!$B:$B,'P&amp;L'!$B11,'P&amp;L assumptions'!L:L)</f>
        <v>-677767.92891458608</v>
      </c>
      <c r="M11" s="32">
        <f>SUMIF('P&amp;L assumptions'!$B:$B,'P&amp;L'!$B11,'P&amp;L assumptions'!M:M)</f>
        <v>-981871.91008632991</v>
      </c>
      <c r="N11" s="32">
        <f>SUMIF('P&amp;L assumptions'!$B:$B,'P&amp;L'!$B11,'P&amp;L assumptions'!N:N)</f>
        <v>-1422422.6415677341</v>
      </c>
      <c r="O11" s="32">
        <f>SUMIF('P&amp;L assumptions'!$B:$B,'P&amp;L'!$B11,'P&amp;L assumptions'!O:O)</f>
        <v>-2060641.6686944794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5">
      <c r="A12" s="1"/>
      <c r="B12" s="33" t="s">
        <v>49</v>
      </c>
      <c r="C12" s="34">
        <f t="shared" ref="C12:O12" si="2">C9+C11</f>
        <v>-11673.949999999997</v>
      </c>
      <c r="D12" s="34">
        <f t="shared" si="2"/>
        <v>-9910.239999999998</v>
      </c>
      <c r="E12" s="34">
        <f t="shared" si="2"/>
        <v>15300.119999999995</v>
      </c>
      <c r="F12" s="34">
        <f t="shared" si="2"/>
        <v>26681.077773787314</v>
      </c>
      <c r="G12" s="34">
        <f t="shared" si="2"/>
        <v>36916.239327637581</v>
      </c>
      <c r="H12" s="34">
        <f t="shared" si="2"/>
        <v>51743.759480465</v>
      </c>
      <c r="I12" s="34">
        <f t="shared" si="2"/>
        <v>73224.158468383073</v>
      </c>
      <c r="J12" s="34">
        <f t="shared" si="2"/>
        <v>104342.48007067514</v>
      </c>
      <c r="K12" s="34">
        <f t="shared" si="2"/>
        <v>149423.11101651285</v>
      </c>
      <c r="L12" s="34">
        <f t="shared" si="2"/>
        <v>214730.72344009357</v>
      </c>
      <c r="M12" s="34">
        <f t="shared" si="2"/>
        <v>309340.85091574688</v>
      </c>
      <c r="N12" s="34">
        <f t="shared" si="2"/>
        <v>446401.07848773943</v>
      </c>
      <c r="O12" s="34">
        <f t="shared" si="2"/>
        <v>644958.10914939363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/>
      <c r="B13" s="1"/>
      <c r="C13" s="17"/>
      <c r="D13" s="17"/>
      <c r="E13" s="17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/>
      <c r="B14" s="1" t="s">
        <v>29</v>
      </c>
      <c r="C14" s="17">
        <f>SUMIF('P&amp;L assumptions'!$B:$B,'P&amp;L'!B14,'P&amp;L assumptions'!C:C)</f>
        <v>-1700.3</v>
      </c>
      <c r="D14" s="17">
        <f>SUMIF('P&amp;L assumptions'!$B:$B,'P&amp;L'!$B14,'P&amp;L assumptions'!D:D)</f>
        <v>-2857.85</v>
      </c>
      <c r="E14" s="17">
        <f>SUMIF('P&amp;L assumptions'!$B:$B,'P&amp;L'!$B14,'P&amp;L assumptions'!E:E)</f>
        <v>-4205.8500000000004</v>
      </c>
      <c r="F14" s="32">
        <f>SUMIF('P&amp;L assumptions'!$B:$B,'P&amp;L'!$B14,'P&amp;L assumptions'!F:F)</f>
        <v>-3258.7839676839039</v>
      </c>
      <c r="G14" s="32">
        <f>SUMIF('P&amp;L assumptions'!$B:$B,'P&amp;L'!$B14,'P&amp;L assumptions'!G:G)</f>
        <v>-4720.9499039482253</v>
      </c>
      <c r="H14" s="32">
        <f>SUMIF('P&amp;L assumptions'!$B:$B,'P&amp;L'!$B14,'P&amp;L assumptions'!H:H)</f>
        <v>-6839.1670686378538</v>
      </c>
      <c r="I14" s="32">
        <f>SUMIF('P&amp;L assumptions'!$B:$B,'P&amp;L'!$B14,'P&amp;L assumptions'!I:I)</f>
        <v>-9907.7954954832894</v>
      </c>
      <c r="J14" s="32">
        <f>SUMIF('P&amp;L assumptions'!$B:$B,'P&amp;L'!$B14,'P&amp;L assumptions'!J:J)</f>
        <v>-14353.270010096452</v>
      </c>
      <c r="K14" s="32">
        <f>SUMIF('P&amp;L assumptions'!$B:$B,'P&amp;L'!$B14,'P&amp;L assumptions'!K:K)</f>
        <v>-20793.360145216135</v>
      </c>
      <c r="L14" s="32">
        <f>SUMIF('P&amp;L assumptions'!$B:$B,'P&amp;L'!$B14,'P&amp;L assumptions'!L:L)</f>
        <v>-30123.019062870495</v>
      </c>
      <c r="M14" s="32">
        <f>SUMIF('P&amp;L assumptions'!$B:$B,'P&amp;L'!$B14,'P&amp;L assumptions'!M:M)</f>
        <v>-43638.75155939244</v>
      </c>
      <c r="N14" s="32">
        <f>SUMIF('P&amp;L assumptions'!$B:$B,'P&amp;L'!$B14,'P&amp;L assumptions'!N:N)</f>
        <v>-63218.784069677073</v>
      </c>
      <c r="O14" s="32">
        <f>SUMIF('P&amp;L assumptions'!$B:$B,'P&amp;L'!$B14,'P&amp;L assumptions'!O:O)</f>
        <v>-91584.07416419909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/>
      <c r="B15" s="33" t="s">
        <v>50</v>
      </c>
      <c r="C15" s="34">
        <f t="shared" ref="C15:O15" si="3">C12+C14</f>
        <v>-13374.249999999996</v>
      </c>
      <c r="D15" s="34">
        <f t="shared" si="3"/>
        <v>-12768.089999999998</v>
      </c>
      <c r="E15" s="34">
        <f t="shared" si="3"/>
        <v>11094.269999999995</v>
      </c>
      <c r="F15" s="34">
        <f t="shared" si="3"/>
        <v>23422.293806103411</v>
      </c>
      <c r="G15" s="34">
        <f t="shared" si="3"/>
        <v>32195.289423689355</v>
      </c>
      <c r="H15" s="34">
        <f t="shared" si="3"/>
        <v>44904.592411827143</v>
      </c>
      <c r="I15" s="34">
        <f t="shared" si="3"/>
        <v>63316.362972899784</v>
      </c>
      <c r="J15" s="34">
        <f t="shared" si="3"/>
        <v>89989.210060578684</v>
      </c>
      <c r="K15" s="34">
        <f t="shared" si="3"/>
        <v>128629.75087129671</v>
      </c>
      <c r="L15" s="34">
        <f t="shared" si="3"/>
        <v>184607.70437722307</v>
      </c>
      <c r="M15" s="34">
        <f t="shared" si="3"/>
        <v>265702.09935635445</v>
      </c>
      <c r="N15" s="34">
        <f t="shared" si="3"/>
        <v>383182.29441806237</v>
      </c>
      <c r="O15" s="34">
        <f t="shared" si="3"/>
        <v>553374.03498519456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/>
      <c r="B16" s="35"/>
      <c r="C16" s="37"/>
      <c r="D16" s="37"/>
      <c r="E16" s="37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/>
      <c r="B17" s="1" t="s">
        <v>30</v>
      </c>
      <c r="C17" s="17">
        <f>SUMIF('P&amp;L assumptions'!$B:$B,'P&amp;L'!B17,'P&amp;L assumptions'!C:C)</f>
        <v>-483.76</v>
      </c>
      <c r="D17" s="17">
        <f>SUMIF('P&amp;L assumptions'!$B:$B,'P&amp;L'!$B17,'P&amp;L assumptions'!D:D)</f>
        <v>-581.91999999999996</v>
      </c>
      <c r="E17" s="17">
        <f>SUMIF('P&amp;L assumptions'!$B:$B,'P&amp;L'!$B17,'P&amp;L assumptions'!E:E)</f>
        <v>-714.03</v>
      </c>
      <c r="F17" s="32">
        <f>SUMIF('P&amp;L assumptions'!$B:$B,'P&amp;L'!$B17,'P&amp;L assumptions'!F:F)</f>
        <v>-714.03</v>
      </c>
      <c r="G17" s="32">
        <f>SUMIF('P&amp;L assumptions'!$B:$B,'P&amp;L'!$B17,'P&amp;L assumptions'!G:G)</f>
        <v>-714.03</v>
      </c>
      <c r="H17" s="32">
        <f>SUMIF('P&amp;L assumptions'!$B:$B,'P&amp;L'!$B17,'P&amp;L assumptions'!H:H)</f>
        <v>-714.03</v>
      </c>
      <c r="I17" s="32">
        <f>SUMIF('P&amp;L assumptions'!$B:$B,'P&amp;L'!$B17,'P&amp;L assumptions'!I:I)</f>
        <v>-714.03</v>
      </c>
      <c r="J17" s="32">
        <f>SUMIF('P&amp;L assumptions'!$B:$B,'P&amp;L'!$B17,'P&amp;L assumptions'!J:J)</f>
        <v>-714.03</v>
      </c>
      <c r="K17" s="32">
        <f>SUMIF('P&amp;L assumptions'!$B:$B,'P&amp;L'!$B17,'P&amp;L assumptions'!K:K)</f>
        <v>-714.03</v>
      </c>
      <c r="L17" s="32">
        <f>SUMIF('P&amp;L assumptions'!$B:$B,'P&amp;L'!$B17,'P&amp;L assumptions'!L:L)</f>
        <v>-714.03</v>
      </c>
      <c r="M17" s="32">
        <f>SUMIF('P&amp;L assumptions'!$B:$B,'P&amp;L'!$B17,'P&amp;L assumptions'!M:M)</f>
        <v>-714.03</v>
      </c>
      <c r="N17" s="32">
        <f>SUMIF('P&amp;L assumptions'!$B:$B,'P&amp;L'!$B17,'P&amp;L assumptions'!N:N)</f>
        <v>-714.03</v>
      </c>
      <c r="O17" s="32">
        <f>SUMIF('P&amp;L assumptions'!$B:$B,'P&amp;L'!$B17,'P&amp;L assumptions'!O:O)</f>
        <v>-714.03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/>
      <c r="B18" s="1" t="s">
        <v>31</v>
      </c>
      <c r="C18" s="17">
        <f>SUMIF('P&amp;L assumptions'!$B:$B,'P&amp;L'!B18,'P&amp;L assumptions'!C:C)</f>
        <v>-1732.04</v>
      </c>
      <c r="D18" s="17">
        <f>SUMIF('P&amp;L assumptions'!$B:$B,'P&amp;L'!$B18,'P&amp;L assumptions'!D:D)</f>
        <v>-92.56</v>
      </c>
      <c r="E18" s="17">
        <f>SUMIF('P&amp;L assumptions'!$B:$B,'P&amp;L'!$B18,'P&amp;L assumptions'!E:E)</f>
        <v>-305.94</v>
      </c>
      <c r="F18" s="32">
        <f>SUMIF('P&amp;L assumptions'!$B:$B,'P&amp;L'!$B18,'P&amp;L assumptions'!F:F)</f>
        <v>0</v>
      </c>
      <c r="G18" s="32">
        <f>SUMIF('P&amp;L assumptions'!$B:$B,'P&amp;L'!$B18,'P&amp;L assumptions'!G:G)</f>
        <v>0</v>
      </c>
      <c r="H18" s="32">
        <f>SUMIF('P&amp;L assumptions'!$B:$B,'P&amp;L'!$B18,'P&amp;L assumptions'!H:H)</f>
        <v>0</v>
      </c>
      <c r="I18" s="32">
        <f>SUMIF('P&amp;L assumptions'!$B:$B,'P&amp;L'!$B18,'P&amp;L assumptions'!I:I)</f>
        <v>0</v>
      </c>
      <c r="J18" s="32">
        <f>SUMIF('P&amp;L assumptions'!$B:$B,'P&amp;L'!$B18,'P&amp;L assumptions'!J:J)</f>
        <v>0</v>
      </c>
      <c r="K18" s="32">
        <f>SUMIF('P&amp;L assumptions'!$B:$B,'P&amp;L'!$B18,'P&amp;L assumptions'!K:K)</f>
        <v>0</v>
      </c>
      <c r="L18" s="32">
        <f>SUMIF('P&amp;L assumptions'!$B:$B,'P&amp;L'!$B18,'P&amp;L assumptions'!L:L)</f>
        <v>0</v>
      </c>
      <c r="M18" s="32">
        <f>SUMIF('P&amp;L assumptions'!$B:$B,'P&amp;L'!$B18,'P&amp;L assumptions'!M:M)</f>
        <v>0</v>
      </c>
      <c r="N18" s="32">
        <f>SUMIF('P&amp;L assumptions'!$B:$B,'P&amp;L'!$B18,'P&amp;L assumptions'!N:N)</f>
        <v>0</v>
      </c>
      <c r="O18" s="32">
        <f>SUMIF('P&amp;L assumptions'!$B:$B,'P&amp;L'!$B18,'P&amp;L assumptions'!O:O)</f>
        <v>0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/>
      <c r="B19" s="33" t="s">
        <v>51</v>
      </c>
      <c r="C19" s="34">
        <f t="shared" ref="C19:O19" si="4">C15+(C17+C18)</f>
        <v>-15590.049999999996</v>
      </c>
      <c r="D19" s="34">
        <f t="shared" si="4"/>
        <v>-13442.569999999998</v>
      </c>
      <c r="E19" s="34">
        <f t="shared" si="4"/>
        <v>10074.299999999996</v>
      </c>
      <c r="F19" s="34">
        <f t="shared" si="4"/>
        <v>22708.263806103412</v>
      </c>
      <c r="G19" s="34">
        <f t="shared" si="4"/>
        <v>31481.259423689356</v>
      </c>
      <c r="H19" s="34">
        <f t="shared" si="4"/>
        <v>44190.562411827144</v>
      </c>
      <c r="I19" s="34">
        <f t="shared" si="4"/>
        <v>62602.332972899785</v>
      </c>
      <c r="J19" s="34">
        <f t="shared" si="4"/>
        <v>89275.180060578685</v>
      </c>
      <c r="K19" s="34">
        <f t="shared" si="4"/>
        <v>127915.72087129671</v>
      </c>
      <c r="L19" s="34">
        <f t="shared" si="4"/>
        <v>183893.67437722307</v>
      </c>
      <c r="M19" s="34">
        <f t="shared" si="4"/>
        <v>264988.06935635442</v>
      </c>
      <c r="N19" s="34">
        <f t="shared" si="4"/>
        <v>382468.26441806235</v>
      </c>
      <c r="O19" s="34">
        <f t="shared" si="4"/>
        <v>552660.00498519454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/>
      <c r="B20" s="17"/>
      <c r="C20" s="17"/>
      <c r="D20" s="17"/>
      <c r="E20" s="17"/>
      <c r="F20" s="32"/>
      <c r="G20" s="32"/>
      <c r="H20" s="32"/>
      <c r="I20" s="32"/>
      <c r="J20" s="32"/>
      <c r="K20" s="32"/>
      <c r="L20" s="32"/>
      <c r="M20" s="32"/>
      <c r="N20" s="32"/>
      <c r="O20" s="3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/>
      <c r="B21" s="1" t="s">
        <v>52</v>
      </c>
      <c r="C21" s="39">
        <v>0</v>
      </c>
      <c r="D21" s="39">
        <v>0</v>
      </c>
      <c r="E21" s="39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/>
      <c r="B22" s="1" t="s">
        <v>53</v>
      </c>
      <c r="C22" s="41">
        <v>0</v>
      </c>
      <c r="D22" s="41">
        <v>0</v>
      </c>
      <c r="E22" s="41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/>
      <c r="B23" s="1"/>
      <c r="C23" s="17"/>
      <c r="D23" s="17"/>
      <c r="E23" s="17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/>
      <c r="B24" s="43" t="s">
        <v>54</v>
      </c>
      <c r="C24" s="44">
        <f t="shared" ref="C24:O24" si="5">C19-C22</f>
        <v>-15590.049999999996</v>
      </c>
      <c r="D24" s="44">
        <f t="shared" si="5"/>
        <v>-13442.569999999998</v>
      </c>
      <c r="E24" s="44">
        <f t="shared" si="5"/>
        <v>10074.299999999996</v>
      </c>
      <c r="F24" s="44">
        <f t="shared" si="5"/>
        <v>22708.263806103412</v>
      </c>
      <c r="G24" s="44">
        <f t="shared" si="5"/>
        <v>31481.259423689356</v>
      </c>
      <c r="H24" s="44">
        <f t="shared" si="5"/>
        <v>44190.562411827144</v>
      </c>
      <c r="I24" s="44">
        <f t="shared" si="5"/>
        <v>62602.332972899785</v>
      </c>
      <c r="J24" s="44">
        <f t="shared" si="5"/>
        <v>89275.180060578685</v>
      </c>
      <c r="K24" s="44">
        <f t="shared" si="5"/>
        <v>127915.72087129671</v>
      </c>
      <c r="L24" s="44">
        <f t="shared" si="5"/>
        <v>183893.67437722307</v>
      </c>
      <c r="M24" s="44">
        <f t="shared" si="5"/>
        <v>264988.06935635442</v>
      </c>
      <c r="N24" s="44">
        <f t="shared" si="5"/>
        <v>382468.26441806235</v>
      </c>
      <c r="O24" s="44">
        <f t="shared" si="5"/>
        <v>552660.00498519454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/>
      <c r="B25" s="1"/>
      <c r="C25" s="17"/>
      <c r="D25" s="17"/>
      <c r="E25" s="17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/>
      <c r="B26" s="1"/>
      <c r="C26" s="17"/>
      <c r="D26" s="17"/>
      <c r="E26" s="17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/>
      <c r="B27" s="1"/>
      <c r="C27" s="17"/>
      <c r="D27" s="17"/>
      <c r="E27" s="17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/>
      <c r="B28" s="1"/>
      <c r="C28" s="17"/>
      <c r="D28" s="17"/>
      <c r="E28" s="17"/>
      <c r="F28" s="1"/>
      <c r="G28" s="1"/>
      <c r="H28" s="1"/>
      <c r="I28" s="1"/>
      <c r="J28" s="1" t="s">
        <v>55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/>
      <c r="B56" s="1">
        <v>1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topLeftCell="E1" zoomScaleNormal="100" workbookViewId="0">
      <selection activeCell="E19" sqref="E19"/>
    </sheetView>
  </sheetViews>
  <sheetFormatPr defaultColWidth="14.453125" defaultRowHeight="14.5" x14ac:dyDescent="0.35"/>
  <cols>
    <col min="1" max="1" width="1.36328125" customWidth="1"/>
    <col min="2" max="2" width="16" customWidth="1"/>
    <col min="3" max="3" width="25.90625" customWidth="1"/>
    <col min="4" max="4" width="25.81640625" customWidth="1"/>
    <col min="5" max="5" width="29.36328125" bestFit="1" customWidth="1"/>
    <col min="6" max="6" width="24.453125" bestFit="1" customWidth="1"/>
    <col min="7" max="7" width="24.7265625" bestFit="1" customWidth="1"/>
    <col min="8" max="8" width="24.6328125" bestFit="1" customWidth="1"/>
    <col min="9" max="9" width="23.81640625" bestFit="1" customWidth="1"/>
    <col min="10" max="10" width="24.26953125" bestFit="1" customWidth="1"/>
    <col min="11" max="11" width="24.54296875" bestFit="1" customWidth="1"/>
    <col min="12" max="12" width="24.36328125" bestFit="1" customWidth="1"/>
    <col min="13" max="13" width="24.81640625" bestFit="1" customWidth="1"/>
    <col min="14" max="14" width="24.6328125" bestFit="1" customWidth="1"/>
    <col min="15" max="15" width="24.7265625" bestFit="1" customWidth="1"/>
    <col min="16" max="16" width="11.453125" bestFit="1" customWidth="1"/>
    <col min="17" max="26" width="9.08984375" customWidth="1"/>
  </cols>
  <sheetData>
    <row r="1" spans="1:26" ht="15.5" x14ac:dyDescent="0.35">
      <c r="A1" s="1"/>
      <c r="B1" s="24" t="s">
        <v>56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4" x14ac:dyDescent="0.35">
      <c r="A3" s="1"/>
      <c r="B3" s="25" t="s">
        <v>33</v>
      </c>
      <c r="C3" s="11" t="s">
        <v>10</v>
      </c>
      <c r="D3" s="11" t="s">
        <v>11</v>
      </c>
      <c r="E3" s="11" t="s">
        <v>12</v>
      </c>
      <c r="F3" s="12" t="s">
        <v>13</v>
      </c>
      <c r="G3" s="12" t="s">
        <v>14</v>
      </c>
      <c r="H3" s="12" t="s">
        <v>15</v>
      </c>
      <c r="I3" s="12" t="s">
        <v>16</v>
      </c>
      <c r="J3" s="12" t="s">
        <v>17</v>
      </c>
      <c r="K3" s="12" t="s">
        <v>18</v>
      </c>
      <c r="L3" s="12" t="s">
        <v>19</v>
      </c>
      <c r="M3" s="12" t="s">
        <v>20</v>
      </c>
      <c r="N3" s="12" t="s">
        <v>21</v>
      </c>
      <c r="O3" s="12" t="s">
        <v>22</v>
      </c>
      <c r="P3" s="31" t="s">
        <v>45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5">
      <c r="A4" s="1"/>
      <c r="B4" s="1" t="s">
        <v>57</v>
      </c>
      <c r="C4" s="17">
        <f>SUM('BS source'!C8:C9)</f>
        <v>272.14999999999998</v>
      </c>
      <c r="D4" s="17">
        <f>SUM('BS source'!D8:D9)</f>
        <v>6455.12</v>
      </c>
      <c r="E4" s="17">
        <f>SUM('BS source'!E8:E9)</f>
        <v>10007.780000000001</v>
      </c>
      <c r="F4" s="18">
        <f t="shared" ref="F4:O4" si="0">$E$4</f>
        <v>10007.780000000001</v>
      </c>
      <c r="G4" s="18">
        <f t="shared" si="0"/>
        <v>10007.780000000001</v>
      </c>
      <c r="H4" s="18">
        <f t="shared" si="0"/>
        <v>10007.780000000001</v>
      </c>
      <c r="I4" s="18">
        <f t="shared" si="0"/>
        <v>10007.780000000001</v>
      </c>
      <c r="J4" s="18">
        <f t="shared" si="0"/>
        <v>10007.780000000001</v>
      </c>
      <c r="K4" s="18">
        <f t="shared" si="0"/>
        <v>10007.780000000001</v>
      </c>
      <c r="L4" s="18">
        <f t="shared" si="0"/>
        <v>10007.780000000001</v>
      </c>
      <c r="M4" s="18">
        <f t="shared" si="0"/>
        <v>10007.780000000001</v>
      </c>
      <c r="N4" s="18">
        <f t="shared" si="0"/>
        <v>10007.780000000001</v>
      </c>
      <c r="O4" s="18">
        <f t="shared" si="0"/>
        <v>10007.780000000001</v>
      </c>
      <c r="P4" s="1" t="s">
        <v>58</v>
      </c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5">
      <c r="A5" s="1"/>
      <c r="B5" s="1" t="s">
        <v>40</v>
      </c>
      <c r="C5" s="17">
        <f>SUMIF('BS assumptions'!$B:$B,BS!$B5,'BS assumptions'!C:C)</f>
        <v>7738</v>
      </c>
      <c r="D5" s="17">
        <f>SUMIF('BS assumptions'!$B:$B,BS!$B5,'BS assumptions'!D:D)</f>
        <v>8595.74</v>
      </c>
      <c r="E5" s="17">
        <f>SUMIF('BS assumptions'!$B:$B,BS!$B5,'BS assumptions'!E:E)</f>
        <v>10405.84</v>
      </c>
      <c r="F5" s="18">
        <f>SUMIF('BS assumptions'!$B:$B,BS!$B5,'BS assumptions'!F:F)</f>
        <v>18040.761324229006</v>
      </c>
      <c r="G5" s="18">
        <f>SUMIF('BS assumptions'!$B:$B,BS!$B5,'BS assumptions'!G:G)</f>
        <v>26135.371747671823</v>
      </c>
      <c r="H5" s="18">
        <f>SUMIF('BS assumptions'!$B:$B,BS!$B5,'BS assumptions'!H:H)</f>
        <v>37861.908603138945</v>
      </c>
      <c r="I5" s="18">
        <f>SUMIF('BS assumptions'!$B:$B,BS!$B5,'BS assumptions'!I:I)</f>
        <v>54849.961076224106</v>
      </c>
      <c r="J5" s="18">
        <f>SUMIF('BS assumptions'!$B:$B,BS!$B5,'BS assumptions'!J:J)</f>
        <v>79460.289802027532</v>
      </c>
      <c r="K5" s="18">
        <f>SUMIF('BS assumptions'!$B:$B,BS!$B5,'BS assumptions'!K:K)</f>
        <v>115112.89217959195</v>
      </c>
      <c r="L5" s="18">
        <f>SUMIF('BS assumptions'!$B:$B,BS!$B5,'BS assumptions'!L:L)</f>
        <v>166762.26551607976</v>
      </c>
      <c r="M5" s="18">
        <f>SUMIF('BS assumptions'!$B:$B,BS!$B5,'BS assumptions'!M:M)</f>
        <v>241585.91338899382</v>
      </c>
      <c r="N5" s="18">
        <f>SUMIF('BS assumptions'!$B:$B,BS!$B5,'BS assumptions'!N:N)</f>
        <v>349981.77415841597</v>
      </c>
      <c r="O5" s="18">
        <f>SUMIF('BS assumptions'!$B:$B,BS!$B5,'BS assumptions'!O:O)</f>
        <v>507013.1802173726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5">
      <c r="A6" s="1"/>
      <c r="B6" s="1" t="s">
        <v>59</v>
      </c>
      <c r="C6" s="17">
        <f>SUM('BS source'!C10:C12,'BS source'!C21,'BS source'!C22,'BS source'!C18)</f>
        <v>107328.64</v>
      </c>
      <c r="D6" s="17">
        <f>SUM('BS source'!D10:D12,'BS source'!D21,'BS source'!D22,'BS source'!D18)</f>
        <v>73043.34</v>
      </c>
      <c r="E6" s="17">
        <f>SUM('BS source'!E10:E12,'BS source'!E21,'BS source'!E22,'BS source'!E18)</f>
        <v>60966.009999999995</v>
      </c>
      <c r="F6" s="18">
        <f t="shared" ref="F6:O6" si="1">$E$6</f>
        <v>60966.009999999995</v>
      </c>
      <c r="G6" s="18">
        <f t="shared" si="1"/>
        <v>60966.009999999995</v>
      </c>
      <c r="H6" s="18">
        <f t="shared" si="1"/>
        <v>60966.009999999995</v>
      </c>
      <c r="I6" s="18">
        <f t="shared" si="1"/>
        <v>60966.009999999995</v>
      </c>
      <c r="J6" s="18">
        <f t="shared" si="1"/>
        <v>60966.009999999995</v>
      </c>
      <c r="K6" s="18">
        <f t="shared" si="1"/>
        <v>60966.009999999995</v>
      </c>
      <c r="L6" s="18">
        <f t="shared" si="1"/>
        <v>60966.009999999995</v>
      </c>
      <c r="M6" s="18">
        <f t="shared" si="1"/>
        <v>60966.009999999995</v>
      </c>
      <c r="N6" s="18">
        <f t="shared" si="1"/>
        <v>60966.009999999995</v>
      </c>
      <c r="O6" s="18">
        <f t="shared" si="1"/>
        <v>60966.009999999995</v>
      </c>
      <c r="P6" s="1" t="s">
        <v>58</v>
      </c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5">
      <c r="A7" s="1"/>
      <c r="B7" s="1"/>
      <c r="C7" s="17"/>
      <c r="D7" s="17"/>
      <c r="E7" s="17"/>
      <c r="F7" s="18"/>
      <c r="G7" s="18"/>
      <c r="H7" s="18"/>
      <c r="I7" s="18"/>
      <c r="J7" s="18"/>
      <c r="K7" s="18"/>
      <c r="L7" s="18"/>
      <c r="M7" s="18"/>
      <c r="N7" s="18"/>
      <c r="O7" s="18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5">
      <c r="A8" s="1"/>
      <c r="B8" s="1" t="s">
        <v>36</v>
      </c>
      <c r="C8" s="17">
        <f>SUMIF('BS assumptions'!$B:$B,BS!$B8,'BS assumptions'!C:C)</f>
        <v>177.4</v>
      </c>
      <c r="D8" s="17">
        <f>SUMIF('BS assumptions'!$B:$B,BS!$B8,'BS assumptions'!D:D)</f>
        <v>106.41</v>
      </c>
      <c r="E8" s="17">
        <f>SUMIF('BS assumptions'!$B:$B,BS!$B8,'BS assumptions'!E:E)</f>
        <v>486.9</v>
      </c>
      <c r="F8" s="18">
        <f>SUMIF('BS assumptions'!$B:$B,BS!$B8,'BS assumptions'!F:F)</f>
        <v>706.4722709474222</v>
      </c>
      <c r="G8" s="18">
        <f>SUMIF('BS assumptions'!$B:$B,BS!$B8,'BS assumptions'!G:G)</f>
        <v>1023.4554461864923</v>
      </c>
      <c r="H8" s="18">
        <f>SUMIF('BS assumptions'!$B:$B,BS!$B8,'BS assumptions'!H:H)</f>
        <v>1482.6640668063069</v>
      </c>
      <c r="I8" s="18">
        <f>SUMIF('BS assumptions'!$B:$B,BS!$B8,'BS assumptions'!I:I)</f>
        <v>2147.9124891950082</v>
      </c>
      <c r="J8" s="18">
        <f>SUMIF('BS assumptions'!$B:$B,BS!$B8,'BS assumptions'!J:J)</f>
        <v>3111.6475839180107</v>
      </c>
      <c r="K8" s="18">
        <f>SUMIF('BS assumptions'!$B:$B,BS!$B8,'BS assumptions'!K:K)</f>
        <v>4507.7957017380786</v>
      </c>
      <c r="L8" s="18">
        <f>SUMIF('BS assumptions'!$B:$B,BS!$B8,'BS assumptions'!L:L)</f>
        <v>6530.3738744804195</v>
      </c>
      <c r="M8" s="18">
        <f>SUMIF('BS assumptions'!$B:$B,BS!$B8,'BS assumptions'!M:M)</f>
        <v>9460.4515737155943</v>
      </c>
      <c r="N8" s="18">
        <f>SUMIF('BS assumptions'!$B:$B,BS!$B8,'BS assumptions'!N:N)</f>
        <v>13705.209793327311</v>
      </c>
      <c r="O8" s="18">
        <f>SUMIF('BS assumptions'!$B:$B,BS!$B8,'BS assumptions'!O:O)</f>
        <v>19854.525337984847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5">
      <c r="A9" s="1"/>
      <c r="B9" s="1" t="s">
        <v>34</v>
      </c>
      <c r="C9" s="17">
        <f>SUMIF('BS assumptions'!$B:$B,BS!$B9,'BS assumptions'!C:C)</f>
        <v>11119.32</v>
      </c>
      <c r="D9" s="17">
        <f>SUMIF('BS assumptions'!$B:$B,BS!$B9,'BS assumptions'!D:D)</f>
        <v>10623.49</v>
      </c>
      <c r="E9" s="17">
        <f>SUMIF('BS assumptions'!$B:$B,BS!$B9,'BS assumptions'!E:E)</f>
        <v>9638.5</v>
      </c>
      <c r="F9" s="18">
        <f>SUMIF('BS assumptions'!$B:$B,BS!$B9,'BS assumptions'!F:F)</f>
        <v>13963.145793166816</v>
      </c>
      <c r="G9" s="18">
        <f>SUMIF('BS assumptions'!$B:$B,BS!$B9,'BS assumptions'!G:G)</f>
        <v>20228.193229364755</v>
      </c>
      <c r="H9" s="18">
        <f>SUMIF('BS assumptions'!$B:$B,BS!$B9,'BS assumptions'!H:H)</f>
        <v>29304.270497895934</v>
      </c>
      <c r="I9" s="18">
        <f>SUMIF('BS assumptions'!$B:$B,BS!$B9,'BS assumptions'!I:I)</f>
        <v>42452.64318353666</v>
      </c>
      <c r="J9" s="18">
        <f>SUMIF('BS assumptions'!$B:$B,BS!$B9,'BS assumptions'!J:J)</f>
        <v>61500.487220730603</v>
      </c>
      <c r="K9" s="18">
        <f>SUMIF('BS assumptions'!$B:$B,BS!$B9,'BS assumptions'!K:K)</f>
        <v>89094.804109960489</v>
      </c>
      <c r="L9" s="18">
        <f>SUMIF('BS assumptions'!$B:$B,BS!$B9,'BS assumptions'!L:L)</f>
        <v>129070.26396234025</v>
      </c>
      <c r="M9" s="18">
        <f>SUMIF('BS assumptions'!$B:$B,BS!$B9,'BS assumptions'!M:M)</f>
        <v>186982.09402590469</v>
      </c>
      <c r="N9" s="18">
        <f>SUMIF('BS assumptions'!$B:$B,BS!$B9,'BS assumptions'!N:N)</f>
        <v>270878.06604713737</v>
      </c>
      <c r="O9" s="18">
        <f>SUMIF('BS assumptions'!$B:$B,BS!$B9,'BS assumptions'!O:O)</f>
        <v>392416.86241502821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5">
      <c r="A10" s="1"/>
      <c r="B10" s="1" t="s">
        <v>42</v>
      </c>
      <c r="C10" s="17">
        <f>SUMIF('BS assumptions'!$B:$B,BS!$B10,'BS assumptions'!C:C)</f>
        <v>6460.55</v>
      </c>
      <c r="D10" s="17">
        <f>SUMIF('BS assumptions'!$B:$B,BS!$B10,'BS assumptions'!D:D)</f>
        <v>5657.14</v>
      </c>
      <c r="E10" s="17">
        <f>SUMIF('BS assumptions'!$B:$B,BS!$B10,'BS assumptions'!E:E)</f>
        <v>4918.67</v>
      </c>
      <c r="F10" s="18">
        <f>SUMIF('BS assumptions'!$B:$B,BS!$B10,'BS assumptions'!F:F)</f>
        <v>12243.666221261094</v>
      </c>
      <c r="G10" s="18">
        <f>SUMIF('BS assumptions'!$B:$B,BS!$B10,'BS assumptions'!G:G)</f>
        <v>17737.209782677855</v>
      </c>
      <c r="H10" s="18">
        <f>SUMIF('BS assumptions'!$B:$B,BS!$B10,'BS assumptions'!H:H)</f>
        <v>25695.621326919707</v>
      </c>
      <c r="I10" s="18">
        <f>SUMIF('BS assumptions'!$B:$B,BS!$B10,'BS assumptions'!I:I)</f>
        <v>37224.848973780827</v>
      </c>
      <c r="J10" s="18">
        <f>SUMIF('BS assumptions'!$B:$B,BS!$B10,'BS assumptions'!J:J)</f>
        <v>53927.062649739884</v>
      </c>
      <c r="K10" s="18">
        <f>SUMIF('BS assumptions'!$B:$B,BS!$B10,'BS assumptions'!K:K)</f>
        <v>78123.30113353311</v>
      </c>
      <c r="L10" s="18">
        <f>SUMIF('BS assumptions'!$B:$B,BS!$B10,'BS assumptions'!L:L)</f>
        <v>113176.01738558877</v>
      </c>
      <c r="M10" s="18">
        <f>SUMIF('BS assumptions'!$B:$B,BS!$B10,'BS assumptions'!M:M)</f>
        <v>163956.34497535494</v>
      </c>
      <c r="N10" s="18">
        <f>SUMIF('BS assumptions'!$B:$B,BS!$B10,'BS assumptions'!N:N)</f>
        <v>237521.01972357056</v>
      </c>
      <c r="O10" s="18">
        <f>SUMIF('BS assumptions'!$B:$B,BS!$B10,'BS assumptions'!O:O)</f>
        <v>344093.02560998779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5">
      <c r="A11" s="1"/>
      <c r="B11" s="1"/>
      <c r="C11" s="17"/>
      <c r="D11" s="17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5">
      <c r="A12" s="1"/>
      <c r="B12" s="1" t="s">
        <v>60</v>
      </c>
      <c r="C12" s="17">
        <f>'BS source'!C20</f>
        <v>10961.31</v>
      </c>
      <c r="D12" s="17">
        <f>'BS source'!D20</f>
        <v>8325.2099999999991</v>
      </c>
      <c r="E12" s="17">
        <f>'BS source'!E20</f>
        <v>8870.51</v>
      </c>
      <c r="F12" s="18">
        <f>E12+'Cash Flow'!E29</f>
        <v>18937.111001255071</v>
      </c>
      <c r="G12" s="18">
        <f>F12+'Cash Flow'!F29</f>
        <v>38865.626559010037</v>
      </c>
      <c r="H12" s="18">
        <f>G12+'Cash Flow'!G29</f>
        <v>66319.907712222732</v>
      </c>
      <c r="I12" s="18">
        <f>H12+'Cash Flow'!H29</f>
        <v>104676.64902153594</v>
      </c>
      <c r="J12" s="18">
        <f>I12+'Cash Flow'!I29</f>
        <v>158827.61564223815</v>
      </c>
      <c r="K12" s="18">
        <f>J12+'Cash Flow'!J29</f>
        <v>235859.43205419942</v>
      </c>
      <c r="L12" s="18">
        <f>K12+'Cash Flow'!K29</f>
        <v>346038.38147512521</v>
      </c>
      <c r="M12" s="18">
        <f>L12+'Cash Flow'!L29</f>
        <v>504237.06953065767</v>
      </c>
      <c r="N12" s="18">
        <f>M12+'Cash Flow'!M29</f>
        <v>732001.20983548055</v>
      </c>
      <c r="O12" s="18">
        <f>N12+'Cash Flow'!N29</f>
        <v>1060543.7442809294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/>
      <c r="B13" s="1"/>
      <c r="C13" s="1"/>
      <c r="D13" s="1"/>
      <c r="E13" s="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/>
      <c r="B14" s="45" t="s">
        <v>61</v>
      </c>
      <c r="C14" s="46">
        <f t="shared" ref="C14:O14" si="2">SUM(C4:C12)</f>
        <v>144057.36999999997</v>
      </c>
      <c r="D14" s="46">
        <f t="shared" si="2"/>
        <v>112806.45000000001</v>
      </c>
      <c r="E14" s="46">
        <f t="shared" si="2"/>
        <v>105294.20999999999</v>
      </c>
      <c r="F14" s="46">
        <f t="shared" si="2"/>
        <v>134864.94661085939</v>
      </c>
      <c r="G14" s="46">
        <f t="shared" si="2"/>
        <v>174963.64676491095</v>
      </c>
      <c r="H14" s="46">
        <f t="shared" si="2"/>
        <v>231638.1622069836</v>
      </c>
      <c r="I14" s="46">
        <f t="shared" si="2"/>
        <v>312325.80474427255</v>
      </c>
      <c r="J14" s="46">
        <f t="shared" si="2"/>
        <v>427800.89289865422</v>
      </c>
      <c r="K14" s="46">
        <f t="shared" si="2"/>
        <v>593672.01517902303</v>
      </c>
      <c r="L14" s="46">
        <f t="shared" si="2"/>
        <v>832551.09221361438</v>
      </c>
      <c r="M14" s="46">
        <f t="shared" si="2"/>
        <v>1177195.6634946268</v>
      </c>
      <c r="N14" s="46">
        <f t="shared" si="2"/>
        <v>1675061.0695579317</v>
      </c>
      <c r="O14" s="46">
        <f t="shared" si="2"/>
        <v>2394895.1278613033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/>
      <c r="B15" s="1"/>
      <c r="C15" s="17"/>
      <c r="D15" s="17"/>
      <c r="E15" s="17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/>
      <c r="B16" s="1" t="s">
        <v>38</v>
      </c>
      <c r="C16" s="17">
        <f>SUMIF('BS assumptions'!$B:$B,BS!$B16,'BS assumptions'!C:C)</f>
        <v>9561.42</v>
      </c>
      <c r="D16" s="17">
        <f>SUMIF('BS assumptions'!$B:$B,BS!$B16,'BS assumptions'!D:D)</f>
        <v>8731.74</v>
      </c>
      <c r="E16" s="17">
        <f>SUMIF('BS assumptions'!$B:$B,BS!$B16,'BS assumptions'!E:E)</f>
        <v>8808.98</v>
      </c>
      <c r="F16" s="18">
        <f>SUMIF('BS assumptions'!$B:$B,BS!$B16,'BS assumptions'!F:F)</f>
        <v>12781.474851777415</v>
      </c>
      <c r="G16" s="18">
        <f>SUMIF('BS assumptions'!$B:$B,BS!$B16,'BS assumptions'!G:G)</f>
        <v>18516.324823059942</v>
      </c>
      <c r="H16" s="18">
        <f>SUMIF('BS assumptions'!$B:$B,BS!$B16,'BS assumptions'!H:H)</f>
        <v>26824.313229031461</v>
      </c>
      <c r="I16" s="18">
        <f>SUMIF('BS assumptions'!$B:$B,BS!$B16,'BS assumptions'!I:I)</f>
        <v>38859.96746574049</v>
      </c>
      <c r="J16" s="18">
        <f>SUMIF('BS assumptions'!$B:$B,BS!$B16,'BS assumptions'!J:J)</f>
        <v>56295.833505405782</v>
      </c>
      <c r="K16" s="18">
        <f>SUMIF('BS assumptions'!$B:$B,BS!$B16,'BS assumptions'!K:K)</f>
        <v>81554.90281515033</v>
      </c>
      <c r="L16" s="18">
        <f>SUMIF('BS assumptions'!$B:$B,BS!$B16,'BS assumptions'!L:L)</f>
        <v>118147.32563733932</v>
      </c>
      <c r="M16" s="18">
        <f>SUMIF('BS assumptions'!$B:$B,BS!$B16,'BS assumptions'!M:M)</f>
        <v>171158.20230813141</v>
      </c>
      <c r="N16" s="18">
        <f>SUMIF('BS assumptions'!$B:$B,BS!$B16,'BS assumptions'!N:N)</f>
        <v>247954.23899204031</v>
      </c>
      <c r="O16" s="18">
        <f>SUMIF('BS assumptions'!$B:$B,BS!$B16,'BS assumptions'!O:O)</f>
        <v>359207.46890901984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/>
      <c r="B17" s="1" t="s">
        <v>43</v>
      </c>
      <c r="C17" s="17">
        <f>SUMIF('BS assumptions'!$B:$B,BS!$B17,'BS assumptions'!C:C)</f>
        <v>2731.5099999999779</v>
      </c>
      <c r="D17" s="17">
        <f>SUMIF('BS assumptions'!$B:$B,BS!$B17,'BS assumptions'!D:D)</f>
        <v>3221.66</v>
      </c>
      <c r="E17" s="17">
        <f>SUMIF('BS assumptions'!$B:$B,BS!$B17,'BS assumptions'!E:E)</f>
        <v>3534.56</v>
      </c>
      <c r="F17" s="18">
        <f>SUMIF('BS assumptions'!$B:$B,BS!$B17,'BS assumptions'!F:F)</f>
        <v>6424.5379529785805</v>
      </c>
      <c r="G17" s="18">
        <f>SUMIF('BS assumptions'!$B:$B,BS!$B17,'BS assumptions'!G:G)</f>
        <v>9307.1287120582474</v>
      </c>
      <c r="H17" s="18">
        <f>SUMIF('BS assumptions'!$B:$B,BS!$B17,'BS assumptions'!H:H)</f>
        <v>13483.093336332233</v>
      </c>
      <c r="I17" s="18">
        <f>SUMIF('BS assumptions'!$B:$B,BS!$B17,'BS assumptions'!I:I)</f>
        <v>19532.748664012342</v>
      </c>
      <c r="J17" s="18">
        <f>SUMIF('BS assumptions'!$B:$B,BS!$B17,'BS assumptions'!J:J)</f>
        <v>28296.790718149994</v>
      </c>
      <c r="K17" s="18">
        <f>SUMIF('BS assumptions'!$B:$B,BS!$B17,'BS assumptions'!K:K)</f>
        <v>40993.122817477612</v>
      </c>
      <c r="L17" s="18">
        <f>SUMIF('BS assumptions'!$B:$B,BS!$B17,'BS assumptions'!L:L)</f>
        <v>59386.102652656868</v>
      </c>
      <c r="M17" s="18">
        <f>SUMIF('BS assumptions'!$B:$B,BS!$B17,'BS assumptions'!M:M)</f>
        <v>86031.727906522647</v>
      </c>
      <c r="N17" s="18">
        <f>SUMIF('BS assumptions'!$B:$B,BS!$B17,'BS assumptions'!N:N)</f>
        <v>124632.83286785641</v>
      </c>
      <c r="O17" s="18">
        <f>SUMIF('BS assumptions'!$B:$B,BS!$B17,'BS assumptions'!O:O)</f>
        <v>180553.65626905355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/>
      <c r="B18" s="1"/>
      <c r="C18" s="17"/>
      <c r="D18" s="17"/>
      <c r="E18" s="17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/>
      <c r="B19" s="120" t="s">
        <v>62</v>
      </c>
      <c r="C19" s="17">
        <f>SUM('BS source'!H13:H15,'BS source'!H20:H21,'BS source'!H23)</f>
        <v>9094.630000000001</v>
      </c>
      <c r="D19" s="17">
        <f>SUM('BS source'!I13:I15,'BS source'!I20:I21,'BS source'!I23)</f>
        <v>10286.93</v>
      </c>
      <c r="E19" s="17">
        <f>SUM('BS source'!J13:J15,'BS source'!J20:J21,'BS source'!J23)</f>
        <v>15036.060000000001</v>
      </c>
      <c r="F19" s="18">
        <f t="shared" ref="F19:O19" si="3">$E$19</f>
        <v>15036.060000000001</v>
      </c>
      <c r="G19" s="18">
        <f t="shared" si="3"/>
        <v>15036.060000000001</v>
      </c>
      <c r="H19" s="18">
        <f t="shared" si="3"/>
        <v>15036.060000000001</v>
      </c>
      <c r="I19" s="18">
        <f t="shared" si="3"/>
        <v>15036.060000000001</v>
      </c>
      <c r="J19" s="18">
        <f t="shared" si="3"/>
        <v>15036.060000000001</v>
      </c>
      <c r="K19" s="18">
        <f t="shared" si="3"/>
        <v>15036.060000000001</v>
      </c>
      <c r="L19" s="18">
        <f t="shared" si="3"/>
        <v>15036.060000000001</v>
      </c>
      <c r="M19" s="18">
        <f t="shared" si="3"/>
        <v>15036.060000000001</v>
      </c>
      <c r="N19" s="18">
        <f t="shared" si="3"/>
        <v>15036.060000000001</v>
      </c>
      <c r="O19" s="18">
        <f t="shared" si="3"/>
        <v>15036.060000000001</v>
      </c>
      <c r="P19" s="1" t="s">
        <v>58</v>
      </c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/>
      <c r="B20" s="1"/>
      <c r="C20" s="17"/>
      <c r="D20" s="17"/>
      <c r="E20" s="17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/>
      <c r="B21" s="1" t="s">
        <v>63</v>
      </c>
      <c r="C21" s="17">
        <f>'BS source'!H10</f>
        <v>122669.80000000002</v>
      </c>
      <c r="D21" s="17">
        <f>'BS source'!I10</f>
        <v>90566.120000000024</v>
      </c>
      <c r="E21" s="17">
        <f>'BS source'!J10</f>
        <v>77914.610000000015</v>
      </c>
      <c r="F21" s="18">
        <f>E21+'P&amp;L'!F24</f>
        <v>100622.87380610342</v>
      </c>
      <c r="G21" s="18">
        <f>F21+'P&amp;L'!G24</f>
        <v>132104.13322979279</v>
      </c>
      <c r="H21" s="18">
        <f>G21+'P&amp;L'!H24</f>
        <v>176294.69564161994</v>
      </c>
      <c r="I21" s="18">
        <f>H21+'P&amp;L'!I24</f>
        <v>238897.02861451972</v>
      </c>
      <c r="J21" s="18">
        <f>I21+'P&amp;L'!J24</f>
        <v>328172.20867509837</v>
      </c>
      <c r="K21" s="18">
        <f>J21+'P&amp;L'!K24</f>
        <v>456087.92954639508</v>
      </c>
      <c r="L21" s="18">
        <f>K21+'P&amp;L'!L24</f>
        <v>639981.60392361809</v>
      </c>
      <c r="M21" s="18">
        <f>L21+'P&amp;L'!M24</f>
        <v>904969.67327997251</v>
      </c>
      <c r="N21" s="18">
        <f>M21+'P&amp;L'!N24</f>
        <v>1287437.9376980348</v>
      </c>
      <c r="O21" s="18">
        <f>N21+'P&amp;L'!O24</f>
        <v>1840097.9426832292</v>
      </c>
      <c r="P21" s="1" t="s">
        <v>64</v>
      </c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/>
      <c r="B22" s="1"/>
      <c r="C22" s="17"/>
      <c r="D22" s="17"/>
      <c r="E22" s="17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/>
      <c r="B23" s="45" t="s">
        <v>65</v>
      </c>
      <c r="C23" s="46">
        <f t="shared" ref="C23:O23" si="4">SUM(C16:C21)</f>
        <v>144057.35999999999</v>
      </c>
      <c r="D23" s="46">
        <f t="shared" si="4"/>
        <v>112806.45000000003</v>
      </c>
      <c r="E23" s="46">
        <f t="shared" si="4"/>
        <v>105294.21000000002</v>
      </c>
      <c r="F23" s="46">
        <f t="shared" si="4"/>
        <v>134864.94661085942</v>
      </c>
      <c r="G23" s="46">
        <f t="shared" si="4"/>
        <v>174963.64676491098</v>
      </c>
      <c r="H23" s="46">
        <f t="shared" si="4"/>
        <v>231638.16220698363</v>
      </c>
      <c r="I23" s="46">
        <f t="shared" si="4"/>
        <v>312325.80474427255</v>
      </c>
      <c r="J23" s="46">
        <f t="shared" si="4"/>
        <v>427800.89289865416</v>
      </c>
      <c r="K23" s="46">
        <f t="shared" si="4"/>
        <v>593672.01517902303</v>
      </c>
      <c r="L23" s="46">
        <f t="shared" si="4"/>
        <v>832551.09221361426</v>
      </c>
      <c r="M23" s="46">
        <f t="shared" si="4"/>
        <v>1177195.6634946265</v>
      </c>
      <c r="N23" s="46">
        <f t="shared" si="4"/>
        <v>1675061.0695579315</v>
      </c>
      <c r="O23" s="46">
        <f t="shared" si="4"/>
        <v>2394895.1278613028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/>
      <c r="B24" s="1"/>
      <c r="C24" s="1"/>
      <c r="D24" s="1"/>
      <c r="E24" s="1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/>
      <c r="B25" s="1" t="s">
        <v>66</v>
      </c>
      <c r="C25" s="1">
        <f t="shared" ref="C25:O25" si="5">C23-C14</f>
        <v>-9.9999999802093953E-3</v>
      </c>
      <c r="D25" s="1">
        <f t="shared" si="5"/>
        <v>0</v>
      </c>
      <c r="E25" s="1">
        <f t="shared" si="5"/>
        <v>0</v>
      </c>
      <c r="F25" s="1">
        <f t="shared" si="5"/>
        <v>0</v>
      </c>
      <c r="G25" s="1">
        <f t="shared" si="5"/>
        <v>0</v>
      </c>
      <c r="H25" s="1">
        <f t="shared" si="5"/>
        <v>0</v>
      </c>
      <c r="I25" s="1">
        <f t="shared" si="5"/>
        <v>0</v>
      </c>
      <c r="J25" s="1">
        <f t="shared" si="5"/>
        <v>0</v>
      </c>
      <c r="K25" s="1">
        <f t="shared" si="5"/>
        <v>0</v>
      </c>
      <c r="L25" s="1">
        <f t="shared" si="5"/>
        <v>0</v>
      </c>
      <c r="M25" s="1">
        <f t="shared" si="5"/>
        <v>0</v>
      </c>
      <c r="N25" s="1">
        <f t="shared" si="5"/>
        <v>0</v>
      </c>
      <c r="O25" s="1">
        <f t="shared" si="5"/>
        <v>0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/>
      <c r="B26" s="1"/>
      <c r="C26" s="1"/>
      <c r="D26" s="1"/>
      <c r="E26" s="1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Y1000"/>
  <sheetViews>
    <sheetView topLeftCell="A13" zoomScaleNormal="100" workbookViewId="0">
      <selection activeCell="E9" sqref="E9"/>
    </sheetView>
  </sheetViews>
  <sheetFormatPr defaultColWidth="14.453125" defaultRowHeight="15" customHeight="1" x14ac:dyDescent="0.35"/>
  <cols>
    <col min="1" max="1" width="2" customWidth="1"/>
    <col min="2" max="2" width="37.81640625" customWidth="1"/>
    <col min="3" max="5" width="9.08984375" customWidth="1"/>
    <col min="6" max="9" width="10.08984375" customWidth="1"/>
    <col min="10" max="14" width="11.08984375" customWidth="1"/>
    <col min="15" max="15" width="19.54296875" customWidth="1"/>
    <col min="16" max="25" width="9.08984375" customWidth="1"/>
  </cols>
  <sheetData>
    <row r="1" spans="1:25" ht="11.25" customHeight="1" x14ac:dyDescent="0.35">
      <c r="A1" s="47"/>
      <c r="B1" s="48" t="s">
        <v>67</v>
      </c>
      <c r="C1" s="48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5" ht="11.25" customHeight="1" x14ac:dyDescent="0.35">
      <c r="A2" s="47"/>
      <c r="B2" s="49" t="s">
        <v>68</v>
      </c>
      <c r="C2" s="48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</row>
    <row r="3" spans="1:25" ht="11.2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</row>
    <row r="4" spans="1:25" ht="11.25" customHeight="1" x14ac:dyDescent="0.35">
      <c r="A4" s="47"/>
      <c r="B4" s="25" t="s">
        <v>33</v>
      </c>
      <c r="C4" s="11" t="s">
        <v>11</v>
      </c>
      <c r="D4" s="11" t="s">
        <v>12</v>
      </c>
      <c r="E4" s="12" t="s">
        <v>13</v>
      </c>
      <c r="F4" s="12" t="s">
        <v>14</v>
      </c>
      <c r="G4" s="12" t="s">
        <v>15</v>
      </c>
      <c r="H4" s="12" t="s">
        <v>16</v>
      </c>
      <c r="I4" s="12" t="s">
        <v>17</v>
      </c>
      <c r="J4" s="12" t="s">
        <v>18</v>
      </c>
      <c r="K4" s="12" t="s">
        <v>19</v>
      </c>
      <c r="L4" s="12" t="s">
        <v>20</v>
      </c>
      <c r="M4" s="12" t="s">
        <v>21</v>
      </c>
      <c r="N4" s="12" t="s">
        <v>22</v>
      </c>
      <c r="O4" s="31" t="s">
        <v>45</v>
      </c>
      <c r="P4" s="47"/>
      <c r="Q4" s="47"/>
      <c r="R4" s="47"/>
      <c r="S4" s="47"/>
      <c r="T4" s="47"/>
      <c r="U4" s="47"/>
      <c r="V4" s="47"/>
      <c r="W4" s="47"/>
      <c r="X4" s="47"/>
      <c r="Y4" s="47"/>
    </row>
    <row r="5" spans="1:25" ht="11.25" customHeight="1" x14ac:dyDescent="0.35">
      <c r="A5" s="47"/>
      <c r="B5" s="47" t="s">
        <v>69</v>
      </c>
      <c r="C5" s="47">
        <f>'P&amp;L'!D15</f>
        <v>-12768.089999999998</v>
      </c>
      <c r="D5" s="47">
        <f>'P&amp;L'!E15</f>
        <v>11094.269999999995</v>
      </c>
      <c r="E5" s="50">
        <f>'P&amp;L'!F15</f>
        <v>23422.293806103411</v>
      </c>
      <c r="F5" s="50">
        <f>'P&amp;L'!G15</f>
        <v>32195.289423689355</v>
      </c>
      <c r="G5" s="50">
        <f>'P&amp;L'!H15</f>
        <v>44904.592411827143</v>
      </c>
      <c r="H5" s="50">
        <f>'P&amp;L'!I15</f>
        <v>63316.362972899784</v>
      </c>
      <c r="I5" s="50">
        <f>'P&amp;L'!J15</f>
        <v>89989.210060578684</v>
      </c>
      <c r="J5" s="50">
        <f>'P&amp;L'!K15</f>
        <v>128629.75087129671</v>
      </c>
      <c r="K5" s="50">
        <f>'P&amp;L'!L15</f>
        <v>184607.70437722307</v>
      </c>
      <c r="L5" s="50">
        <f>'P&amp;L'!M15</f>
        <v>265702.09935635445</v>
      </c>
      <c r="M5" s="50">
        <f>'P&amp;L'!N15</f>
        <v>383182.29441806237</v>
      </c>
      <c r="N5" s="50">
        <f>'P&amp;L'!O15</f>
        <v>553374.03498519456</v>
      </c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</row>
    <row r="6" spans="1:25" ht="11.25" customHeight="1" x14ac:dyDescent="0.35">
      <c r="A6" s="47"/>
      <c r="B6" s="47" t="s">
        <v>70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47">
        <v>0</v>
      </c>
      <c r="O6" s="47" t="s">
        <v>71</v>
      </c>
      <c r="P6" s="47"/>
      <c r="Q6" s="47"/>
      <c r="R6" s="47"/>
      <c r="S6" s="47"/>
      <c r="T6" s="47"/>
      <c r="U6" s="47"/>
      <c r="V6" s="47"/>
      <c r="W6" s="47"/>
      <c r="X6" s="47"/>
      <c r="Y6" s="47"/>
    </row>
    <row r="7" spans="1:25" ht="11.25" customHeight="1" x14ac:dyDescent="0.35">
      <c r="A7" s="47"/>
      <c r="B7" s="47" t="s">
        <v>72</v>
      </c>
      <c r="C7" s="47">
        <v>0</v>
      </c>
      <c r="D7" s="47">
        <v>0</v>
      </c>
      <c r="E7" s="47">
        <v>0</v>
      </c>
      <c r="F7" s="47">
        <v>0</v>
      </c>
      <c r="G7" s="47">
        <v>0</v>
      </c>
      <c r="H7" s="47">
        <v>0</v>
      </c>
      <c r="I7" s="47">
        <v>0</v>
      </c>
      <c r="J7" s="47">
        <v>0</v>
      </c>
      <c r="K7" s="47">
        <v>0</v>
      </c>
      <c r="L7" s="47">
        <v>0</v>
      </c>
      <c r="M7" s="47">
        <v>0</v>
      </c>
      <c r="N7" s="47">
        <v>0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</row>
    <row r="8" spans="1:25" ht="11.25" customHeight="1" x14ac:dyDescent="0.35">
      <c r="A8" s="47"/>
      <c r="B8" s="33" t="s">
        <v>73</v>
      </c>
      <c r="C8" s="51">
        <f t="shared" ref="C8:D8" si="0">SUM(C5:C6)</f>
        <v>-12768.089999999998</v>
      </c>
      <c r="D8" s="51">
        <f t="shared" si="0"/>
        <v>11094.269999999995</v>
      </c>
      <c r="E8" s="52">
        <f t="shared" ref="E8:N8" si="1">SUM(E5:E6)</f>
        <v>23422.293806103411</v>
      </c>
      <c r="F8" s="53">
        <f t="shared" si="1"/>
        <v>32195.289423689355</v>
      </c>
      <c r="G8" s="53">
        <f t="shared" si="1"/>
        <v>44904.592411827143</v>
      </c>
      <c r="H8" s="53">
        <f t="shared" si="1"/>
        <v>63316.362972899784</v>
      </c>
      <c r="I8" s="53">
        <f t="shared" si="1"/>
        <v>89989.210060578684</v>
      </c>
      <c r="J8" s="53">
        <f t="shared" si="1"/>
        <v>128629.75087129671</v>
      </c>
      <c r="K8" s="53">
        <f t="shared" si="1"/>
        <v>184607.70437722307</v>
      </c>
      <c r="L8" s="53">
        <f t="shared" si="1"/>
        <v>265702.09935635445</v>
      </c>
      <c r="M8" s="53">
        <f t="shared" si="1"/>
        <v>383182.29441806237</v>
      </c>
      <c r="N8" s="53">
        <f t="shared" si="1"/>
        <v>553374.03498519456</v>
      </c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</row>
    <row r="9" spans="1:25" ht="11.25" customHeight="1" x14ac:dyDescent="0.35">
      <c r="A9" s="47"/>
      <c r="B9" s="35"/>
      <c r="C9" s="47"/>
      <c r="D9" s="47"/>
      <c r="E9" s="18"/>
      <c r="F9" s="18"/>
      <c r="G9" s="18"/>
      <c r="H9" s="18"/>
      <c r="I9" s="18"/>
      <c r="J9" s="18"/>
      <c r="K9" s="18"/>
      <c r="L9" s="18"/>
      <c r="M9" s="18"/>
      <c r="N9" s="18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</row>
    <row r="10" spans="1:25" ht="11.25" customHeight="1" x14ac:dyDescent="0.35">
      <c r="A10" s="47"/>
      <c r="B10" s="47" t="s">
        <v>74</v>
      </c>
      <c r="C10" s="47">
        <f>-'P&amp;L'!D14</f>
        <v>2857.85</v>
      </c>
      <c r="D10" s="47">
        <f>-'P&amp;L'!E14</f>
        <v>4205.8500000000004</v>
      </c>
      <c r="E10" s="18">
        <f>-'P&amp;L'!F14</f>
        <v>3258.7839676839039</v>
      </c>
      <c r="F10" s="18">
        <f>-'P&amp;L'!G14</f>
        <v>4720.9499039482253</v>
      </c>
      <c r="G10" s="18">
        <f>-'P&amp;L'!H14</f>
        <v>6839.1670686378538</v>
      </c>
      <c r="H10" s="18">
        <f>-'P&amp;L'!I14</f>
        <v>9907.7954954832894</v>
      </c>
      <c r="I10" s="18">
        <f>-'P&amp;L'!J14</f>
        <v>14353.270010096452</v>
      </c>
      <c r="J10" s="18">
        <f>-'P&amp;L'!K14</f>
        <v>20793.360145216135</v>
      </c>
      <c r="K10" s="18">
        <f>-'P&amp;L'!L14</f>
        <v>30123.019062870495</v>
      </c>
      <c r="L10" s="18">
        <f>-'P&amp;L'!M14</f>
        <v>43638.75155939244</v>
      </c>
      <c r="M10" s="18">
        <f>-'P&amp;L'!N14</f>
        <v>63218.784069677073</v>
      </c>
      <c r="N10" s="18">
        <f>-'P&amp;L'!O14</f>
        <v>91584.07416419909</v>
      </c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</row>
    <row r="11" spans="1:25" ht="11.25" customHeight="1" x14ac:dyDescent="0.35">
      <c r="A11" s="47"/>
      <c r="B11" s="33" t="s">
        <v>75</v>
      </c>
      <c r="C11" s="51">
        <f t="shared" ref="C11:D11" si="2">SUM(C8,C10)</f>
        <v>-9910.239999999998</v>
      </c>
      <c r="D11" s="51">
        <f t="shared" si="2"/>
        <v>15300.119999999995</v>
      </c>
      <c r="E11" s="54">
        <f t="shared" ref="E11:N11" si="3">SUM(E8,E10)</f>
        <v>26681.077773787314</v>
      </c>
      <c r="F11" s="54">
        <f t="shared" si="3"/>
        <v>36916.239327637581</v>
      </c>
      <c r="G11" s="54">
        <f t="shared" si="3"/>
        <v>51743.759480465</v>
      </c>
      <c r="H11" s="54">
        <f t="shared" si="3"/>
        <v>73224.158468383073</v>
      </c>
      <c r="I11" s="54">
        <f t="shared" si="3"/>
        <v>104342.48007067514</v>
      </c>
      <c r="J11" s="54">
        <f t="shared" si="3"/>
        <v>149423.11101651285</v>
      </c>
      <c r="K11" s="54">
        <f t="shared" si="3"/>
        <v>214730.72344009357</v>
      </c>
      <c r="L11" s="54">
        <f t="shared" si="3"/>
        <v>309340.85091574688</v>
      </c>
      <c r="M11" s="54">
        <f t="shared" si="3"/>
        <v>446401.07848773943</v>
      </c>
      <c r="N11" s="54">
        <f t="shared" si="3"/>
        <v>644958.10914939363</v>
      </c>
      <c r="O11" s="47" t="s">
        <v>76</v>
      </c>
      <c r="P11" s="47"/>
      <c r="Q11" s="47"/>
      <c r="R11" s="47"/>
      <c r="S11" s="47"/>
      <c r="T11" s="47"/>
      <c r="U11" s="47"/>
      <c r="V11" s="47"/>
      <c r="W11" s="47"/>
      <c r="X11" s="47"/>
      <c r="Y11" s="47"/>
    </row>
    <row r="12" spans="1:25" ht="11.25" customHeight="1" x14ac:dyDescent="0.35">
      <c r="A12" s="47"/>
      <c r="C12" s="47"/>
      <c r="D12" s="47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</row>
    <row r="13" spans="1:25" ht="11.25" customHeight="1" x14ac:dyDescent="0.35">
      <c r="A13" s="47"/>
      <c r="B13" s="47" t="s">
        <v>77</v>
      </c>
      <c r="C13" s="47">
        <f>-(BS!D8-BS!C8)</f>
        <v>70.990000000000009</v>
      </c>
      <c r="D13" s="47">
        <f>-(BS!E8-BS!D8)</f>
        <v>-380.49</v>
      </c>
      <c r="E13" s="56">
        <f>-(BS!F8-BS!E8)</f>
        <v>-219.57227094742223</v>
      </c>
      <c r="F13" s="55">
        <f>-(BS!G8-BS!F8)</f>
        <v>-316.98317523907008</v>
      </c>
      <c r="G13" s="55">
        <f>-(BS!H8-BS!G8)</f>
        <v>-459.20862061981461</v>
      </c>
      <c r="H13" s="55">
        <f>-(BS!I8-BS!H8)</f>
        <v>-665.24842238870133</v>
      </c>
      <c r="I13" s="55">
        <f>-(BS!J8-BS!I8)</f>
        <v>-963.73509472300248</v>
      </c>
      <c r="J13" s="55">
        <f>-(BS!K8-BS!J8)</f>
        <v>-1396.1481178200679</v>
      </c>
      <c r="K13" s="55">
        <f>-(BS!L8-BS!K8)</f>
        <v>-2022.5781727423409</v>
      </c>
      <c r="L13" s="55">
        <f>-(BS!M8-BS!L8)</f>
        <v>-2930.0776992351748</v>
      </c>
      <c r="M13" s="55">
        <f>-(BS!N8-BS!M8)</f>
        <v>-4244.7582196117164</v>
      </c>
      <c r="N13" s="55">
        <f>-(BS!O8-BS!N8)</f>
        <v>-6149.3155446575365</v>
      </c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</row>
    <row r="14" spans="1:25" ht="11.25" customHeight="1" x14ac:dyDescent="0.35">
      <c r="A14" s="47"/>
      <c r="B14" s="47" t="s">
        <v>78</v>
      </c>
      <c r="C14" s="47">
        <f>-(BS!D9-BS!C9)</f>
        <v>495.82999999999993</v>
      </c>
      <c r="D14" s="47">
        <f>-(BS!E9-BS!D9)</f>
        <v>984.98999999999978</v>
      </c>
      <c r="E14" s="18">
        <f>-(BS!F9-BS!E9)</f>
        <v>-4324.6457931668156</v>
      </c>
      <c r="F14" s="18">
        <f>-(BS!G9-BS!F9)</f>
        <v>-6265.0474361979395</v>
      </c>
      <c r="G14" s="18">
        <f>-(BS!H9-BS!G9)</f>
        <v>-9076.0772685311786</v>
      </c>
      <c r="H14" s="18">
        <f>-(BS!I9-BS!H9)</f>
        <v>-13148.372685640727</v>
      </c>
      <c r="I14" s="18">
        <f>-(BS!J9-BS!I9)</f>
        <v>-19047.844037193943</v>
      </c>
      <c r="J14" s="18">
        <f>-(BS!K9-BS!J9)</f>
        <v>-27594.316889229885</v>
      </c>
      <c r="K14" s="18">
        <f>-(BS!L9-BS!K9)</f>
        <v>-39975.459852379761</v>
      </c>
      <c r="L14" s="18">
        <f>-(BS!M9-BS!L9)</f>
        <v>-57911.830063564441</v>
      </c>
      <c r="M14" s="18">
        <f>-(BS!N9-BS!M9)</f>
        <v>-83895.972021232679</v>
      </c>
      <c r="N14" s="18">
        <f>-(BS!O9-BS!N9)</f>
        <v>-121538.79636789084</v>
      </c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</row>
    <row r="15" spans="1:25" ht="11.25" customHeight="1" x14ac:dyDescent="0.35">
      <c r="A15" s="47"/>
      <c r="B15" s="47" t="s">
        <v>79</v>
      </c>
      <c r="C15" s="47">
        <f>(BS!D16-BS!C16)</f>
        <v>-829.68000000000029</v>
      </c>
      <c r="D15" s="47">
        <f>(BS!E16-BS!D16)</f>
        <v>77.239999999999782</v>
      </c>
      <c r="E15" s="56">
        <f>(BS!F16-BS!E16)</f>
        <v>3972.4948517774155</v>
      </c>
      <c r="F15" s="55">
        <f>(BS!G16-BS!F16)</f>
        <v>5734.8499712825269</v>
      </c>
      <c r="G15" s="55">
        <f>(BS!H16-BS!G16)</f>
        <v>8307.9884059715187</v>
      </c>
      <c r="H15" s="55">
        <f>(BS!I16-BS!H16)</f>
        <v>12035.65423670903</v>
      </c>
      <c r="I15" s="55">
        <f>(BS!J16-BS!I16)</f>
        <v>17435.866039665292</v>
      </c>
      <c r="J15" s="55">
        <f>(BS!K16-BS!J16)</f>
        <v>25259.069309744547</v>
      </c>
      <c r="K15" s="55">
        <f>(BS!L16-BS!K16)</f>
        <v>36592.422822188993</v>
      </c>
      <c r="L15" s="55">
        <f>(BS!M16-BS!L16)</f>
        <v>53010.876670792088</v>
      </c>
      <c r="M15" s="55">
        <f>(BS!N16-BS!M16)</f>
        <v>76796.036683908897</v>
      </c>
      <c r="N15" s="55">
        <f>(BS!O16-BS!N16)</f>
        <v>111253.22991697953</v>
      </c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</row>
    <row r="16" spans="1:25" ht="11.25" customHeight="1" x14ac:dyDescent="0.35">
      <c r="A16" s="47"/>
      <c r="B16" s="33" t="s">
        <v>80</v>
      </c>
      <c r="C16" s="51">
        <f>SUM(C13:C15)</f>
        <v>-262.86000000000035</v>
      </c>
      <c r="D16" s="51">
        <f t="shared" ref="D16" si="4">SUM(D13:D15)</f>
        <v>681.73999999999955</v>
      </c>
      <c r="E16" s="52">
        <f t="shared" ref="E16:N16" si="5">SUM(E13:E15)</f>
        <v>-571.72321233682214</v>
      </c>
      <c r="F16" s="53">
        <f t="shared" si="5"/>
        <v>-847.18064015448272</v>
      </c>
      <c r="G16" s="53">
        <f t="shared" si="5"/>
        <v>-1227.2974831794745</v>
      </c>
      <c r="H16" s="53">
        <f t="shared" si="5"/>
        <v>-1777.9668713203973</v>
      </c>
      <c r="I16" s="53">
        <f t="shared" si="5"/>
        <v>-2575.7130922516517</v>
      </c>
      <c r="J16" s="53">
        <f t="shared" si="5"/>
        <v>-3731.3956973054046</v>
      </c>
      <c r="K16" s="53">
        <f t="shared" si="5"/>
        <v>-5405.615202933106</v>
      </c>
      <c r="L16" s="53">
        <f t="shared" si="5"/>
        <v>-7831.0310920075281</v>
      </c>
      <c r="M16" s="53">
        <f t="shared" si="5"/>
        <v>-11344.693556935497</v>
      </c>
      <c r="N16" s="53">
        <f t="shared" si="5"/>
        <v>-16434.881995568852</v>
      </c>
      <c r="O16" s="47" t="s">
        <v>81</v>
      </c>
      <c r="P16" s="47"/>
      <c r="Q16" s="47"/>
      <c r="R16" s="47"/>
      <c r="S16" s="47"/>
      <c r="T16" s="47"/>
      <c r="U16" s="47"/>
      <c r="V16" s="47"/>
      <c r="W16" s="47"/>
      <c r="X16" s="47"/>
      <c r="Y16" s="47"/>
    </row>
    <row r="17" spans="1:25" ht="11.25" customHeight="1" x14ac:dyDescent="0.35">
      <c r="A17" s="47"/>
      <c r="B17" s="57" t="s">
        <v>82</v>
      </c>
      <c r="C17" s="47">
        <f>-(BS!D10-BS!C10)+BS!D17-BS!C17</f>
        <v>1293.5600000000218</v>
      </c>
      <c r="D17" s="47">
        <f>-(BS!E10-BS!D10)+BS!E17-BS!D17</f>
        <v>1051.3700000000008</v>
      </c>
      <c r="E17" s="56">
        <f>-(BS!F10-BS!E10)+BS!F17-BS!E17</f>
        <v>-4435.0182682825125</v>
      </c>
      <c r="F17" s="55">
        <f>-(BS!G10-BS!F10)+BS!G17-BS!F17</f>
        <v>-2610.9528023370949</v>
      </c>
      <c r="G17" s="55">
        <f>-(BS!H10-BS!G10)+BS!H17-BS!G17</f>
        <v>-3782.4469199678661</v>
      </c>
      <c r="H17" s="55">
        <f>-(BS!I10-BS!H10)+BS!I17-BS!H17</f>
        <v>-5479.5723191810102</v>
      </c>
      <c r="I17" s="55">
        <f>-(BS!J10-BS!I10)+BS!J17-BS!I17</f>
        <v>-7938.171621821406</v>
      </c>
      <c r="J17" s="55">
        <f>-(BS!K10-BS!J10)+BS!K17-BS!J17</f>
        <v>-11499.906384465608</v>
      </c>
      <c r="K17" s="55">
        <f>-(BS!L10-BS!K10)+BS!L17-BS!K17</f>
        <v>-16659.736416876403</v>
      </c>
      <c r="L17" s="55">
        <f>-(BS!M10-BS!L10)+BS!M17-BS!L17</f>
        <v>-24134.702335900387</v>
      </c>
      <c r="M17" s="55">
        <f>-(BS!N10-BS!M10)+BS!N17-BS!M17</f>
        <v>-34963.569786881853</v>
      </c>
      <c r="N17" s="55">
        <f>-(BS!O10-BS!N10)+BS!O17-BS!N17</f>
        <v>-50651.182485220095</v>
      </c>
      <c r="O17" s="47" t="s">
        <v>83</v>
      </c>
      <c r="P17" s="47"/>
      <c r="Q17" s="47"/>
      <c r="R17" s="47"/>
      <c r="S17" s="47"/>
      <c r="T17" s="47"/>
      <c r="U17" s="47"/>
      <c r="V17" s="47"/>
      <c r="W17" s="47"/>
      <c r="X17" s="47"/>
      <c r="Y17" s="47"/>
    </row>
    <row r="18" spans="1:25" ht="11.25" customHeight="1" x14ac:dyDescent="0.35">
      <c r="A18" s="47"/>
      <c r="B18" s="57"/>
      <c r="C18" s="47"/>
      <c r="D18" s="47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</row>
    <row r="19" spans="1:25" ht="11.25" customHeight="1" x14ac:dyDescent="0.35">
      <c r="A19" s="47"/>
      <c r="B19" s="57" t="s">
        <v>84</v>
      </c>
      <c r="C19" s="47">
        <f>-(BS!D5-BS!C5)+'P&amp;L'!D14</f>
        <v>-3715.5899999999997</v>
      </c>
      <c r="D19" s="47">
        <f>-(BS!E5-BS!D5)+'P&amp;L'!E14</f>
        <v>-6015.9500000000007</v>
      </c>
      <c r="E19" s="58">
        <f>-(BS!F5-BS!E5)+'P&amp;L'!F14</f>
        <v>-10893.705291912909</v>
      </c>
      <c r="F19" s="58">
        <f>-(BS!G5-BS!F5)+'P&amp;L'!G14</f>
        <v>-12815.560327391042</v>
      </c>
      <c r="G19" s="58">
        <f>-(BS!H5-BS!G5)+'P&amp;L'!H14</f>
        <v>-18565.703924104975</v>
      </c>
      <c r="H19" s="58">
        <f>-(BS!I5-BS!H5)+'P&amp;L'!I14</f>
        <v>-26895.847968568451</v>
      </c>
      <c r="I19" s="58">
        <f>-(BS!J5-BS!I5)+'P&amp;L'!J14</f>
        <v>-38963.598735899875</v>
      </c>
      <c r="J19" s="58">
        <f>-(BS!K5-BS!J5)+'P&amp;L'!K14</f>
        <v>-56445.962522780552</v>
      </c>
      <c r="K19" s="58">
        <f>-(BS!L5-BS!K5)+'P&amp;L'!L14</f>
        <v>-81772.392399358301</v>
      </c>
      <c r="L19" s="58">
        <f>-(BS!M5-BS!L5)+'P&amp;L'!M14</f>
        <v>-118462.3994323065</v>
      </c>
      <c r="M19" s="58">
        <f>-(BS!N5-BS!M5)+'P&amp;L'!N14</f>
        <v>-171614.6448390992</v>
      </c>
      <c r="N19" s="58">
        <f>-(BS!O5-BS!N5)+'P&amp;L'!O14</f>
        <v>-248615.48022315573</v>
      </c>
      <c r="O19" s="47" t="s">
        <v>85</v>
      </c>
      <c r="P19" s="47"/>
      <c r="Q19" s="47"/>
      <c r="R19" s="47"/>
      <c r="S19" s="47"/>
      <c r="T19" s="47"/>
      <c r="U19" s="47"/>
      <c r="V19" s="47"/>
      <c r="W19" s="47"/>
      <c r="X19" s="47"/>
      <c r="Y19" s="47"/>
    </row>
    <row r="20" spans="1:25" ht="11.25" customHeight="1" x14ac:dyDescent="0.35">
      <c r="A20" s="47"/>
      <c r="B20" s="57" t="s">
        <v>86</v>
      </c>
      <c r="C20" s="47">
        <f>-(BS!D4-BS!C4)-(BS!D6-BS!C6)</f>
        <v>28102.33</v>
      </c>
      <c r="D20" s="47">
        <f>-(BS!E4-BS!D4)-(BS!E6-BS!D6)</f>
        <v>8524.6700000000019</v>
      </c>
      <c r="E20" s="59">
        <f>-(BS!F4-BS!E4)-(BS!F6-BS!E6)</f>
        <v>0</v>
      </c>
      <c r="F20" s="59">
        <f>-(BS!G4-BS!F4)-(BS!G6-BS!F6)</f>
        <v>0</v>
      </c>
      <c r="G20" s="59">
        <f>-(BS!H4-BS!G4)-(BS!H6-BS!G6)</f>
        <v>0</v>
      </c>
      <c r="H20" s="59">
        <f>-(BS!I4-BS!H4)-(BS!I6-BS!H6)</f>
        <v>0</v>
      </c>
      <c r="I20" s="59">
        <f>-(BS!J4-BS!I4)-(BS!J6-BS!I6)</f>
        <v>0</v>
      </c>
      <c r="J20" s="59">
        <f>-(BS!K4-BS!J4)-(BS!K6-BS!J6)</f>
        <v>0</v>
      </c>
      <c r="K20" s="59">
        <f>-(BS!L4-BS!K4)-(BS!L6-BS!K6)</f>
        <v>0</v>
      </c>
      <c r="L20" s="59">
        <f>-(BS!M4-BS!L4)-(BS!M6-BS!L6)</f>
        <v>0</v>
      </c>
      <c r="M20" s="59">
        <f>-(BS!N4-BS!M4)-(BS!N6-BS!M6)</f>
        <v>0</v>
      </c>
      <c r="N20" s="59">
        <f>-(BS!O4-BS!N4)-(BS!O6-BS!N6)</f>
        <v>0</v>
      </c>
      <c r="O20" s="47" t="s">
        <v>87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25" ht="11.25" customHeight="1" x14ac:dyDescent="0.35">
      <c r="A21" s="47"/>
      <c r="C21" s="47"/>
      <c r="D21" s="47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</row>
    <row r="22" spans="1:25" ht="11.25" customHeight="1" x14ac:dyDescent="0.35">
      <c r="A22" s="47"/>
      <c r="B22" s="57" t="s">
        <v>88</v>
      </c>
      <c r="C22" s="47">
        <f>'P&amp;L'!D18</f>
        <v>-92.56</v>
      </c>
      <c r="D22" s="47">
        <f>'P&amp;L'!E18</f>
        <v>-305.94</v>
      </c>
      <c r="E22" s="60">
        <f>'P&amp;L'!F18</f>
        <v>0</v>
      </c>
      <c r="F22" s="60">
        <f>'P&amp;L'!G18</f>
        <v>0</v>
      </c>
      <c r="G22" s="60">
        <f>'P&amp;L'!H18</f>
        <v>0</v>
      </c>
      <c r="H22" s="60">
        <f>'P&amp;L'!I18</f>
        <v>0</v>
      </c>
      <c r="I22" s="60">
        <f>'P&amp;L'!J18</f>
        <v>0</v>
      </c>
      <c r="J22" s="60">
        <f>'P&amp;L'!K18</f>
        <v>0</v>
      </c>
      <c r="K22" s="60">
        <f>'P&amp;L'!L18</f>
        <v>0</v>
      </c>
      <c r="L22" s="60">
        <f>'P&amp;L'!M18</f>
        <v>0</v>
      </c>
      <c r="M22" s="60">
        <f>'P&amp;L'!N18</f>
        <v>0</v>
      </c>
      <c r="N22" s="60">
        <f>'P&amp;L'!O18</f>
        <v>0</v>
      </c>
      <c r="O22" s="47" t="s">
        <v>89</v>
      </c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25" ht="11.25" customHeight="1" x14ac:dyDescent="0.35">
      <c r="A23" s="47"/>
      <c r="C23" s="47"/>
      <c r="D23" s="47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25" ht="11.25" customHeight="1" x14ac:dyDescent="0.35">
      <c r="A24" s="47"/>
      <c r="B24" s="43" t="s">
        <v>90</v>
      </c>
      <c r="C24" s="43">
        <f>SUM(C11,C16,C17,C19:C20,C22)</f>
        <v>15414.640000000025</v>
      </c>
      <c r="D24" s="43">
        <f t="shared" ref="D24" si="6">SUM(D11,D16,D17,D19:D20,D22)</f>
        <v>19236.009999999998</v>
      </c>
      <c r="E24" s="43">
        <f t="shared" ref="E24:N24" si="7">SUM(E11,E16,E17,E19:E20,E22)</f>
        <v>10780.631001255071</v>
      </c>
      <c r="F24" s="43">
        <f>SUM(F11,F16,F17,F19:F20,F22)</f>
        <v>20642.545557754962</v>
      </c>
      <c r="G24" s="43">
        <f t="shared" si="7"/>
        <v>28168.31115321269</v>
      </c>
      <c r="H24" s="43">
        <f t="shared" si="7"/>
        <v>39070.771309313212</v>
      </c>
      <c r="I24" s="43">
        <f t="shared" si="7"/>
        <v>54864.996620702201</v>
      </c>
      <c r="J24" s="43">
        <f t="shared" si="7"/>
        <v>77745.846411961276</v>
      </c>
      <c r="K24" s="43">
        <f t="shared" si="7"/>
        <v>110892.97942092575</v>
      </c>
      <c r="L24" s="43">
        <f t="shared" si="7"/>
        <v>158912.71805553246</v>
      </c>
      <c r="M24" s="43">
        <f t="shared" si="7"/>
        <v>228478.17030482285</v>
      </c>
      <c r="N24" s="43">
        <f t="shared" si="7"/>
        <v>329256.56444544892</v>
      </c>
      <c r="O24" s="47" t="s">
        <v>91</v>
      </c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spans="1:25" ht="11.25" customHeight="1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</row>
    <row r="26" spans="1:25" ht="11.25" customHeight="1" x14ac:dyDescent="0.35">
      <c r="A26" s="47"/>
      <c r="B26" s="47" t="s">
        <v>92</v>
      </c>
      <c r="C26" s="47">
        <f>'P&amp;L'!D17</f>
        <v>-581.91999999999996</v>
      </c>
      <c r="D26" s="47">
        <f>'P&amp;L'!E17</f>
        <v>-714.03</v>
      </c>
      <c r="E26" s="47">
        <f>'P&amp;L'!F17</f>
        <v>-714.03</v>
      </c>
      <c r="F26" s="47">
        <f>'P&amp;L'!G17</f>
        <v>-714.03</v>
      </c>
      <c r="G26" s="47">
        <f>'P&amp;L'!H17</f>
        <v>-714.03</v>
      </c>
      <c r="H26" s="47">
        <f>'P&amp;L'!I17</f>
        <v>-714.03</v>
      </c>
      <c r="I26" s="47">
        <f>'P&amp;L'!J17</f>
        <v>-714.03</v>
      </c>
      <c r="J26" s="47">
        <f>'P&amp;L'!K17</f>
        <v>-714.03</v>
      </c>
      <c r="K26" s="47">
        <f>'P&amp;L'!L17</f>
        <v>-714.03</v>
      </c>
      <c r="L26" s="47">
        <f>'P&amp;L'!M17</f>
        <v>-714.03</v>
      </c>
      <c r="M26" s="47">
        <f>'P&amp;L'!N17</f>
        <v>-714.03</v>
      </c>
      <c r="N26" s="47">
        <f>'P&amp;L'!O17</f>
        <v>-714.03</v>
      </c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</row>
    <row r="27" spans="1:25" ht="11.25" customHeight="1" x14ac:dyDescent="0.35">
      <c r="A27" s="47"/>
      <c r="B27" s="47" t="s">
        <v>93</v>
      </c>
      <c r="C27" s="47">
        <f>BS!D19-BS!C19</f>
        <v>1192.2999999999993</v>
      </c>
      <c r="D27" s="47">
        <f>BS!E19-BS!D19</f>
        <v>4749.130000000001</v>
      </c>
      <c r="E27" s="47">
        <f>BS!F19-BS!E19</f>
        <v>0</v>
      </c>
      <c r="F27" s="47">
        <f>BS!G19-BS!F19</f>
        <v>0</v>
      </c>
      <c r="G27" s="47">
        <f>BS!H19-BS!G19</f>
        <v>0</v>
      </c>
      <c r="H27" s="47">
        <f>BS!I19-BS!H19</f>
        <v>0</v>
      </c>
      <c r="I27" s="47">
        <f>BS!J19-BS!I19</f>
        <v>0</v>
      </c>
      <c r="J27" s="47">
        <f>BS!K19-BS!J19</f>
        <v>0</v>
      </c>
      <c r="K27" s="47">
        <f>BS!L19-BS!K19</f>
        <v>0</v>
      </c>
      <c r="L27" s="47">
        <f>BS!M19-BS!L19</f>
        <v>0</v>
      </c>
      <c r="M27" s="47">
        <f>BS!N19-BS!M19</f>
        <v>0</v>
      </c>
      <c r="N27" s="47">
        <f>BS!O19-BS!N19</f>
        <v>0</v>
      </c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</row>
    <row r="28" spans="1:25" ht="11.25" customHeight="1" x14ac:dyDescent="0.35">
      <c r="A28" s="47"/>
      <c r="B28" s="47" t="s">
        <v>94</v>
      </c>
      <c r="C28" s="47">
        <f>BS!D21-BS!C21-'P&amp;L'!D24</f>
        <v>-18661.109999999993</v>
      </c>
      <c r="D28" s="47">
        <f>BS!E21-BS!D21-'P&amp;L'!E24</f>
        <v>-22725.810000000005</v>
      </c>
      <c r="E28" s="47">
        <f>BS!F21-BS!E21-'P&amp;L'!F24</f>
        <v>0</v>
      </c>
      <c r="F28" s="47">
        <f>BS!G21-BS!F21-'P&amp;L'!G24</f>
        <v>0</v>
      </c>
      <c r="G28" s="47">
        <f>BS!H21-BS!G21-'P&amp;L'!H24</f>
        <v>0</v>
      </c>
      <c r="H28" s="47">
        <f>BS!I21-BS!H21-'P&amp;L'!I24</f>
        <v>0</v>
      </c>
      <c r="I28" s="47">
        <f>BS!J21-BS!I21-'P&amp;L'!J24</f>
        <v>0</v>
      </c>
      <c r="J28" s="47">
        <f>BS!K21-BS!J21-'P&amp;L'!K24</f>
        <v>0</v>
      </c>
      <c r="K28" s="47">
        <f>BS!L21-BS!K21-'P&amp;L'!L24</f>
        <v>0</v>
      </c>
      <c r="L28" s="47">
        <f>BS!M21-BS!L21-'P&amp;L'!M24</f>
        <v>0</v>
      </c>
      <c r="M28" s="47">
        <f>BS!N21-BS!M21-'P&amp;L'!N24</f>
        <v>0</v>
      </c>
      <c r="N28" s="47">
        <f>BS!O21-BS!N21-'P&amp;L'!O24</f>
        <v>0</v>
      </c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</row>
    <row r="29" spans="1:25" ht="11.25" customHeight="1" x14ac:dyDescent="0.35">
      <c r="A29" s="47"/>
      <c r="B29" s="43" t="s">
        <v>95</v>
      </c>
      <c r="C29" s="43">
        <f t="shared" ref="C29:D29" si="8">SUM(C24:C28)</f>
        <v>-2636.0899999999692</v>
      </c>
      <c r="D29" s="43">
        <f t="shared" si="8"/>
        <v>545.29999999999563</v>
      </c>
      <c r="E29" s="43">
        <f t="shared" ref="E29:N29" si="9">SUM(E24:E28)</f>
        <v>10066.601001255071</v>
      </c>
      <c r="F29" s="43">
        <f t="shared" si="9"/>
        <v>19928.515557754963</v>
      </c>
      <c r="G29" s="43">
        <f t="shared" si="9"/>
        <v>27454.281153212691</v>
      </c>
      <c r="H29" s="43">
        <f t="shared" si="9"/>
        <v>38356.741309313213</v>
      </c>
      <c r="I29" s="43">
        <f t="shared" si="9"/>
        <v>54150.966620702202</v>
      </c>
      <c r="J29" s="43">
        <f t="shared" si="9"/>
        <v>77031.816411961277</v>
      </c>
      <c r="K29" s="43">
        <f t="shared" si="9"/>
        <v>110178.94942092575</v>
      </c>
      <c r="L29" s="43">
        <f t="shared" si="9"/>
        <v>158198.68805553246</v>
      </c>
      <c r="M29" s="43">
        <f t="shared" si="9"/>
        <v>227764.14030482285</v>
      </c>
      <c r="N29" s="43">
        <f t="shared" si="9"/>
        <v>328542.53444544889</v>
      </c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</row>
    <row r="30" spans="1:25" ht="11.25" customHeight="1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</row>
    <row r="31" spans="1:25" ht="11.25" customHeight="1" x14ac:dyDescent="0.35">
      <c r="A31" s="47"/>
      <c r="B31" s="47" t="s">
        <v>96</v>
      </c>
      <c r="C31" s="47">
        <f>BS!C12</f>
        <v>10961.31</v>
      </c>
      <c r="D31" s="47">
        <f>BS!D12</f>
        <v>8325.2099999999991</v>
      </c>
      <c r="E31" s="47">
        <f>BS!E12</f>
        <v>8870.51</v>
      </c>
      <c r="F31" s="47">
        <f>BS!F12</f>
        <v>18937.111001255071</v>
      </c>
      <c r="G31" s="47">
        <f>BS!G12</f>
        <v>38865.626559010037</v>
      </c>
      <c r="H31" s="47">
        <f>BS!H12</f>
        <v>66319.907712222732</v>
      </c>
      <c r="I31" s="47">
        <f>BS!I12</f>
        <v>104676.64902153594</v>
      </c>
      <c r="J31" s="47">
        <f>BS!J12</f>
        <v>158827.61564223815</v>
      </c>
      <c r="K31" s="47">
        <f>BS!K12</f>
        <v>235859.43205419942</v>
      </c>
      <c r="L31" s="47">
        <f>BS!L12</f>
        <v>346038.38147512521</v>
      </c>
      <c r="M31" s="47">
        <f>BS!M12</f>
        <v>504237.06953065767</v>
      </c>
      <c r="N31" s="47">
        <f>BS!N12</f>
        <v>732001.20983548055</v>
      </c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</row>
    <row r="32" spans="1:25" ht="11.25" customHeight="1" x14ac:dyDescent="0.35">
      <c r="A32" s="47"/>
      <c r="B32" s="47" t="s">
        <v>97</v>
      </c>
      <c r="C32" s="47">
        <f t="shared" ref="C32:D32" si="10">C31+C29</f>
        <v>8325.2200000000303</v>
      </c>
      <c r="D32" s="47">
        <f t="shared" si="10"/>
        <v>8870.5099999999948</v>
      </c>
      <c r="E32" s="47">
        <f t="shared" ref="E32:N32" si="11">E31+E29</f>
        <v>18937.111001255071</v>
      </c>
      <c r="F32" s="47">
        <f t="shared" si="11"/>
        <v>38865.626559010037</v>
      </c>
      <c r="G32" s="47">
        <f t="shared" si="11"/>
        <v>66319.907712222732</v>
      </c>
      <c r="H32" s="47">
        <f t="shared" si="11"/>
        <v>104676.64902153594</v>
      </c>
      <c r="I32" s="47">
        <f t="shared" si="11"/>
        <v>158827.61564223815</v>
      </c>
      <c r="J32" s="47">
        <f t="shared" si="11"/>
        <v>235859.43205419942</v>
      </c>
      <c r="K32" s="47">
        <f t="shared" si="11"/>
        <v>346038.38147512521</v>
      </c>
      <c r="L32" s="47">
        <f t="shared" si="11"/>
        <v>504237.06953065767</v>
      </c>
      <c r="M32" s="47">
        <f t="shared" si="11"/>
        <v>732001.20983548055</v>
      </c>
      <c r="N32" s="47">
        <f t="shared" si="11"/>
        <v>1060543.7442809294</v>
      </c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</row>
    <row r="33" spans="1:25" ht="11.25" customHeight="1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</row>
    <row r="34" spans="1:25" ht="11.25" customHeight="1" x14ac:dyDescent="0.35">
      <c r="A34" s="47"/>
      <c r="B34" s="47" t="s">
        <v>66</v>
      </c>
      <c r="C34" s="47">
        <f>BS!D12</f>
        <v>8325.2099999999991</v>
      </c>
      <c r="D34" s="47">
        <f>BS!E12</f>
        <v>8870.51</v>
      </c>
      <c r="E34" s="47">
        <f>BS!F12</f>
        <v>18937.111001255071</v>
      </c>
      <c r="F34" s="47">
        <f>BS!G12</f>
        <v>38865.626559010037</v>
      </c>
      <c r="G34" s="47">
        <f>BS!H12</f>
        <v>66319.907712222732</v>
      </c>
      <c r="H34" s="47">
        <f>BS!I12</f>
        <v>104676.64902153594</v>
      </c>
      <c r="I34" s="47">
        <f>BS!J12</f>
        <v>158827.61564223815</v>
      </c>
      <c r="J34" s="47">
        <f>BS!K12</f>
        <v>235859.43205419942</v>
      </c>
      <c r="K34" s="47">
        <f>BS!L12</f>
        <v>346038.38147512521</v>
      </c>
      <c r="L34" s="47">
        <f>BS!M12</f>
        <v>504237.06953065767</v>
      </c>
      <c r="M34" s="47">
        <f>BS!N12</f>
        <v>732001.20983548055</v>
      </c>
      <c r="N34" s="47">
        <f>BS!O12</f>
        <v>1060543.7442809294</v>
      </c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</row>
    <row r="35" spans="1:25" ht="11.25" customHeight="1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</row>
    <row r="36" spans="1:25" ht="11.25" customHeight="1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</row>
    <row r="37" spans="1:25" ht="11.25" customHeight="1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</row>
    <row r="38" spans="1:25" ht="11.25" customHeight="1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</row>
    <row r="39" spans="1:25" ht="11.25" customHeight="1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</row>
    <row r="40" spans="1:25" ht="11.25" customHeight="1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</row>
    <row r="41" spans="1:25" ht="11.25" customHeight="1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</row>
    <row r="42" spans="1:25" ht="11.25" customHeight="1" x14ac:dyDescent="0.3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</row>
    <row r="43" spans="1:25" ht="11.25" customHeight="1" x14ac:dyDescent="0.3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</row>
    <row r="44" spans="1:25" ht="11.25" customHeight="1" x14ac:dyDescent="0.3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</row>
    <row r="45" spans="1:25" ht="11.25" customHeight="1" x14ac:dyDescent="0.3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</row>
    <row r="46" spans="1:25" ht="11.25" customHeight="1" x14ac:dyDescent="0.3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</row>
    <row r="47" spans="1:25" ht="11.25" customHeight="1" x14ac:dyDescent="0.3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</row>
    <row r="48" spans="1:25" ht="11.25" customHeight="1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</row>
    <row r="49" spans="1:25" ht="11.25" customHeight="1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</row>
    <row r="50" spans="1:25" ht="11.25" customHeight="1" x14ac:dyDescent="0.3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</row>
    <row r="51" spans="1:25" ht="11.25" customHeight="1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</row>
    <row r="52" spans="1:25" ht="11.25" customHeight="1" x14ac:dyDescent="0.3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</row>
    <row r="53" spans="1:25" ht="11.25" customHeight="1" x14ac:dyDescent="0.3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</row>
    <row r="54" spans="1:25" ht="11.25" customHeight="1" x14ac:dyDescent="0.3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</row>
    <row r="55" spans="1:25" ht="11.25" customHeight="1" x14ac:dyDescent="0.3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</row>
    <row r="56" spans="1:25" ht="11.25" customHeight="1" x14ac:dyDescent="0.3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</row>
    <row r="57" spans="1:25" ht="11.25" customHeight="1" x14ac:dyDescent="0.3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</row>
    <row r="58" spans="1:25" ht="11.25" customHeight="1" x14ac:dyDescent="0.3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</row>
    <row r="59" spans="1:25" ht="11.25" customHeight="1" x14ac:dyDescent="0.3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</row>
    <row r="60" spans="1:25" ht="11.25" customHeight="1" x14ac:dyDescent="0.3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</row>
    <row r="61" spans="1:25" ht="11.25" customHeight="1" x14ac:dyDescent="0.3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</row>
    <row r="62" spans="1:25" ht="11.25" customHeight="1" x14ac:dyDescent="0.3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</row>
    <row r="63" spans="1:25" ht="11.25" customHeight="1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</row>
    <row r="64" spans="1:25" ht="11.25" customHeight="1" x14ac:dyDescent="0.3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</row>
    <row r="65" spans="1:25" ht="11.25" customHeight="1" x14ac:dyDescent="0.3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</row>
    <row r="66" spans="1:25" ht="11.25" customHeight="1" x14ac:dyDescent="0.3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</row>
    <row r="67" spans="1:25" ht="11.25" customHeight="1" x14ac:dyDescent="0.3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</row>
    <row r="68" spans="1:25" ht="11.25" customHeight="1" x14ac:dyDescent="0.3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</row>
    <row r="69" spans="1:25" ht="11.25" customHeight="1" x14ac:dyDescent="0.3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</row>
    <row r="70" spans="1:25" ht="11.25" customHeight="1" x14ac:dyDescent="0.3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</row>
    <row r="71" spans="1:25" ht="11.25" customHeight="1" x14ac:dyDescent="0.3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</row>
    <row r="72" spans="1:25" ht="11.25" customHeight="1" x14ac:dyDescent="0.3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</row>
    <row r="73" spans="1:25" ht="11.25" customHeight="1" x14ac:dyDescent="0.3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</row>
    <row r="74" spans="1:25" ht="11.25" customHeight="1" x14ac:dyDescent="0.3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</row>
    <row r="75" spans="1:25" ht="11.25" customHeight="1" x14ac:dyDescent="0.3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</row>
    <row r="76" spans="1:25" ht="11.25" customHeight="1" x14ac:dyDescent="0.3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</row>
    <row r="77" spans="1:25" ht="11.25" customHeight="1" x14ac:dyDescent="0.3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</row>
    <row r="78" spans="1:25" ht="11.25" customHeight="1" x14ac:dyDescent="0.3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</row>
    <row r="79" spans="1:25" ht="11.25" customHeight="1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</row>
    <row r="80" spans="1:25" ht="11.25" customHeight="1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</row>
    <row r="81" spans="1:25" ht="11.25" customHeight="1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</row>
    <row r="82" spans="1:25" ht="11.25" customHeight="1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</row>
    <row r="83" spans="1:25" ht="11.25" customHeight="1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</row>
    <row r="84" spans="1:25" ht="11.25" customHeight="1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</row>
    <row r="85" spans="1:25" ht="11.25" customHeight="1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</row>
    <row r="86" spans="1:25" ht="11.25" customHeight="1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</row>
    <row r="87" spans="1:25" ht="11.25" customHeight="1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</row>
    <row r="88" spans="1:25" ht="11.25" customHeight="1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</row>
    <row r="89" spans="1:25" ht="11.25" customHeight="1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</row>
    <row r="90" spans="1:25" ht="11.25" customHeight="1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</row>
    <row r="91" spans="1:25" ht="11.25" customHeight="1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</row>
    <row r="92" spans="1:25" ht="11.25" customHeight="1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</row>
    <row r="93" spans="1:25" ht="11.25" customHeight="1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</row>
    <row r="94" spans="1:25" ht="11.25" customHeight="1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</row>
    <row r="95" spans="1:25" ht="11.25" customHeight="1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</row>
    <row r="96" spans="1:25" ht="11.25" customHeight="1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</row>
    <row r="97" spans="1:25" ht="11.25" customHeight="1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</row>
    <row r="98" spans="1:25" ht="11.25" customHeight="1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</row>
    <row r="99" spans="1:25" ht="11.25" customHeight="1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</row>
    <row r="100" spans="1:25" ht="11.25" customHeight="1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</row>
    <row r="101" spans="1:25" ht="11.25" customHeight="1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</row>
    <row r="102" spans="1:25" ht="11.25" customHeight="1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</row>
    <row r="103" spans="1:25" ht="11.25" customHeight="1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</row>
    <row r="104" spans="1:25" ht="11.25" customHeight="1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</row>
    <row r="105" spans="1:25" ht="11.25" customHeight="1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</row>
    <row r="106" spans="1:25" ht="11.25" customHeight="1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</row>
    <row r="107" spans="1:25" ht="11.25" customHeight="1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</row>
    <row r="108" spans="1:25" ht="11.25" customHeight="1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</row>
    <row r="109" spans="1:25" ht="11.25" customHeight="1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</row>
    <row r="110" spans="1:25" ht="11.25" customHeight="1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</row>
    <row r="111" spans="1:25" ht="11.25" customHeight="1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</row>
    <row r="112" spans="1:25" ht="11.25" customHeight="1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</row>
    <row r="113" spans="1:25" ht="11.25" customHeight="1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</row>
    <row r="114" spans="1:25" ht="11.25" customHeight="1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</row>
    <row r="115" spans="1:25" ht="11.25" customHeight="1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</row>
    <row r="116" spans="1:25" ht="11.25" customHeight="1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</row>
    <row r="117" spans="1:25" ht="11.25" customHeight="1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</row>
    <row r="118" spans="1:25" ht="11.25" customHeight="1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</row>
    <row r="119" spans="1:25" ht="11.25" customHeight="1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</row>
    <row r="120" spans="1:25" ht="11.25" customHeight="1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</row>
    <row r="121" spans="1:25" ht="11.25" customHeight="1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</row>
    <row r="122" spans="1:25" ht="11.25" customHeight="1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</row>
    <row r="123" spans="1:25" ht="11.25" customHeight="1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</row>
    <row r="124" spans="1:25" ht="11.25" customHeight="1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</row>
    <row r="125" spans="1:25" ht="11.25" customHeight="1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</row>
    <row r="126" spans="1:25" ht="11.25" customHeight="1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</row>
    <row r="127" spans="1:25" ht="11.25" customHeight="1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</row>
    <row r="128" spans="1:25" ht="11.25" customHeight="1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</row>
    <row r="129" spans="1:25" ht="11.25" customHeight="1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</row>
    <row r="130" spans="1:25" ht="11.25" customHeight="1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</row>
    <row r="131" spans="1:25" ht="11.25" customHeight="1" x14ac:dyDescent="0.3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</row>
    <row r="132" spans="1:25" ht="11.25" customHeight="1" x14ac:dyDescent="0.3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</row>
    <row r="133" spans="1:25" ht="11.25" customHeight="1" x14ac:dyDescent="0.3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</row>
    <row r="134" spans="1:25" ht="11.25" customHeight="1" x14ac:dyDescent="0.3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</row>
    <row r="135" spans="1:25" ht="11.25" customHeight="1" x14ac:dyDescent="0.3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</row>
    <row r="136" spans="1:25" ht="11.25" customHeight="1" x14ac:dyDescent="0.35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</row>
    <row r="137" spans="1:25" ht="11.25" customHeight="1" x14ac:dyDescent="0.35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</row>
    <row r="138" spans="1:25" ht="11.25" customHeight="1" x14ac:dyDescent="0.3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</row>
    <row r="139" spans="1:25" ht="11.25" customHeight="1" x14ac:dyDescent="0.35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</row>
    <row r="140" spans="1:25" ht="11.25" customHeight="1" x14ac:dyDescent="0.35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</row>
    <row r="141" spans="1:25" ht="11.25" customHeight="1" x14ac:dyDescent="0.35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</row>
    <row r="142" spans="1:25" ht="11.25" customHeight="1" x14ac:dyDescent="0.35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</row>
    <row r="143" spans="1:25" ht="11.25" customHeight="1" x14ac:dyDescent="0.35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</row>
    <row r="144" spans="1:25" ht="11.25" customHeight="1" x14ac:dyDescent="0.35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</row>
    <row r="145" spans="1:25" ht="11.25" customHeight="1" x14ac:dyDescent="0.35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</row>
    <row r="146" spans="1:25" ht="11.25" customHeight="1" x14ac:dyDescent="0.35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</row>
    <row r="147" spans="1:25" ht="11.25" customHeight="1" x14ac:dyDescent="0.35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</row>
    <row r="148" spans="1:25" ht="11.25" customHeight="1" x14ac:dyDescent="0.35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</row>
    <row r="149" spans="1:25" ht="11.25" customHeight="1" x14ac:dyDescent="0.35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</row>
    <row r="150" spans="1:25" ht="11.25" customHeight="1" x14ac:dyDescent="0.35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</row>
    <row r="151" spans="1:25" ht="11.25" customHeight="1" x14ac:dyDescent="0.35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</row>
    <row r="152" spans="1:25" ht="11.25" customHeight="1" x14ac:dyDescent="0.35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</row>
    <row r="153" spans="1:25" ht="11.25" customHeight="1" x14ac:dyDescent="0.35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</row>
    <row r="154" spans="1:25" ht="11.25" customHeight="1" x14ac:dyDescent="0.35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</row>
    <row r="155" spans="1:25" ht="11.25" customHeight="1" x14ac:dyDescent="0.3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</row>
    <row r="156" spans="1:25" ht="11.25" customHeight="1" x14ac:dyDescent="0.35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</row>
    <row r="157" spans="1:25" ht="11.25" customHeight="1" x14ac:dyDescent="0.35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</row>
    <row r="158" spans="1:25" ht="11.25" customHeight="1" x14ac:dyDescent="0.35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</row>
    <row r="159" spans="1:25" ht="11.25" customHeight="1" x14ac:dyDescent="0.35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</row>
    <row r="160" spans="1:25" ht="11.25" customHeight="1" x14ac:dyDescent="0.35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</row>
    <row r="161" spans="1:25" ht="11.25" customHeight="1" x14ac:dyDescent="0.35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</row>
    <row r="162" spans="1:25" ht="11.25" customHeight="1" x14ac:dyDescent="0.35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</row>
    <row r="163" spans="1:25" ht="11.25" customHeight="1" x14ac:dyDescent="0.35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</row>
    <row r="164" spans="1:25" ht="11.25" customHeight="1" x14ac:dyDescent="0.35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</row>
    <row r="165" spans="1:25" ht="11.25" customHeight="1" x14ac:dyDescent="0.35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</row>
    <row r="166" spans="1:25" ht="11.25" customHeight="1" x14ac:dyDescent="0.35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</row>
    <row r="167" spans="1:25" ht="11.25" customHeight="1" x14ac:dyDescent="0.35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</row>
    <row r="168" spans="1:25" ht="11.25" customHeight="1" x14ac:dyDescent="0.35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</row>
    <row r="169" spans="1:25" ht="11.25" customHeight="1" x14ac:dyDescent="0.35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</row>
    <row r="170" spans="1:25" ht="11.25" customHeight="1" x14ac:dyDescent="0.35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</row>
    <row r="171" spans="1:25" ht="11.25" customHeight="1" x14ac:dyDescent="0.35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</row>
    <row r="172" spans="1:25" ht="11.25" customHeight="1" x14ac:dyDescent="0.3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</row>
    <row r="173" spans="1:25" ht="11.25" customHeight="1" x14ac:dyDescent="0.35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</row>
    <row r="174" spans="1:25" ht="11.25" customHeight="1" x14ac:dyDescent="0.35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</row>
    <row r="175" spans="1:25" ht="11.25" customHeight="1" x14ac:dyDescent="0.35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</row>
    <row r="176" spans="1:25" ht="11.25" customHeight="1" x14ac:dyDescent="0.35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</row>
    <row r="177" spans="1:25" ht="11.25" customHeight="1" x14ac:dyDescent="0.35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</row>
    <row r="178" spans="1:25" ht="11.25" customHeight="1" x14ac:dyDescent="0.35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</row>
    <row r="179" spans="1:25" ht="11.25" customHeight="1" x14ac:dyDescent="0.35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</row>
    <row r="180" spans="1:25" ht="11.25" customHeight="1" x14ac:dyDescent="0.35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</row>
    <row r="181" spans="1:25" ht="11.25" customHeight="1" x14ac:dyDescent="0.35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</row>
    <row r="182" spans="1:25" ht="11.25" customHeight="1" x14ac:dyDescent="0.35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</row>
    <row r="183" spans="1:25" ht="11.25" customHeight="1" x14ac:dyDescent="0.35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</row>
    <row r="184" spans="1:25" ht="11.25" customHeight="1" x14ac:dyDescent="0.35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</row>
    <row r="185" spans="1:25" ht="11.25" customHeight="1" x14ac:dyDescent="0.35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</row>
    <row r="186" spans="1:25" ht="11.25" customHeight="1" x14ac:dyDescent="0.35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</row>
    <row r="187" spans="1:25" ht="11.25" customHeight="1" x14ac:dyDescent="0.35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</row>
    <row r="188" spans="1:25" ht="11.25" customHeight="1" x14ac:dyDescent="0.35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</row>
    <row r="189" spans="1:25" ht="11.25" customHeight="1" x14ac:dyDescent="0.3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</row>
    <row r="190" spans="1:25" ht="11.25" customHeight="1" x14ac:dyDescent="0.35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</row>
    <row r="191" spans="1:25" ht="11.25" customHeight="1" x14ac:dyDescent="0.35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</row>
    <row r="192" spans="1:25" ht="11.25" customHeight="1" x14ac:dyDescent="0.35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</row>
    <row r="193" spans="1:25" ht="11.25" customHeight="1" x14ac:dyDescent="0.35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</row>
    <row r="194" spans="1:25" ht="11.25" customHeight="1" x14ac:dyDescent="0.35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</row>
    <row r="195" spans="1:25" ht="11.25" customHeight="1" x14ac:dyDescent="0.35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</row>
    <row r="196" spans="1:25" ht="11.25" customHeight="1" x14ac:dyDescent="0.35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</row>
    <row r="197" spans="1:25" ht="11.25" customHeight="1" x14ac:dyDescent="0.35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</row>
    <row r="198" spans="1:25" ht="11.25" customHeight="1" x14ac:dyDescent="0.35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</row>
    <row r="199" spans="1:25" ht="11.25" customHeight="1" x14ac:dyDescent="0.35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</row>
    <row r="200" spans="1:25" ht="11.25" customHeight="1" x14ac:dyDescent="0.35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</row>
    <row r="201" spans="1:25" ht="11.25" customHeight="1" x14ac:dyDescent="0.35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</row>
    <row r="202" spans="1:25" ht="11.25" customHeight="1" x14ac:dyDescent="0.35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</row>
    <row r="203" spans="1:25" ht="11.25" customHeight="1" x14ac:dyDescent="0.35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</row>
    <row r="204" spans="1:25" ht="11.25" customHeight="1" x14ac:dyDescent="0.35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</row>
    <row r="205" spans="1:25" ht="11.25" customHeight="1" x14ac:dyDescent="0.35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</row>
    <row r="206" spans="1:25" ht="11.25" customHeight="1" x14ac:dyDescent="0.3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</row>
    <row r="207" spans="1:25" ht="11.25" customHeight="1" x14ac:dyDescent="0.35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</row>
    <row r="208" spans="1:25" ht="11.25" customHeight="1" x14ac:dyDescent="0.35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</row>
    <row r="209" spans="1:25" ht="11.25" customHeight="1" x14ac:dyDescent="0.35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</row>
    <row r="210" spans="1:25" ht="11.25" customHeight="1" x14ac:dyDescent="0.35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</row>
    <row r="211" spans="1:25" ht="11.25" customHeight="1" x14ac:dyDescent="0.35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</row>
    <row r="212" spans="1:25" ht="11.25" customHeight="1" x14ac:dyDescent="0.35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</row>
    <row r="213" spans="1:25" ht="11.25" customHeight="1" x14ac:dyDescent="0.35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</row>
    <row r="214" spans="1:25" ht="11.25" customHeight="1" x14ac:dyDescent="0.35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</row>
    <row r="215" spans="1:25" ht="11.25" customHeight="1" x14ac:dyDescent="0.35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</row>
    <row r="216" spans="1:25" ht="11.25" customHeight="1" x14ac:dyDescent="0.35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</row>
    <row r="217" spans="1:25" ht="11.25" customHeight="1" x14ac:dyDescent="0.35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</row>
    <row r="218" spans="1:25" ht="11.25" customHeight="1" x14ac:dyDescent="0.35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</row>
    <row r="219" spans="1:25" ht="11.25" customHeight="1" x14ac:dyDescent="0.35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</row>
    <row r="220" spans="1:25" ht="11.25" customHeight="1" x14ac:dyDescent="0.35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</row>
    <row r="221" spans="1:25" ht="11.25" customHeight="1" x14ac:dyDescent="0.35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</row>
    <row r="222" spans="1:25" ht="11.25" customHeight="1" x14ac:dyDescent="0.35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</row>
    <row r="223" spans="1:25" ht="11.25" customHeight="1" x14ac:dyDescent="0.3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</row>
    <row r="224" spans="1:25" ht="11.25" customHeight="1" x14ac:dyDescent="0.35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</row>
    <row r="225" spans="1:25" ht="11.25" customHeight="1" x14ac:dyDescent="0.35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</row>
    <row r="226" spans="1:25" ht="11.25" customHeight="1" x14ac:dyDescent="0.35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</row>
    <row r="227" spans="1:25" ht="11.25" customHeight="1" x14ac:dyDescent="0.35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</row>
    <row r="228" spans="1:25" ht="11.25" customHeight="1" x14ac:dyDescent="0.35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</row>
    <row r="229" spans="1:25" ht="11.25" customHeight="1" x14ac:dyDescent="0.35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</row>
    <row r="230" spans="1:25" ht="11.25" customHeight="1" x14ac:dyDescent="0.35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</row>
    <row r="231" spans="1:25" ht="11.25" customHeight="1" x14ac:dyDescent="0.35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</row>
    <row r="232" spans="1:25" ht="11.25" customHeight="1" x14ac:dyDescent="0.35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</row>
    <row r="233" spans="1:25" ht="11.25" customHeight="1" x14ac:dyDescent="0.35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</row>
    <row r="234" spans="1:25" ht="11.25" customHeight="1" x14ac:dyDescent="0.35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</row>
    <row r="235" spans="1:25" ht="11.25" customHeight="1" x14ac:dyDescent="0.35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</row>
    <row r="236" spans="1:25" ht="11.25" customHeight="1" x14ac:dyDescent="0.35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</row>
    <row r="237" spans="1:25" ht="11.25" customHeight="1" x14ac:dyDescent="0.35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</row>
    <row r="238" spans="1:25" ht="11.25" customHeight="1" x14ac:dyDescent="0.35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</row>
    <row r="239" spans="1:25" ht="11.25" customHeight="1" x14ac:dyDescent="0.35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</row>
    <row r="240" spans="1:25" ht="11.25" customHeight="1" x14ac:dyDescent="0.3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</row>
    <row r="241" spans="1:25" ht="11.25" customHeight="1" x14ac:dyDescent="0.35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</row>
    <row r="242" spans="1:25" ht="11.25" customHeight="1" x14ac:dyDescent="0.35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</row>
    <row r="243" spans="1:25" ht="11.25" customHeight="1" x14ac:dyDescent="0.35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</row>
    <row r="244" spans="1:25" ht="11.25" customHeight="1" x14ac:dyDescent="0.35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</row>
    <row r="245" spans="1:25" ht="11.25" customHeight="1" x14ac:dyDescent="0.35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</row>
    <row r="246" spans="1:25" ht="11.25" customHeight="1" x14ac:dyDescent="0.35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</row>
    <row r="247" spans="1:25" ht="11.25" customHeight="1" x14ac:dyDescent="0.35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</row>
    <row r="248" spans="1:25" ht="11.25" customHeight="1" x14ac:dyDescent="0.35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</row>
    <row r="249" spans="1:25" ht="11.25" customHeight="1" x14ac:dyDescent="0.35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</row>
    <row r="250" spans="1:25" ht="11.25" customHeight="1" x14ac:dyDescent="0.35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</row>
    <row r="251" spans="1:25" ht="11.25" customHeight="1" x14ac:dyDescent="0.35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</row>
    <row r="252" spans="1:25" ht="11.25" customHeight="1" x14ac:dyDescent="0.35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</row>
    <row r="253" spans="1:25" ht="11.25" customHeight="1" x14ac:dyDescent="0.35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</row>
    <row r="254" spans="1:25" ht="11.25" customHeight="1" x14ac:dyDescent="0.35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</row>
    <row r="255" spans="1:25" ht="11.25" customHeight="1" x14ac:dyDescent="0.35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</row>
    <row r="256" spans="1:25" ht="11.25" customHeight="1" x14ac:dyDescent="0.35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</row>
    <row r="257" spans="1:25" ht="11.25" customHeight="1" x14ac:dyDescent="0.3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</row>
    <row r="258" spans="1:25" ht="11.25" customHeight="1" x14ac:dyDescent="0.35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</row>
    <row r="259" spans="1:25" ht="11.25" customHeight="1" x14ac:dyDescent="0.35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</row>
    <row r="260" spans="1:25" ht="11.25" customHeight="1" x14ac:dyDescent="0.35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</row>
    <row r="261" spans="1:25" ht="11.25" customHeight="1" x14ac:dyDescent="0.35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</row>
    <row r="262" spans="1:25" ht="11.25" customHeight="1" x14ac:dyDescent="0.35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</row>
    <row r="263" spans="1:25" ht="11.25" customHeight="1" x14ac:dyDescent="0.35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</row>
    <row r="264" spans="1:25" ht="11.25" customHeight="1" x14ac:dyDescent="0.35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</row>
    <row r="265" spans="1:25" ht="11.25" customHeight="1" x14ac:dyDescent="0.35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</row>
    <row r="266" spans="1:25" ht="11.25" customHeight="1" x14ac:dyDescent="0.35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</row>
    <row r="267" spans="1:25" ht="11.25" customHeight="1" x14ac:dyDescent="0.35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</row>
    <row r="268" spans="1:25" ht="11.25" customHeight="1" x14ac:dyDescent="0.35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</row>
    <row r="269" spans="1:25" ht="11.25" customHeight="1" x14ac:dyDescent="0.35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</row>
    <row r="270" spans="1:25" ht="11.25" customHeight="1" x14ac:dyDescent="0.35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</row>
    <row r="271" spans="1:25" ht="11.25" customHeight="1" x14ac:dyDescent="0.35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</row>
    <row r="272" spans="1:25" ht="11.25" customHeight="1" x14ac:dyDescent="0.35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</row>
    <row r="273" spans="1:25" ht="11.25" customHeight="1" x14ac:dyDescent="0.35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</row>
    <row r="274" spans="1:25" ht="11.25" customHeight="1" x14ac:dyDescent="0.3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</row>
    <row r="275" spans="1:25" ht="11.25" customHeight="1" x14ac:dyDescent="0.35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</row>
    <row r="276" spans="1:25" ht="11.25" customHeight="1" x14ac:dyDescent="0.35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</row>
    <row r="277" spans="1:25" ht="11.25" customHeight="1" x14ac:dyDescent="0.35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</row>
    <row r="278" spans="1:25" ht="11.25" customHeight="1" x14ac:dyDescent="0.35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</row>
    <row r="279" spans="1:25" ht="11.25" customHeight="1" x14ac:dyDescent="0.35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</row>
    <row r="280" spans="1:25" ht="11.25" customHeight="1" x14ac:dyDescent="0.35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</row>
    <row r="281" spans="1:25" ht="11.25" customHeight="1" x14ac:dyDescent="0.35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</row>
    <row r="282" spans="1:25" ht="11.25" customHeight="1" x14ac:dyDescent="0.35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</row>
    <row r="283" spans="1:25" ht="11.25" customHeight="1" x14ac:dyDescent="0.35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</row>
    <row r="284" spans="1:25" ht="11.25" customHeight="1" x14ac:dyDescent="0.35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</row>
    <row r="285" spans="1:25" ht="11.25" customHeight="1" x14ac:dyDescent="0.35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</row>
    <row r="286" spans="1:25" ht="11.25" customHeight="1" x14ac:dyDescent="0.35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</row>
    <row r="287" spans="1:25" ht="11.25" customHeight="1" x14ac:dyDescent="0.35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</row>
    <row r="288" spans="1:25" ht="11.25" customHeight="1" x14ac:dyDescent="0.35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</row>
    <row r="289" spans="1:25" ht="11.25" customHeight="1" x14ac:dyDescent="0.35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</row>
    <row r="290" spans="1:25" ht="11.25" customHeight="1" x14ac:dyDescent="0.35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</row>
    <row r="291" spans="1:25" ht="11.25" customHeight="1" x14ac:dyDescent="0.3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</row>
    <row r="292" spans="1:25" ht="11.25" customHeight="1" x14ac:dyDescent="0.35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</row>
    <row r="293" spans="1:25" ht="11.25" customHeight="1" x14ac:dyDescent="0.35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</row>
    <row r="294" spans="1:25" ht="11.25" customHeight="1" x14ac:dyDescent="0.35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</row>
    <row r="295" spans="1:25" ht="11.25" customHeight="1" x14ac:dyDescent="0.35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</row>
    <row r="296" spans="1:25" ht="11.25" customHeight="1" x14ac:dyDescent="0.35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</row>
    <row r="297" spans="1:25" ht="11.25" customHeight="1" x14ac:dyDescent="0.35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</row>
    <row r="298" spans="1:25" ht="11.25" customHeight="1" x14ac:dyDescent="0.35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</row>
    <row r="299" spans="1:25" ht="11.25" customHeight="1" x14ac:dyDescent="0.35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</row>
    <row r="300" spans="1:25" ht="11.25" customHeight="1" x14ac:dyDescent="0.35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</row>
    <row r="301" spans="1:25" ht="11.25" customHeight="1" x14ac:dyDescent="0.35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</row>
    <row r="302" spans="1:25" ht="11.25" customHeight="1" x14ac:dyDescent="0.35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</row>
    <row r="303" spans="1:25" ht="11.25" customHeight="1" x14ac:dyDescent="0.35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</row>
    <row r="304" spans="1:25" ht="11.25" customHeight="1" x14ac:dyDescent="0.35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</row>
    <row r="305" spans="1:25" ht="11.25" customHeight="1" x14ac:dyDescent="0.35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</row>
    <row r="306" spans="1:25" ht="11.25" customHeight="1" x14ac:dyDescent="0.35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</row>
    <row r="307" spans="1:25" ht="11.25" customHeight="1" x14ac:dyDescent="0.35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</row>
    <row r="308" spans="1:25" ht="11.25" customHeight="1" x14ac:dyDescent="0.3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</row>
    <row r="309" spans="1:25" ht="11.25" customHeight="1" x14ac:dyDescent="0.35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</row>
    <row r="310" spans="1:25" ht="11.25" customHeight="1" x14ac:dyDescent="0.35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</row>
    <row r="311" spans="1:25" ht="11.25" customHeight="1" x14ac:dyDescent="0.35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</row>
    <row r="312" spans="1:25" ht="11.25" customHeight="1" x14ac:dyDescent="0.35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</row>
    <row r="313" spans="1:25" ht="11.25" customHeight="1" x14ac:dyDescent="0.35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</row>
    <row r="314" spans="1:25" ht="11.25" customHeight="1" x14ac:dyDescent="0.35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</row>
    <row r="315" spans="1:25" ht="11.25" customHeight="1" x14ac:dyDescent="0.35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</row>
    <row r="316" spans="1:25" ht="11.25" customHeight="1" x14ac:dyDescent="0.35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</row>
    <row r="317" spans="1:25" ht="11.25" customHeight="1" x14ac:dyDescent="0.35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</row>
    <row r="318" spans="1:25" ht="11.25" customHeight="1" x14ac:dyDescent="0.35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</row>
    <row r="319" spans="1:25" ht="11.25" customHeight="1" x14ac:dyDescent="0.35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</row>
    <row r="320" spans="1:25" ht="11.25" customHeight="1" x14ac:dyDescent="0.35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</row>
    <row r="321" spans="1:25" ht="11.25" customHeight="1" x14ac:dyDescent="0.35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</row>
    <row r="322" spans="1:25" ht="11.25" customHeight="1" x14ac:dyDescent="0.35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</row>
    <row r="323" spans="1:25" ht="11.25" customHeight="1" x14ac:dyDescent="0.35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</row>
    <row r="324" spans="1:25" ht="11.25" customHeight="1" x14ac:dyDescent="0.35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</row>
    <row r="325" spans="1:25" ht="11.25" customHeight="1" x14ac:dyDescent="0.35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</row>
    <row r="326" spans="1:25" ht="11.25" customHeight="1" x14ac:dyDescent="0.35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</row>
    <row r="327" spans="1:25" ht="11.25" customHeight="1" x14ac:dyDescent="0.35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</row>
    <row r="328" spans="1:25" ht="11.25" customHeight="1" x14ac:dyDescent="0.35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</row>
    <row r="329" spans="1:25" ht="11.25" customHeight="1" x14ac:dyDescent="0.35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</row>
    <row r="330" spans="1:25" ht="11.25" customHeight="1" x14ac:dyDescent="0.35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</row>
    <row r="331" spans="1:25" ht="11.25" customHeight="1" x14ac:dyDescent="0.35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</row>
    <row r="332" spans="1:25" ht="11.25" customHeight="1" x14ac:dyDescent="0.35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</row>
    <row r="333" spans="1:25" ht="11.25" customHeight="1" x14ac:dyDescent="0.35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</row>
    <row r="334" spans="1:25" ht="11.25" customHeight="1" x14ac:dyDescent="0.35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</row>
    <row r="335" spans="1:25" ht="11.25" customHeight="1" x14ac:dyDescent="0.35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</row>
    <row r="336" spans="1:25" ht="11.25" customHeight="1" x14ac:dyDescent="0.35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</row>
    <row r="337" spans="1:25" ht="11.25" customHeight="1" x14ac:dyDescent="0.35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</row>
    <row r="338" spans="1:25" ht="11.25" customHeight="1" x14ac:dyDescent="0.35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</row>
    <row r="339" spans="1:25" ht="11.25" customHeight="1" x14ac:dyDescent="0.35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</row>
    <row r="340" spans="1:25" ht="11.25" customHeight="1" x14ac:dyDescent="0.35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</row>
    <row r="341" spans="1:25" ht="11.25" customHeight="1" x14ac:dyDescent="0.35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</row>
    <row r="342" spans="1:25" ht="11.25" customHeight="1" x14ac:dyDescent="0.35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</row>
    <row r="343" spans="1:25" ht="11.25" customHeight="1" x14ac:dyDescent="0.35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</row>
    <row r="344" spans="1:25" ht="11.25" customHeight="1" x14ac:dyDescent="0.35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</row>
    <row r="345" spans="1:25" ht="11.25" customHeight="1" x14ac:dyDescent="0.35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</row>
    <row r="346" spans="1:25" ht="11.25" customHeight="1" x14ac:dyDescent="0.35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</row>
    <row r="347" spans="1:25" ht="11.25" customHeight="1" x14ac:dyDescent="0.35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</row>
    <row r="348" spans="1:25" ht="11.25" customHeight="1" x14ac:dyDescent="0.35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</row>
    <row r="349" spans="1:25" ht="11.25" customHeight="1" x14ac:dyDescent="0.35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</row>
    <row r="350" spans="1:25" ht="11.25" customHeight="1" x14ac:dyDescent="0.35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</row>
    <row r="351" spans="1:25" ht="11.25" customHeight="1" x14ac:dyDescent="0.35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</row>
    <row r="352" spans="1:25" ht="11.25" customHeight="1" x14ac:dyDescent="0.35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</row>
    <row r="353" spans="1:25" ht="11.25" customHeight="1" x14ac:dyDescent="0.35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</row>
    <row r="354" spans="1:25" ht="11.25" customHeight="1" x14ac:dyDescent="0.35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</row>
    <row r="355" spans="1:25" ht="11.25" customHeight="1" x14ac:dyDescent="0.35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</row>
    <row r="356" spans="1:25" ht="11.25" customHeight="1" x14ac:dyDescent="0.35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</row>
    <row r="357" spans="1:25" ht="11.25" customHeight="1" x14ac:dyDescent="0.35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</row>
    <row r="358" spans="1:25" ht="11.25" customHeight="1" x14ac:dyDescent="0.35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</row>
    <row r="359" spans="1:25" ht="11.25" customHeight="1" x14ac:dyDescent="0.35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</row>
    <row r="360" spans="1:25" ht="11.25" customHeight="1" x14ac:dyDescent="0.35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</row>
    <row r="361" spans="1:25" ht="11.25" customHeight="1" x14ac:dyDescent="0.35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</row>
    <row r="362" spans="1:25" ht="11.25" customHeight="1" x14ac:dyDescent="0.35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</row>
    <row r="363" spans="1:25" ht="11.25" customHeight="1" x14ac:dyDescent="0.35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</row>
    <row r="364" spans="1:25" ht="11.25" customHeight="1" x14ac:dyDescent="0.35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</row>
    <row r="365" spans="1:25" ht="11.25" customHeight="1" x14ac:dyDescent="0.35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</row>
    <row r="366" spans="1:25" ht="11.25" customHeight="1" x14ac:dyDescent="0.35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</row>
    <row r="367" spans="1:25" ht="11.25" customHeight="1" x14ac:dyDescent="0.35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</row>
    <row r="368" spans="1:25" ht="11.25" customHeight="1" x14ac:dyDescent="0.35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</row>
    <row r="369" spans="1:25" ht="11.25" customHeight="1" x14ac:dyDescent="0.35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</row>
    <row r="370" spans="1:25" ht="11.25" customHeight="1" x14ac:dyDescent="0.35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</row>
    <row r="371" spans="1:25" ht="11.25" customHeight="1" x14ac:dyDescent="0.35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</row>
    <row r="372" spans="1:25" ht="11.25" customHeight="1" x14ac:dyDescent="0.35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</row>
    <row r="373" spans="1:25" ht="11.25" customHeight="1" x14ac:dyDescent="0.35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</row>
    <row r="374" spans="1:25" ht="11.25" customHeight="1" x14ac:dyDescent="0.35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</row>
    <row r="375" spans="1:25" ht="11.25" customHeight="1" x14ac:dyDescent="0.35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</row>
    <row r="376" spans="1:25" ht="11.25" customHeight="1" x14ac:dyDescent="0.35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</row>
    <row r="377" spans="1:25" ht="11.25" customHeight="1" x14ac:dyDescent="0.35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</row>
    <row r="378" spans="1:25" ht="11.25" customHeight="1" x14ac:dyDescent="0.35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</row>
    <row r="379" spans="1:25" ht="11.25" customHeight="1" x14ac:dyDescent="0.35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</row>
    <row r="380" spans="1:25" ht="11.25" customHeight="1" x14ac:dyDescent="0.35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</row>
    <row r="381" spans="1:25" ht="11.25" customHeight="1" x14ac:dyDescent="0.35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</row>
    <row r="382" spans="1:25" ht="11.25" customHeight="1" x14ac:dyDescent="0.35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</row>
    <row r="383" spans="1:25" ht="11.25" customHeight="1" x14ac:dyDescent="0.35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</row>
    <row r="384" spans="1:25" ht="11.25" customHeight="1" x14ac:dyDescent="0.35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</row>
    <row r="385" spans="1:25" ht="11.25" customHeight="1" x14ac:dyDescent="0.35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</row>
    <row r="386" spans="1:25" ht="11.25" customHeight="1" x14ac:dyDescent="0.35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</row>
    <row r="387" spans="1:25" ht="11.25" customHeight="1" x14ac:dyDescent="0.35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</row>
    <row r="388" spans="1:25" ht="11.25" customHeight="1" x14ac:dyDescent="0.35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</row>
    <row r="389" spans="1:25" ht="11.25" customHeight="1" x14ac:dyDescent="0.35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</row>
    <row r="390" spans="1:25" ht="11.25" customHeight="1" x14ac:dyDescent="0.35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</row>
    <row r="391" spans="1:25" ht="11.25" customHeight="1" x14ac:dyDescent="0.35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</row>
    <row r="392" spans="1:25" ht="11.25" customHeight="1" x14ac:dyDescent="0.35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</row>
    <row r="393" spans="1:25" ht="11.25" customHeight="1" x14ac:dyDescent="0.35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</row>
    <row r="394" spans="1:25" ht="11.25" customHeight="1" x14ac:dyDescent="0.35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</row>
    <row r="395" spans="1:25" ht="11.25" customHeight="1" x14ac:dyDescent="0.35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</row>
    <row r="396" spans="1:25" ht="11.25" customHeight="1" x14ac:dyDescent="0.35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</row>
    <row r="397" spans="1:25" ht="11.25" customHeight="1" x14ac:dyDescent="0.35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</row>
    <row r="398" spans="1:25" ht="11.25" customHeight="1" x14ac:dyDescent="0.35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</row>
    <row r="399" spans="1:25" ht="11.25" customHeight="1" x14ac:dyDescent="0.35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</row>
    <row r="400" spans="1:25" ht="11.25" customHeight="1" x14ac:dyDescent="0.35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</row>
    <row r="401" spans="1:25" ht="11.25" customHeight="1" x14ac:dyDescent="0.35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</row>
    <row r="402" spans="1:25" ht="11.25" customHeight="1" x14ac:dyDescent="0.35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</row>
    <row r="403" spans="1:25" ht="11.25" customHeight="1" x14ac:dyDescent="0.35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</row>
    <row r="404" spans="1:25" ht="11.25" customHeight="1" x14ac:dyDescent="0.35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</row>
    <row r="405" spans="1:25" ht="11.25" customHeight="1" x14ac:dyDescent="0.35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</row>
    <row r="406" spans="1:25" ht="11.25" customHeight="1" x14ac:dyDescent="0.35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</row>
    <row r="407" spans="1:25" ht="11.25" customHeight="1" x14ac:dyDescent="0.35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</row>
    <row r="408" spans="1:25" ht="11.25" customHeight="1" x14ac:dyDescent="0.35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</row>
    <row r="409" spans="1:25" ht="11.25" customHeight="1" x14ac:dyDescent="0.35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</row>
    <row r="410" spans="1:25" ht="11.25" customHeight="1" x14ac:dyDescent="0.35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</row>
    <row r="411" spans="1:25" ht="11.25" customHeight="1" x14ac:dyDescent="0.35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</row>
    <row r="412" spans="1:25" ht="11.25" customHeight="1" x14ac:dyDescent="0.35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</row>
    <row r="413" spans="1:25" ht="11.25" customHeight="1" x14ac:dyDescent="0.35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</row>
    <row r="414" spans="1:25" ht="11.25" customHeight="1" x14ac:dyDescent="0.35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</row>
    <row r="415" spans="1:25" ht="11.25" customHeight="1" x14ac:dyDescent="0.35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</row>
    <row r="416" spans="1:25" ht="11.25" customHeight="1" x14ac:dyDescent="0.35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</row>
    <row r="417" spans="1:25" ht="11.25" customHeight="1" x14ac:dyDescent="0.35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</row>
    <row r="418" spans="1:25" ht="11.25" customHeight="1" x14ac:dyDescent="0.35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</row>
    <row r="419" spans="1:25" ht="11.25" customHeight="1" x14ac:dyDescent="0.35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</row>
    <row r="420" spans="1:25" ht="11.25" customHeight="1" x14ac:dyDescent="0.35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</row>
    <row r="421" spans="1:25" ht="11.25" customHeight="1" x14ac:dyDescent="0.35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</row>
    <row r="422" spans="1:25" ht="11.25" customHeight="1" x14ac:dyDescent="0.35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</row>
    <row r="423" spans="1:25" ht="11.25" customHeight="1" x14ac:dyDescent="0.35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</row>
    <row r="424" spans="1:25" ht="11.25" customHeight="1" x14ac:dyDescent="0.35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</row>
    <row r="425" spans="1:25" ht="11.25" customHeight="1" x14ac:dyDescent="0.35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</row>
    <row r="426" spans="1:25" ht="11.25" customHeight="1" x14ac:dyDescent="0.35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</row>
    <row r="427" spans="1:25" ht="11.25" customHeight="1" x14ac:dyDescent="0.35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</row>
    <row r="428" spans="1:25" ht="11.25" customHeight="1" x14ac:dyDescent="0.35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</row>
    <row r="429" spans="1:25" ht="11.25" customHeight="1" x14ac:dyDescent="0.35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</row>
    <row r="430" spans="1:25" ht="11.25" customHeight="1" x14ac:dyDescent="0.35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</row>
    <row r="431" spans="1:25" ht="11.25" customHeight="1" x14ac:dyDescent="0.35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</row>
    <row r="432" spans="1:25" ht="11.25" customHeight="1" x14ac:dyDescent="0.35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</row>
    <row r="433" spans="1:25" ht="11.25" customHeight="1" x14ac:dyDescent="0.35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</row>
    <row r="434" spans="1:25" ht="11.25" customHeight="1" x14ac:dyDescent="0.35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</row>
    <row r="435" spans="1:25" ht="11.25" customHeight="1" x14ac:dyDescent="0.35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</row>
    <row r="436" spans="1:25" ht="11.25" customHeight="1" x14ac:dyDescent="0.35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</row>
    <row r="437" spans="1:25" ht="11.25" customHeight="1" x14ac:dyDescent="0.35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</row>
    <row r="438" spans="1:25" ht="11.25" customHeight="1" x14ac:dyDescent="0.35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</row>
    <row r="439" spans="1:25" ht="11.25" customHeight="1" x14ac:dyDescent="0.35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</row>
    <row r="440" spans="1:25" ht="11.25" customHeight="1" x14ac:dyDescent="0.35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</row>
    <row r="441" spans="1:25" ht="11.25" customHeight="1" x14ac:dyDescent="0.35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</row>
    <row r="442" spans="1:25" ht="11.25" customHeight="1" x14ac:dyDescent="0.35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</row>
    <row r="443" spans="1:25" ht="11.25" customHeight="1" x14ac:dyDescent="0.35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</row>
    <row r="444" spans="1:25" ht="11.25" customHeight="1" x14ac:dyDescent="0.35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</row>
    <row r="445" spans="1:25" ht="11.25" customHeight="1" x14ac:dyDescent="0.35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</row>
    <row r="446" spans="1:25" ht="11.25" customHeight="1" x14ac:dyDescent="0.35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</row>
    <row r="447" spans="1:25" ht="11.25" customHeight="1" x14ac:dyDescent="0.35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</row>
    <row r="448" spans="1:25" ht="11.25" customHeight="1" x14ac:dyDescent="0.35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</row>
    <row r="449" spans="1:25" ht="11.25" customHeight="1" x14ac:dyDescent="0.35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</row>
    <row r="450" spans="1:25" ht="11.25" customHeight="1" x14ac:dyDescent="0.35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</row>
    <row r="451" spans="1:25" ht="11.25" customHeight="1" x14ac:dyDescent="0.35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</row>
    <row r="452" spans="1:25" ht="11.25" customHeight="1" x14ac:dyDescent="0.35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</row>
    <row r="453" spans="1:25" ht="11.25" customHeight="1" x14ac:dyDescent="0.35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</row>
    <row r="454" spans="1:25" ht="11.25" customHeight="1" x14ac:dyDescent="0.35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</row>
    <row r="455" spans="1:25" ht="11.25" customHeight="1" x14ac:dyDescent="0.35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</row>
    <row r="456" spans="1:25" ht="11.25" customHeight="1" x14ac:dyDescent="0.35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</row>
    <row r="457" spans="1:25" ht="11.25" customHeight="1" x14ac:dyDescent="0.35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</row>
    <row r="458" spans="1:25" ht="11.25" customHeight="1" x14ac:dyDescent="0.35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</row>
    <row r="459" spans="1:25" ht="11.25" customHeight="1" x14ac:dyDescent="0.35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</row>
    <row r="460" spans="1:25" ht="11.25" customHeight="1" x14ac:dyDescent="0.35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</row>
    <row r="461" spans="1:25" ht="11.25" customHeight="1" x14ac:dyDescent="0.35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</row>
    <row r="462" spans="1:25" ht="11.25" customHeight="1" x14ac:dyDescent="0.35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</row>
    <row r="463" spans="1:25" ht="11.25" customHeight="1" x14ac:dyDescent="0.35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</row>
    <row r="464" spans="1:25" ht="11.25" customHeight="1" x14ac:dyDescent="0.35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</row>
    <row r="465" spans="1:25" ht="11.25" customHeight="1" x14ac:dyDescent="0.35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</row>
    <row r="466" spans="1:25" ht="11.25" customHeight="1" x14ac:dyDescent="0.35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</row>
    <row r="467" spans="1:25" ht="11.25" customHeight="1" x14ac:dyDescent="0.35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</row>
    <row r="468" spans="1:25" ht="11.25" customHeight="1" x14ac:dyDescent="0.35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</row>
    <row r="469" spans="1:25" ht="11.25" customHeight="1" x14ac:dyDescent="0.35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</row>
    <row r="470" spans="1:25" ht="11.25" customHeight="1" x14ac:dyDescent="0.35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</row>
    <row r="471" spans="1:25" ht="11.25" customHeight="1" x14ac:dyDescent="0.35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</row>
    <row r="472" spans="1:25" ht="11.25" customHeight="1" x14ac:dyDescent="0.35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</row>
    <row r="473" spans="1:25" ht="11.25" customHeight="1" x14ac:dyDescent="0.35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</row>
    <row r="474" spans="1:25" ht="11.25" customHeight="1" x14ac:dyDescent="0.35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</row>
    <row r="475" spans="1:25" ht="11.25" customHeight="1" x14ac:dyDescent="0.35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</row>
    <row r="476" spans="1:25" ht="11.25" customHeight="1" x14ac:dyDescent="0.35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</row>
    <row r="477" spans="1:25" ht="11.25" customHeight="1" x14ac:dyDescent="0.35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</row>
    <row r="478" spans="1:25" ht="11.25" customHeight="1" x14ac:dyDescent="0.35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</row>
    <row r="479" spans="1:25" ht="11.25" customHeight="1" x14ac:dyDescent="0.35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</row>
    <row r="480" spans="1:25" ht="11.25" customHeight="1" x14ac:dyDescent="0.35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</row>
    <row r="481" spans="1:25" ht="11.25" customHeight="1" x14ac:dyDescent="0.35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</row>
    <row r="482" spans="1:25" ht="11.25" customHeight="1" x14ac:dyDescent="0.35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</row>
    <row r="483" spans="1:25" ht="11.25" customHeight="1" x14ac:dyDescent="0.35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</row>
    <row r="484" spans="1:25" ht="11.25" customHeight="1" x14ac:dyDescent="0.35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</row>
    <row r="485" spans="1:25" ht="11.25" customHeight="1" x14ac:dyDescent="0.35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</row>
    <row r="486" spans="1:25" ht="11.25" customHeight="1" x14ac:dyDescent="0.35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</row>
    <row r="487" spans="1:25" ht="11.25" customHeight="1" x14ac:dyDescent="0.35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</row>
    <row r="488" spans="1:25" ht="11.25" customHeight="1" x14ac:dyDescent="0.35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</row>
    <row r="489" spans="1:25" ht="11.25" customHeight="1" x14ac:dyDescent="0.35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</row>
    <row r="490" spans="1:25" ht="11.25" customHeight="1" x14ac:dyDescent="0.35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</row>
    <row r="491" spans="1:25" ht="11.25" customHeight="1" x14ac:dyDescent="0.35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</row>
    <row r="492" spans="1:25" ht="11.25" customHeight="1" x14ac:dyDescent="0.35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</row>
    <row r="493" spans="1:25" ht="11.25" customHeight="1" x14ac:dyDescent="0.35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</row>
    <row r="494" spans="1:25" ht="11.25" customHeight="1" x14ac:dyDescent="0.35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</row>
    <row r="495" spans="1:25" ht="11.25" customHeight="1" x14ac:dyDescent="0.35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</row>
    <row r="496" spans="1:25" ht="11.25" customHeight="1" x14ac:dyDescent="0.35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</row>
    <row r="497" spans="1:25" ht="11.25" customHeight="1" x14ac:dyDescent="0.35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</row>
    <row r="498" spans="1:25" ht="11.25" customHeight="1" x14ac:dyDescent="0.35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</row>
    <row r="499" spans="1:25" ht="11.25" customHeight="1" x14ac:dyDescent="0.35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</row>
    <row r="500" spans="1:25" ht="11.25" customHeight="1" x14ac:dyDescent="0.35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</row>
    <row r="501" spans="1:25" ht="11.25" customHeight="1" x14ac:dyDescent="0.35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</row>
    <row r="502" spans="1:25" ht="11.25" customHeight="1" x14ac:dyDescent="0.35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</row>
    <row r="503" spans="1:25" ht="11.25" customHeight="1" x14ac:dyDescent="0.35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</row>
    <row r="504" spans="1:25" ht="11.25" customHeight="1" x14ac:dyDescent="0.35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</row>
    <row r="505" spans="1:25" ht="11.25" customHeight="1" x14ac:dyDescent="0.35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</row>
    <row r="506" spans="1:25" ht="11.25" customHeight="1" x14ac:dyDescent="0.35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</row>
    <row r="507" spans="1:25" ht="11.25" customHeight="1" x14ac:dyDescent="0.35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</row>
    <row r="508" spans="1:25" ht="11.25" customHeight="1" x14ac:dyDescent="0.35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</row>
    <row r="509" spans="1:25" ht="11.25" customHeight="1" x14ac:dyDescent="0.35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</row>
    <row r="510" spans="1:25" ht="11.25" customHeight="1" x14ac:dyDescent="0.35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</row>
    <row r="511" spans="1:25" ht="11.25" customHeight="1" x14ac:dyDescent="0.35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</row>
    <row r="512" spans="1:25" ht="11.25" customHeight="1" x14ac:dyDescent="0.35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</row>
    <row r="513" spans="1:25" ht="11.25" customHeight="1" x14ac:dyDescent="0.35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</row>
    <row r="514" spans="1:25" ht="11.25" customHeight="1" x14ac:dyDescent="0.35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</row>
    <row r="515" spans="1:25" ht="11.25" customHeight="1" x14ac:dyDescent="0.35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</row>
    <row r="516" spans="1:25" ht="11.25" customHeight="1" x14ac:dyDescent="0.35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</row>
    <row r="517" spans="1:25" ht="11.25" customHeight="1" x14ac:dyDescent="0.35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</row>
    <row r="518" spans="1:25" ht="11.25" customHeight="1" x14ac:dyDescent="0.35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</row>
    <row r="519" spans="1:25" ht="11.25" customHeight="1" x14ac:dyDescent="0.35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</row>
    <row r="520" spans="1:25" ht="11.25" customHeight="1" x14ac:dyDescent="0.35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</row>
    <row r="521" spans="1:25" ht="11.25" customHeight="1" x14ac:dyDescent="0.35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</row>
    <row r="522" spans="1:25" ht="11.25" customHeight="1" x14ac:dyDescent="0.35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</row>
    <row r="523" spans="1:25" ht="11.25" customHeight="1" x14ac:dyDescent="0.35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</row>
    <row r="524" spans="1:25" ht="11.25" customHeight="1" x14ac:dyDescent="0.35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</row>
    <row r="525" spans="1:25" ht="11.25" customHeight="1" x14ac:dyDescent="0.35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</row>
    <row r="526" spans="1:25" ht="11.25" customHeight="1" x14ac:dyDescent="0.35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</row>
    <row r="527" spans="1:25" ht="11.25" customHeight="1" x14ac:dyDescent="0.35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</row>
    <row r="528" spans="1:25" ht="11.25" customHeight="1" x14ac:dyDescent="0.35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</row>
    <row r="529" spans="1:25" ht="11.25" customHeight="1" x14ac:dyDescent="0.35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</row>
    <row r="530" spans="1:25" ht="11.25" customHeight="1" x14ac:dyDescent="0.35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</row>
    <row r="531" spans="1:25" ht="11.25" customHeight="1" x14ac:dyDescent="0.35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</row>
    <row r="532" spans="1:25" ht="11.25" customHeight="1" x14ac:dyDescent="0.35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</row>
    <row r="533" spans="1:25" ht="11.25" customHeight="1" x14ac:dyDescent="0.35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</row>
    <row r="534" spans="1:25" ht="11.25" customHeight="1" x14ac:dyDescent="0.35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</row>
    <row r="535" spans="1:25" ht="11.25" customHeight="1" x14ac:dyDescent="0.35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</row>
    <row r="536" spans="1:25" ht="11.25" customHeight="1" x14ac:dyDescent="0.35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</row>
    <row r="537" spans="1:25" ht="11.25" customHeight="1" x14ac:dyDescent="0.35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</row>
    <row r="538" spans="1:25" ht="11.25" customHeight="1" x14ac:dyDescent="0.35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</row>
    <row r="539" spans="1:25" ht="11.25" customHeight="1" x14ac:dyDescent="0.35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</row>
    <row r="540" spans="1:25" ht="11.25" customHeight="1" x14ac:dyDescent="0.35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</row>
    <row r="541" spans="1:25" ht="11.25" customHeight="1" x14ac:dyDescent="0.35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</row>
    <row r="542" spans="1:25" ht="11.25" customHeight="1" x14ac:dyDescent="0.35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</row>
    <row r="543" spans="1:25" ht="11.25" customHeight="1" x14ac:dyDescent="0.35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</row>
    <row r="544" spans="1:25" ht="11.25" customHeight="1" x14ac:dyDescent="0.35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</row>
    <row r="545" spans="1:25" ht="11.25" customHeight="1" x14ac:dyDescent="0.35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</row>
    <row r="546" spans="1:25" ht="11.25" customHeight="1" x14ac:dyDescent="0.35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</row>
    <row r="547" spans="1:25" ht="11.25" customHeight="1" x14ac:dyDescent="0.35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</row>
    <row r="548" spans="1:25" ht="11.25" customHeight="1" x14ac:dyDescent="0.35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</row>
    <row r="549" spans="1:25" ht="11.25" customHeight="1" x14ac:dyDescent="0.35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</row>
    <row r="550" spans="1:25" ht="11.25" customHeight="1" x14ac:dyDescent="0.35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</row>
    <row r="551" spans="1:25" ht="11.25" customHeight="1" x14ac:dyDescent="0.35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</row>
    <row r="552" spans="1:25" ht="11.25" customHeight="1" x14ac:dyDescent="0.35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</row>
    <row r="553" spans="1:25" ht="11.25" customHeight="1" x14ac:dyDescent="0.35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</row>
    <row r="554" spans="1:25" ht="11.25" customHeight="1" x14ac:dyDescent="0.35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</row>
    <row r="555" spans="1:25" ht="11.25" customHeight="1" x14ac:dyDescent="0.35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</row>
    <row r="556" spans="1:25" ht="11.25" customHeight="1" x14ac:dyDescent="0.35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</row>
    <row r="557" spans="1:25" ht="11.25" customHeight="1" x14ac:dyDescent="0.35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</row>
    <row r="558" spans="1:25" ht="11.25" customHeight="1" x14ac:dyDescent="0.35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</row>
    <row r="559" spans="1:25" ht="11.25" customHeight="1" x14ac:dyDescent="0.35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</row>
    <row r="560" spans="1:25" ht="11.25" customHeight="1" x14ac:dyDescent="0.35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</row>
    <row r="561" spans="1:25" ht="11.25" customHeight="1" x14ac:dyDescent="0.35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</row>
    <row r="562" spans="1:25" ht="11.25" customHeight="1" x14ac:dyDescent="0.35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</row>
    <row r="563" spans="1:25" ht="11.25" customHeight="1" x14ac:dyDescent="0.35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</row>
    <row r="564" spans="1:25" ht="11.25" customHeight="1" x14ac:dyDescent="0.35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</row>
    <row r="565" spans="1:25" ht="11.25" customHeight="1" x14ac:dyDescent="0.35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</row>
    <row r="566" spans="1:25" ht="11.25" customHeight="1" x14ac:dyDescent="0.35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</row>
    <row r="567" spans="1:25" ht="11.25" customHeight="1" x14ac:dyDescent="0.35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</row>
    <row r="568" spans="1:25" ht="11.25" customHeight="1" x14ac:dyDescent="0.35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</row>
    <row r="569" spans="1:25" ht="11.25" customHeight="1" x14ac:dyDescent="0.35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</row>
    <row r="570" spans="1:25" ht="11.25" customHeight="1" x14ac:dyDescent="0.35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</row>
    <row r="571" spans="1:25" ht="11.25" customHeight="1" x14ac:dyDescent="0.35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</row>
    <row r="572" spans="1:25" ht="11.25" customHeight="1" x14ac:dyDescent="0.35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</row>
    <row r="573" spans="1:25" ht="11.25" customHeight="1" x14ac:dyDescent="0.35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</row>
    <row r="574" spans="1:25" ht="11.25" customHeight="1" x14ac:dyDescent="0.35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</row>
    <row r="575" spans="1:25" ht="11.25" customHeight="1" x14ac:dyDescent="0.35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</row>
    <row r="576" spans="1:25" ht="11.25" customHeight="1" x14ac:dyDescent="0.35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</row>
    <row r="577" spans="1:25" ht="11.25" customHeight="1" x14ac:dyDescent="0.35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</row>
    <row r="578" spans="1:25" ht="11.25" customHeight="1" x14ac:dyDescent="0.35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</row>
    <row r="579" spans="1:25" ht="11.25" customHeight="1" x14ac:dyDescent="0.35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</row>
    <row r="580" spans="1:25" ht="11.25" customHeight="1" x14ac:dyDescent="0.35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</row>
    <row r="581" spans="1:25" ht="11.25" customHeight="1" x14ac:dyDescent="0.35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</row>
    <row r="582" spans="1:25" ht="11.25" customHeight="1" x14ac:dyDescent="0.35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</row>
    <row r="583" spans="1:25" ht="11.25" customHeight="1" x14ac:dyDescent="0.35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</row>
    <row r="584" spans="1:25" ht="11.25" customHeight="1" x14ac:dyDescent="0.35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</row>
    <row r="585" spans="1:25" ht="11.25" customHeight="1" x14ac:dyDescent="0.35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</row>
    <row r="586" spans="1:25" ht="11.25" customHeight="1" x14ac:dyDescent="0.35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</row>
    <row r="587" spans="1:25" ht="11.25" customHeight="1" x14ac:dyDescent="0.35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</row>
    <row r="588" spans="1:25" ht="11.25" customHeight="1" x14ac:dyDescent="0.35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</row>
    <row r="589" spans="1:25" ht="11.25" customHeight="1" x14ac:dyDescent="0.35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</row>
    <row r="590" spans="1:25" ht="11.25" customHeight="1" x14ac:dyDescent="0.35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</row>
    <row r="591" spans="1:25" ht="11.25" customHeight="1" x14ac:dyDescent="0.35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</row>
    <row r="592" spans="1:25" ht="11.25" customHeight="1" x14ac:dyDescent="0.35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</row>
    <row r="593" spans="1:25" ht="11.25" customHeight="1" x14ac:dyDescent="0.35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</row>
    <row r="594" spans="1:25" ht="11.25" customHeight="1" x14ac:dyDescent="0.35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</row>
    <row r="595" spans="1:25" ht="11.25" customHeight="1" x14ac:dyDescent="0.35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</row>
    <row r="596" spans="1:25" ht="11.25" customHeight="1" x14ac:dyDescent="0.35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</row>
    <row r="597" spans="1:25" ht="11.25" customHeight="1" x14ac:dyDescent="0.35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</row>
    <row r="598" spans="1:25" ht="11.25" customHeight="1" x14ac:dyDescent="0.35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</row>
    <row r="599" spans="1:25" ht="11.25" customHeight="1" x14ac:dyDescent="0.35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</row>
    <row r="600" spans="1:25" ht="11.25" customHeight="1" x14ac:dyDescent="0.35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</row>
    <row r="601" spans="1:25" ht="11.25" customHeight="1" x14ac:dyDescent="0.35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</row>
    <row r="602" spans="1:25" ht="11.25" customHeight="1" x14ac:dyDescent="0.35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</row>
    <row r="603" spans="1:25" ht="11.25" customHeight="1" x14ac:dyDescent="0.35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</row>
    <row r="604" spans="1:25" ht="11.25" customHeight="1" x14ac:dyDescent="0.35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</row>
    <row r="605" spans="1:25" ht="11.25" customHeight="1" x14ac:dyDescent="0.35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</row>
    <row r="606" spans="1:25" ht="11.25" customHeight="1" x14ac:dyDescent="0.35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</row>
    <row r="607" spans="1:25" ht="11.25" customHeight="1" x14ac:dyDescent="0.35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</row>
    <row r="608" spans="1:25" ht="11.25" customHeight="1" x14ac:dyDescent="0.35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</row>
    <row r="609" spans="1:25" ht="11.25" customHeight="1" x14ac:dyDescent="0.35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</row>
    <row r="610" spans="1:25" ht="11.25" customHeight="1" x14ac:dyDescent="0.35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</row>
    <row r="611" spans="1:25" ht="11.25" customHeight="1" x14ac:dyDescent="0.35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</row>
    <row r="612" spans="1:25" ht="11.25" customHeight="1" x14ac:dyDescent="0.35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</row>
    <row r="613" spans="1:25" ht="11.25" customHeight="1" x14ac:dyDescent="0.35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</row>
    <row r="614" spans="1:25" ht="11.25" customHeight="1" x14ac:dyDescent="0.35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</row>
    <row r="615" spans="1:25" ht="11.25" customHeight="1" x14ac:dyDescent="0.35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</row>
    <row r="616" spans="1:25" ht="11.25" customHeight="1" x14ac:dyDescent="0.35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</row>
    <row r="617" spans="1:25" ht="11.25" customHeight="1" x14ac:dyDescent="0.35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</row>
    <row r="618" spans="1:25" ht="11.25" customHeight="1" x14ac:dyDescent="0.35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</row>
    <row r="619" spans="1:25" ht="11.25" customHeight="1" x14ac:dyDescent="0.35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</row>
    <row r="620" spans="1:25" ht="11.25" customHeight="1" x14ac:dyDescent="0.35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</row>
    <row r="621" spans="1:25" ht="11.25" customHeight="1" x14ac:dyDescent="0.35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</row>
    <row r="622" spans="1:25" ht="11.25" customHeight="1" x14ac:dyDescent="0.35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</row>
    <row r="623" spans="1:25" ht="11.25" customHeight="1" x14ac:dyDescent="0.35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</row>
    <row r="624" spans="1:25" ht="11.25" customHeight="1" x14ac:dyDescent="0.35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</row>
    <row r="625" spans="1:25" ht="11.25" customHeight="1" x14ac:dyDescent="0.35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</row>
    <row r="626" spans="1:25" ht="11.25" customHeight="1" x14ac:dyDescent="0.35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</row>
    <row r="627" spans="1:25" ht="11.25" customHeight="1" x14ac:dyDescent="0.35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</row>
    <row r="628" spans="1:25" ht="11.25" customHeight="1" x14ac:dyDescent="0.35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</row>
    <row r="629" spans="1:25" ht="11.25" customHeight="1" x14ac:dyDescent="0.35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</row>
    <row r="630" spans="1:25" ht="11.25" customHeight="1" x14ac:dyDescent="0.35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</row>
    <row r="631" spans="1:25" ht="11.25" customHeight="1" x14ac:dyDescent="0.35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</row>
    <row r="632" spans="1:25" ht="11.25" customHeight="1" x14ac:dyDescent="0.35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</row>
    <row r="633" spans="1:25" ht="11.25" customHeight="1" x14ac:dyDescent="0.35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</row>
    <row r="634" spans="1:25" ht="11.25" customHeight="1" x14ac:dyDescent="0.35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</row>
    <row r="635" spans="1:25" ht="11.25" customHeight="1" x14ac:dyDescent="0.35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</row>
    <row r="636" spans="1:25" ht="11.25" customHeight="1" x14ac:dyDescent="0.35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</row>
    <row r="637" spans="1:25" ht="11.25" customHeight="1" x14ac:dyDescent="0.35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</row>
    <row r="638" spans="1:25" ht="11.25" customHeight="1" x14ac:dyDescent="0.35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</row>
    <row r="639" spans="1:25" ht="11.25" customHeight="1" x14ac:dyDescent="0.35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</row>
    <row r="640" spans="1:25" ht="11.25" customHeight="1" x14ac:dyDescent="0.35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</row>
    <row r="641" spans="1:25" ht="11.25" customHeight="1" x14ac:dyDescent="0.35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</row>
    <row r="642" spans="1:25" ht="11.25" customHeight="1" x14ac:dyDescent="0.35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</row>
    <row r="643" spans="1:25" ht="11.25" customHeight="1" x14ac:dyDescent="0.35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</row>
    <row r="644" spans="1:25" ht="11.25" customHeight="1" x14ac:dyDescent="0.35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</row>
    <row r="645" spans="1:25" ht="11.25" customHeight="1" x14ac:dyDescent="0.35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</row>
    <row r="646" spans="1:25" ht="11.25" customHeight="1" x14ac:dyDescent="0.35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</row>
    <row r="647" spans="1:25" ht="11.25" customHeight="1" x14ac:dyDescent="0.35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</row>
    <row r="648" spans="1:25" ht="11.25" customHeight="1" x14ac:dyDescent="0.35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</row>
    <row r="649" spans="1:25" ht="11.25" customHeight="1" x14ac:dyDescent="0.35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</row>
    <row r="650" spans="1:25" ht="11.25" customHeight="1" x14ac:dyDescent="0.35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</row>
    <row r="651" spans="1:25" ht="11.25" customHeight="1" x14ac:dyDescent="0.35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</row>
    <row r="652" spans="1:25" ht="11.25" customHeight="1" x14ac:dyDescent="0.35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</row>
    <row r="653" spans="1:25" ht="11.25" customHeight="1" x14ac:dyDescent="0.35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</row>
    <row r="654" spans="1:25" ht="11.25" customHeight="1" x14ac:dyDescent="0.35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</row>
    <row r="655" spans="1:25" ht="11.25" customHeight="1" x14ac:dyDescent="0.35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</row>
    <row r="656" spans="1:25" ht="11.25" customHeight="1" x14ac:dyDescent="0.35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</row>
    <row r="657" spans="1:25" ht="11.25" customHeight="1" x14ac:dyDescent="0.35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</row>
    <row r="658" spans="1:25" ht="11.25" customHeight="1" x14ac:dyDescent="0.35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</row>
    <row r="659" spans="1:25" ht="11.25" customHeight="1" x14ac:dyDescent="0.35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</row>
    <row r="660" spans="1:25" ht="11.25" customHeight="1" x14ac:dyDescent="0.35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</row>
    <row r="661" spans="1:25" ht="11.25" customHeight="1" x14ac:dyDescent="0.35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</row>
    <row r="662" spans="1:25" ht="11.25" customHeight="1" x14ac:dyDescent="0.35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</row>
    <row r="663" spans="1:25" ht="11.25" customHeight="1" x14ac:dyDescent="0.35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</row>
    <row r="664" spans="1:25" ht="11.25" customHeight="1" x14ac:dyDescent="0.35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</row>
    <row r="665" spans="1:25" ht="11.25" customHeight="1" x14ac:dyDescent="0.35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</row>
    <row r="666" spans="1:25" ht="11.25" customHeight="1" x14ac:dyDescent="0.35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</row>
    <row r="667" spans="1:25" ht="11.25" customHeight="1" x14ac:dyDescent="0.35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</row>
    <row r="668" spans="1:25" ht="11.25" customHeight="1" x14ac:dyDescent="0.35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</row>
    <row r="669" spans="1:25" ht="11.25" customHeight="1" x14ac:dyDescent="0.35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</row>
    <row r="670" spans="1:25" ht="11.25" customHeight="1" x14ac:dyDescent="0.35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</row>
    <row r="671" spans="1:25" ht="11.25" customHeight="1" x14ac:dyDescent="0.35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</row>
    <row r="672" spans="1:25" ht="11.25" customHeight="1" x14ac:dyDescent="0.35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</row>
    <row r="673" spans="1:25" ht="11.25" customHeight="1" x14ac:dyDescent="0.35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</row>
    <row r="674" spans="1:25" ht="11.25" customHeight="1" x14ac:dyDescent="0.35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</row>
    <row r="675" spans="1:25" ht="11.25" customHeight="1" x14ac:dyDescent="0.35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</row>
    <row r="676" spans="1:25" ht="11.25" customHeight="1" x14ac:dyDescent="0.35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</row>
    <row r="677" spans="1:25" ht="11.25" customHeight="1" x14ac:dyDescent="0.35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</row>
    <row r="678" spans="1:25" ht="11.25" customHeight="1" x14ac:dyDescent="0.35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</row>
    <row r="679" spans="1:25" ht="11.25" customHeight="1" x14ac:dyDescent="0.35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</row>
    <row r="680" spans="1:25" ht="11.25" customHeight="1" x14ac:dyDescent="0.35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</row>
    <row r="681" spans="1:25" ht="11.25" customHeight="1" x14ac:dyDescent="0.35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</row>
    <row r="682" spans="1:25" ht="11.25" customHeight="1" x14ac:dyDescent="0.35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</row>
    <row r="683" spans="1:25" ht="11.25" customHeight="1" x14ac:dyDescent="0.35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</row>
    <row r="684" spans="1:25" ht="11.25" customHeight="1" x14ac:dyDescent="0.35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</row>
    <row r="685" spans="1:25" ht="11.25" customHeight="1" x14ac:dyDescent="0.35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</row>
    <row r="686" spans="1:25" ht="11.25" customHeight="1" x14ac:dyDescent="0.35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</row>
    <row r="687" spans="1:25" ht="11.25" customHeight="1" x14ac:dyDescent="0.35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</row>
    <row r="688" spans="1:25" ht="11.25" customHeight="1" x14ac:dyDescent="0.35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</row>
    <row r="689" spans="1:25" ht="11.25" customHeight="1" x14ac:dyDescent="0.35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</row>
    <row r="690" spans="1:25" ht="11.25" customHeight="1" x14ac:dyDescent="0.35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</row>
    <row r="691" spans="1:25" ht="11.25" customHeight="1" x14ac:dyDescent="0.35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</row>
    <row r="692" spans="1:25" ht="11.25" customHeight="1" x14ac:dyDescent="0.35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</row>
    <row r="693" spans="1:25" ht="11.25" customHeight="1" x14ac:dyDescent="0.35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</row>
    <row r="694" spans="1:25" ht="11.25" customHeight="1" x14ac:dyDescent="0.35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</row>
    <row r="695" spans="1:25" ht="11.25" customHeight="1" x14ac:dyDescent="0.35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</row>
    <row r="696" spans="1:25" ht="11.25" customHeight="1" x14ac:dyDescent="0.35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</row>
    <row r="697" spans="1:25" ht="11.25" customHeight="1" x14ac:dyDescent="0.35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</row>
    <row r="698" spans="1:25" ht="11.25" customHeight="1" x14ac:dyDescent="0.35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</row>
    <row r="699" spans="1:25" ht="11.25" customHeight="1" x14ac:dyDescent="0.35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</row>
    <row r="700" spans="1:25" ht="11.25" customHeight="1" x14ac:dyDescent="0.35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</row>
    <row r="701" spans="1:25" ht="11.25" customHeight="1" x14ac:dyDescent="0.35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</row>
    <row r="702" spans="1:25" ht="11.25" customHeight="1" x14ac:dyDescent="0.35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</row>
    <row r="703" spans="1:25" ht="11.25" customHeight="1" x14ac:dyDescent="0.35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</row>
    <row r="704" spans="1:25" ht="11.25" customHeight="1" x14ac:dyDescent="0.35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</row>
    <row r="705" spans="1:25" ht="11.25" customHeight="1" x14ac:dyDescent="0.35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</row>
    <row r="706" spans="1:25" ht="11.25" customHeight="1" x14ac:dyDescent="0.35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</row>
    <row r="707" spans="1:25" ht="11.25" customHeight="1" x14ac:dyDescent="0.35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</row>
    <row r="708" spans="1:25" ht="11.25" customHeight="1" x14ac:dyDescent="0.35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</row>
    <row r="709" spans="1:25" ht="11.25" customHeight="1" x14ac:dyDescent="0.35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</row>
    <row r="710" spans="1:25" ht="11.25" customHeight="1" x14ac:dyDescent="0.35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</row>
    <row r="711" spans="1:25" ht="11.25" customHeight="1" x14ac:dyDescent="0.35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</row>
    <row r="712" spans="1:25" ht="11.25" customHeight="1" x14ac:dyDescent="0.35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</row>
    <row r="713" spans="1:25" ht="11.25" customHeight="1" x14ac:dyDescent="0.35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</row>
    <row r="714" spans="1:25" ht="11.25" customHeight="1" x14ac:dyDescent="0.35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</row>
    <row r="715" spans="1:25" ht="11.25" customHeight="1" x14ac:dyDescent="0.35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</row>
    <row r="716" spans="1:25" ht="11.25" customHeight="1" x14ac:dyDescent="0.35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</row>
    <row r="717" spans="1:25" ht="11.25" customHeight="1" x14ac:dyDescent="0.35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</row>
    <row r="718" spans="1:25" ht="11.25" customHeight="1" x14ac:dyDescent="0.35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</row>
    <row r="719" spans="1:25" ht="11.25" customHeight="1" x14ac:dyDescent="0.35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</row>
    <row r="720" spans="1:25" ht="11.25" customHeight="1" x14ac:dyDescent="0.35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</row>
    <row r="721" spans="1:25" ht="11.25" customHeight="1" x14ac:dyDescent="0.35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</row>
    <row r="722" spans="1:25" ht="11.25" customHeight="1" x14ac:dyDescent="0.35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</row>
    <row r="723" spans="1:25" ht="11.25" customHeight="1" x14ac:dyDescent="0.35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</row>
    <row r="724" spans="1:25" ht="11.25" customHeight="1" x14ac:dyDescent="0.35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</row>
    <row r="725" spans="1:25" ht="11.25" customHeight="1" x14ac:dyDescent="0.35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</row>
    <row r="726" spans="1:25" ht="11.25" customHeight="1" x14ac:dyDescent="0.35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</row>
    <row r="727" spans="1:25" ht="11.25" customHeight="1" x14ac:dyDescent="0.35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</row>
    <row r="728" spans="1:25" ht="11.25" customHeight="1" x14ac:dyDescent="0.35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</row>
    <row r="729" spans="1:25" ht="11.25" customHeight="1" x14ac:dyDescent="0.35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</row>
    <row r="730" spans="1:25" ht="11.25" customHeight="1" x14ac:dyDescent="0.35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</row>
    <row r="731" spans="1:25" ht="11.25" customHeight="1" x14ac:dyDescent="0.35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</row>
    <row r="732" spans="1:25" ht="11.25" customHeight="1" x14ac:dyDescent="0.35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</row>
    <row r="733" spans="1:25" ht="11.25" customHeight="1" x14ac:dyDescent="0.35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</row>
    <row r="734" spans="1:25" ht="11.25" customHeight="1" x14ac:dyDescent="0.35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</row>
    <row r="735" spans="1:25" ht="11.25" customHeight="1" x14ac:dyDescent="0.35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</row>
    <row r="736" spans="1:25" ht="11.25" customHeight="1" x14ac:dyDescent="0.35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</row>
    <row r="737" spans="1:25" ht="11.25" customHeight="1" x14ac:dyDescent="0.35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</row>
    <row r="738" spans="1:25" ht="11.25" customHeight="1" x14ac:dyDescent="0.35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</row>
    <row r="739" spans="1:25" ht="11.25" customHeight="1" x14ac:dyDescent="0.35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</row>
    <row r="740" spans="1:25" ht="11.25" customHeight="1" x14ac:dyDescent="0.35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</row>
    <row r="741" spans="1:25" ht="11.25" customHeight="1" x14ac:dyDescent="0.35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</row>
    <row r="742" spans="1:25" ht="11.25" customHeight="1" x14ac:dyDescent="0.35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</row>
    <row r="743" spans="1:25" ht="11.25" customHeight="1" x14ac:dyDescent="0.35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</row>
    <row r="744" spans="1:25" ht="11.25" customHeight="1" x14ac:dyDescent="0.35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</row>
    <row r="745" spans="1:25" ht="11.25" customHeight="1" x14ac:dyDescent="0.35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</row>
    <row r="746" spans="1:25" ht="11.25" customHeight="1" x14ac:dyDescent="0.35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</row>
    <row r="747" spans="1:25" ht="11.25" customHeight="1" x14ac:dyDescent="0.35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</row>
    <row r="748" spans="1:25" ht="11.25" customHeight="1" x14ac:dyDescent="0.35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</row>
    <row r="749" spans="1:25" ht="11.25" customHeight="1" x14ac:dyDescent="0.35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</row>
    <row r="750" spans="1:25" ht="11.25" customHeight="1" x14ac:dyDescent="0.35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</row>
    <row r="751" spans="1:25" ht="11.25" customHeight="1" x14ac:dyDescent="0.35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</row>
    <row r="752" spans="1:25" ht="11.25" customHeight="1" x14ac:dyDescent="0.35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</row>
    <row r="753" spans="1:25" ht="11.25" customHeight="1" x14ac:dyDescent="0.35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</row>
    <row r="754" spans="1:25" ht="11.25" customHeight="1" x14ac:dyDescent="0.35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</row>
    <row r="755" spans="1:25" ht="11.25" customHeight="1" x14ac:dyDescent="0.35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</row>
    <row r="756" spans="1:25" ht="11.25" customHeight="1" x14ac:dyDescent="0.35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</row>
    <row r="757" spans="1:25" ht="11.25" customHeight="1" x14ac:dyDescent="0.35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</row>
    <row r="758" spans="1:25" ht="11.25" customHeight="1" x14ac:dyDescent="0.35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</row>
    <row r="759" spans="1:25" ht="11.25" customHeight="1" x14ac:dyDescent="0.35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</row>
    <row r="760" spans="1:25" ht="11.25" customHeight="1" x14ac:dyDescent="0.35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</row>
    <row r="761" spans="1:25" ht="11.25" customHeight="1" x14ac:dyDescent="0.35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</row>
    <row r="762" spans="1:25" ht="11.25" customHeight="1" x14ac:dyDescent="0.35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</row>
    <row r="763" spans="1:25" ht="11.25" customHeight="1" x14ac:dyDescent="0.35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</row>
    <row r="764" spans="1:25" ht="11.25" customHeight="1" x14ac:dyDescent="0.35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</row>
    <row r="765" spans="1:25" ht="11.25" customHeight="1" x14ac:dyDescent="0.35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</row>
    <row r="766" spans="1:25" ht="11.25" customHeight="1" x14ac:dyDescent="0.35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</row>
    <row r="767" spans="1:25" ht="11.25" customHeight="1" x14ac:dyDescent="0.35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</row>
    <row r="768" spans="1:25" ht="11.25" customHeight="1" x14ac:dyDescent="0.35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</row>
    <row r="769" spans="1:25" ht="11.25" customHeight="1" x14ac:dyDescent="0.35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</row>
    <row r="770" spans="1:25" ht="11.25" customHeight="1" x14ac:dyDescent="0.35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</row>
    <row r="771" spans="1:25" ht="11.25" customHeight="1" x14ac:dyDescent="0.35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</row>
    <row r="772" spans="1:25" ht="11.25" customHeight="1" x14ac:dyDescent="0.35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</row>
    <row r="773" spans="1:25" ht="11.25" customHeight="1" x14ac:dyDescent="0.35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</row>
    <row r="774" spans="1:25" ht="11.25" customHeight="1" x14ac:dyDescent="0.35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</row>
    <row r="775" spans="1:25" ht="11.25" customHeight="1" x14ac:dyDescent="0.35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</row>
    <row r="776" spans="1:25" ht="11.25" customHeight="1" x14ac:dyDescent="0.35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</row>
    <row r="777" spans="1:25" ht="11.25" customHeight="1" x14ac:dyDescent="0.35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</row>
    <row r="778" spans="1:25" ht="11.25" customHeight="1" x14ac:dyDescent="0.35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</row>
    <row r="779" spans="1:25" ht="11.25" customHeight="1" x14ac:dyDescent="0.35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</row>
    <row r="780" spans="1:25" ht="11.25" customHeight="1" x14ac:dyDescent="0.35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</row>
    <row r="781" spans="1:25" ht="11.25" customHeight="1" x14ac:dyDescent="0.35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</row>
    <row r="782" spans="1:25" ht="11.25" customHeight="1" x14ac:dyDescent="0.35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</row>
    <row r="783" spans="1:25" ht="11.25" customHeight="1" x14ac:dyDescent="0.35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</row>
    <row r="784" spans="1:25" ht="11.25" customHeight="1" x14ac:dyDescent="0.35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</row>
    <row r="785" spans="1:25" ht="11.25" customHeight="1" x14ac:dyDescent="0.35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</row>
    <row r="786" spans="1:25" ht="11.25" customHeight="1" x14ac:dyDescent="0.35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</row>
    <row r="787" spans="1:25" ht="11.25" customHeight="1" x14ac:dyDescent="0.35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</row>
    <row r="788" spans="1:25" ht="11.25" customHeight="1" x14ac:dyDescent="0.35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</row>
    <row r="789" spans="1:25" ht="11.25" customHeight="1" x14ac:dyDescent="0.35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</row>
    <row r="790" spans="1:25" ht="11.25" customHeight="1" x14ac:dyDescent="0.35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</row>
    <row r="791" spans="1:25" ht="11.25" customHeight="1" x14ac:dyDescent="0.35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</row>
    <row r="792" spans="1:25" ht="11.25" customHeight="1" x14ac:dyDescent="0.35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</row>
    <row r="793" spans="1:25" ht="11.25" customHeight="1" x14ac:dyDescent="0.35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</row>
    <row r="794" spans="1:25" ht="11.25" customHeight="1" x14ac:dyDescent="0.35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</row>
    <row r="795" spans="1:25" ht="11.25" customHeight="1" x14ac:dyDescent="0.35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</row>
    <row r="796" spans="1:25" ht="11.25" customHeight="1" x14ac:dyDescent="0.35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</row>
    <row r="797" spans="1:25" ht="11.25" customHeight="1" x14ac:dyDescent="0.35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</row>
    <row r="798" spans="1:25" ht="11.25" customHeight="1" x14ac:dyDescent="0.35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</row>
    <row r="799" spans="1:25" ht="11.25" customHeight="1" x14ac:dyDescent="0.35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</row>
    <row r="800" spans="1:25" ht="11.25" customHeight="1" x14ac:dyDescent="0.35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</row>
    <row r="801" spans="1:25" ht="11.25" customHeight="1" x14ac:dyDescent="0.35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</row>
    <row r="802" spans="1:25" ht="11.25" customHeight="1" x14ac:dyDescent="0.35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</row>
    <row r="803" spans="1:25" ht="11.25" customHeight="1" x14ac:dyDescent="0.35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</row>
    <row r="804" spans="1:25" ht="11.25" customHeight="1" x14ac:dyDescent="0.35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</row>
    <row r="805" spans="1:25" ht="11.25" customHeight="1" x14ac:dyDescent="0.35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</row>
    <row r="806" spans="1:25" ht="11.25" customHeight="1" x14ac:dyDescent="0.35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</row>
    <row r="807" spans="1:25" ht="11.25" customHeight="1" x14ac:dyDescent="0.35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</row>
    <row r="808" spans="1:25" ht="11.25" customHeight="1" x14ac:dyDescent="0.35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</row>
    <row r="809" spans="1:25" ht="11.25" customHeight="1" x14ac:dyDescent="0.35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</row>
    <row r="810" spans="1:25" ht="11.25" customHeight="1" x14ac:dyDescent="0.35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</row>
    <row r="811" spans="1:25" ht="11.25" customHeight="1" x14ac:dyDescent="0.35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</row>
    <row r="812" spans="1:25" ht="11.25" customHeight="1" x14ac:dyDescent="0.35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</row>
    <row r="813" spans="1:25" ht="11.25" customHeight="1" x14ac:dyDescent="0.35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</row>
    <row r="814" spans="1:25" ht="11.25" customHeight="1" x14ac:dyDescent="0.35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</row>
    <row r="815" spans="1:25" ht="11.25" customHeight="1" x14ac:dyDescent="0.35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</row>
    <row r="816" spans="1:25" ht="11.25" customHeight="1" x14ac:dyDescent="0.35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</row>
    <row r="817" spans="1:25" ht="11.25" customHeight="1" x14ac:dyDescent="0.35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</row>
    <row r="818" spans="1:25" ht="11.25" customHeight="1" x14ac:dyDescent="0.35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</row>
    <row r="819" spans="1:25" ht="11.25" customHeight="1" x14ac:dyDescent="0.35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</row>
    <row r="820" spans="1:25" ht="11.25" customHeight="1" x14ac:dyDescent="0.35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</row>
    <row r="821" spans="1:25" ht="11.25" customHeight="1" x14ac:dyDescent="0.35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</row>
    <row r="822" spans="1:25" ht="11.25" customHeight="1" x14ac:dyDescent="0.35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</row>
    <row r="823" spans="1:25" ht="11.25" customHeight="1" x14ac:dyDescent="0.35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</row>
    <row r="824" spans="1:25" ht="11.25" customHeight="1" x14ac:dyDescent="0.35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</row>
    <row r="825" spans="1:25" ht="11.25" customHeight="1" x14ac:dyDescent="0.35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</row>
    <row r="826" spans="1:25" ht="11.25" customHeight="1" x14ac:dyDescent="0.35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</row>
    <row r="827" spans="1:25" ht="11.25" customHeight="1" x14ac:dyDescent="0.35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</row>
    <row r="828" spans="1:25" ht="11.25" customHeight="1" x14ac:dyDescent="0.35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</row>
    <row r="829" spans="1:25" ht="11.25" customHeight="1" x14ac:dyDescent="0.35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</row>
    <row r="830" spans="1:25" ht="11.25" customHeight="1" x14ac:dyDescent="0.35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</row>
    <row r="831" spans="1:25" ht="11.25" customHeight="1" x14ac:dyDescent="0.35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</row>
    <row r="832" spans="1:25" ht="11.25" customHeight="1" x14ac:dyDescent="0.35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</row>
    <row r="833" spans="1:25" ht="11.25" customHeight="1" x14ac:dyDescent="0.35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</row>
    <row r="834" spans="1:25" ht="11.25" customHeight="1" x14ac:dyDescent="0.35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</row>
    <row r="835" spans="1:25" ht="11.25" customHeight="1" x14ac:dyDescent="0.35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</row>
    <row r="836" spans="1:25" ht="11.25" customHeight="1" x14ac:dyDescent="0.35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</row>
    <row r="837" spans="1:25" ht="11.25" customHeight="1" x14ac:dyDescent="0.35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</row>
    <row r="838" spans="1:25" ht="11.25" customHeight="1" x14ac:dyDescent="0.35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</row>
    <row r="839" spans="1:25" ht="11.25" customHeight="1" x14ac:dyDescent="0.35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</row>
    <row r="840" spans="1:25" ht="11.25" customHeight="1" x14ac:dyDescent="0.35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</row>
    <row r="841" spans="1:25" ht="11.25" customHeight="1" x14ac:dyDescent="0.35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</row>
    <row r="842" spans="1:25" ht="11.25" customHeight="1" x14ac:dyDescent="0.35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</row>
    <row r="843" spans="1:25" ht="11.25" customHeight="1" x14ac:dyDescent="0.35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</row>
    <row r="844" spans="1:25" ht="11.25" customHeight="1" x14ac:dyDescent="0.35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</row>
    <row r="845" spans="1:25" ht="11.25" customHeight="1" x14ac:dyDescent="0.35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</row>
    <row r="846" spans="1:25" ht="11.25" customHeight="1" x14ac:dyDescent="0.35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</row>
    <row r="847" spans="1:25" ht="11.25" customHeight="1" x14ac:dyDescent="0.35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</row>
    <row r="848" spans="1:25" ht="11.25" customHeight="1" x14ac:dyDescent="0.35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</row>
    <row r="849" spans="1:25" ht="11.25" customHeight="1" x14ac:dyDescent="0.35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</row>
    <row r="850" spans="1:25" ht="11.25" customHeight="1" x14ac:dyDescent="0.35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</row>
    <row r="851" spans="1:25" ht="11.25" customHeight="1" x14ac:dyDescent="0.35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</row>
    <row r="852" spans="1:25" ht="11.25" customHeight="1" x14ac:dyDescent="0.35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</row>
    <row r="853" spans="1:25" ht="11.25" customHeight="1" x14ac:dyDescent="0.35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</row>
    <row r="854" spans="1:25" ht="11.25" customHeight="1" x14ac:dyDescent="0.35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</row>
    <row r="855" spans="1:25" ht="11.25" customHeight="1" x14ac:dyDescent="0.35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</row>
    <row r="856" spans="1:25" ht="11.25" customHeight="1" x14ac:dyDescent="0.35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</row>
    <row r="857" spans="1:25" ht="11.25" customHeight="1" x14ac:dyDescent="0.35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</row>
    <row r="858" spans="1:25" ht="11.25" customHeight="1" x14ac:dyDescent="0.35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</row>
    <row r="859" spans="1:25" ht="11.25" customHeight="1" x14ac:dyDescent="0.35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</row>
    <row r="860" spans="1:25" ht="11.25" customHeight="1" x14ac:dyDescent="0.35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</row>
    <row r="861" spans="1:25" ht="11.25" customHeight="1" x14ac:dyDescent="0.35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</row>
    <row r="862" spans="1:25" ht="11.25" customHeight="1" x14ac:dyDescent="0.35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</row>
    <row r="863" spans="1:25" ht="11.25" customHeight="1" x14ac:dyDescent="0.35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</row>
    <row r="864" spans="1:25" ht="11.25" customHeight="1" x14ac:dyDescent="0.35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</row>
    <row r="865" spans="1:25" ht="11.25" customHeight="1" x14ac:dyDescent="0.35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</row>
    <row r="866" spans="1:25" ht="11.25" customHeight="1" x14ac:dyDescent="0.35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</row>
    <row r="867" spans="1:25" ht="11.25" customHeight="1" x14ac:dyDescent="0.35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</row>
    <row r="868" spans="1:25" ht="11.25" customHeight="1" x14ac:dyDescent="0.35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</row>
    <row r="869" spans="1:25" ht="11.25" customHeight="1" x14ac:dyDescent="0.35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</row>
    <row r="870" spans="1:25" ht="11.25" customHeight="1" x14ac:dyDescent="0.35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</row>
    <row r="871" spans="1:25" ht="11.25" customHeight="1" x14ac:dyDescent="0.35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</row>
    <row r="872" spans="1:25" ht="11.25" customHeight="1" x14ac:dyDescent="0.35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</row>
    <row r="873" spans="1:25" ht="11.25" customHeight="1" x14ac:dyDescent="0.35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</row>
    <row r="874" spans="1:25" ht="11.25" customHeight="1" x14ac:dyDescent="0.35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</row>
    <row r="875" spans="1:25" ht="11.25" customHeight="1" x14ac:dyDescent="0.35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</row>
    <row r="876" spans="1:25" ht="11.25" customHeight="1" x14ac:dyDescent="0.35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</row>
    <row r="877" spans="1:25" ht="11.25" customHeight="1" x14ac:dyDescent="0.35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</row>
    <row r="878" spans="1:25" ht="11.25" customHeight="1" x14ac:dyDescent="0.35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</row>
    <row r="879" spans="1:25" ht="11.25" customHeight="1" x14ac:dyDescent="0.35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</row>
    <row r="880" spans="1:25" ht="11.25" customHeight="1" x14ac:dyDescent="0.35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</row>
    <row r="881" spans="1:25" ht="11.25" customHeight="1" x14ac:dyDescent="0.35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</row>
    <row r="882" spans="1:25" ht="11.25" customHeight="1" x14ac:dyDescent="0.35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</row>
    <row r="883" spans="1:25" ht="11.25" customHeight="1" x14ac:dyDescent="0.35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</row>
    <row r="884" spans="1:25" ht="11.25" customHeight="1" x14ac:dyDescent="0.35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</row>
    <row r="885" spans="1:25" ht="11.25" customHeight="1" x14ac:dyDescent="0.35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</row>
    <row r="886" spans="1:25" ht="11.25" customHeight="1" x14ac:dyDescent="0.35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</row>
    <row r="887" spans="1:25" ht="11.25" customHeight="1" x14ac:dyDescent="0.35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</row>
    <row r="888" spans="1:25" ht="11.25" customHeight="1" x14ac:dyDescent="0.35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</row>
    <row r="889" spans="1:25" ht="11.25" customHeight="1" x14ac:dyDescent="0.35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</row>
    <row r="890" spans="1:25" ht="11.25" customHeight="1" x14ac:dyDescent="0.35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</row>
    <row r="891" spans="1:25" ht="11.25" customHeight="1" x14ac:dyDescent="0.35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</row>
    <row r="892" spans="1:25" ht="11.25" customHeight="1" x14ac:dyDescent="0.35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</row>
    <row r="893" spans="1:25" ht="11.25" customHeight="1" x14ac:dyDescent="0.35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</row>
    <row r="894" spans="1:25" ht="11.25" customHeight="1" x14ac:dyDescent="0.35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</row>
    <row r="895" spans="1:25" ht="11.25" customHeight="1" x14ac:dyDescent="0.35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</row>
    <row r="896" spans="1:25" ht="11.25" customHeight="1" x14ac:dyDescent="0.35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</row>
    <row r="897" spans="1:25" ht="11.25" customHeight="1" x14ac:dyDescent="0.35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</row>
    <row r="898" spans="1:25" ht="11.25" customHeight="1" x14ac:dyDescent="0.35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</row>
    <row r="899" spans="1:25" ht="11.25" customHeight="1" x14ac:dyDescent="0.35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</row>
    <row r="900" spans="1:25" ht="11.25" customHeight="1" x14ac:dyDescent="0.35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</row>
    <row r="901" spans="1:25" ht="11.25" customHeight="1" x14ac:dyDescent="0.35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</row>
    <row r="902" spans="1:25" ht="11.25" customHeight="1" x14ac:dyDescent="0.35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</row>
    <row r="903" spans="1:25" ht="11.25" customHeight="1" x14ac:dyDescent="0.35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</row>
    <row r="904" spans="1:25" ht="11.25" customHeight="1" x14ac:dyDescent="0.35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</row>
    <row r="905" spans="1:25" ht="11.25" customHeight="1" x14ac:dyDescent="0.35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</row>
    <row r="906" spans="1:25" ht="11.25" customHeight="1" x14ac:dyDescent="0.35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</row>
    <row r="907" spans="1:25" ht="11.25" customHeight="1" x14ac:dyDescent="0.35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</row>
    <row r="908" spans="1:25" ht="11.25" customHeight="1" x14ac:dyDescent="0.35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</row>
    <row r="909" spans="1:25" ht="11.25" customHeight="1" x14ac:dyDescent="0.35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</row>
    <row r="910" spans="1:25" ht="11.25" customHeight="1" x14ac:dyDescent="0.35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</row>
    <row r="911" spans="1:25" ht="11.25" customHeight="1" x14ac:dyDescent="0.35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</row>
    <row r="912" spans="1:25" ht="11.25" customHeight="1" x14ac:dyDescent="0.35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</row>
    <row r="913" spans="1:25" ht="11.25" customHeight="1" x14ac:dyDescent="0.35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</row>
    <row r="914" spans="1:25" ht="11.25" customHeight="1" x14ac:dyDescent="0.35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</row>
    <row r="915" spans="1:25" ht="11.25" customHeight="1" x14ac:dyDescent="0.35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</row>
    <row r="916" spans="1:25" ht="11.25" customHeight="1" x14ac:dyDescent="0.35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</row>
    <row r="917" spans="1:25" ht="11.25" customHeight="1" x14ac:dyDescent="0.35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</row>
    <row r="918" spans="1:25" ht="11.25" customHeight="1" x14ac:dyDescent="0.35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</row>
    <row r="919" spans="1:25" ht="11.25" customHeight="1" x14ac:dyDescent="0.35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</row>
    <row r="920" spans="1:25" ht="11.25" customHeight="1" x14ac:dyDescent="0.35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</row>
    <row r="921" spans="1:25" ht="11.25" customHeight="1" x14ac:dyDescent="0.35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</row>
    <row r="922" spans="1:25" ht="11.25" customHeight="1" x14ac:dyDescent="0.35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</row>
    <row r="923" spans="1:25" ht="11.25" customHeight="1" x14ac:dyDescent="0.35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</row>
    <row r="924" spans="1:25" ht="11.25" customHeight="1" x14ac:dyDescent="0.35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</row>
    <row r="925" spans="1:25" ht="11.25" customHeight="1" x14ac:dyDescent="0.35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</row>
    <row r="926" spans="1:25" ht="11.25" customHeight="1" x14ac:dyDescent="0.35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</row>
    <row r="927" spans="1:25" ht="11.25" customHeight="1" x14ac:dyDescent="0.35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</row>
    <row r="928" spans="1:25" ht="11.25" customHeight="1" x14ac:dyDescent="0.35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</row>
    <row r="929" spans="1:25" ht="11.25" customHeight="1" x14ac:dyDescent="0.35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</row>
    <row r="930" spans="1:25" ht="11.25" customHeight="1" x14ac:dyDescent="0.35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</row>
    <row r="931" spans="1:25" ht="11.25" customHeight="1" x14ac:dyDescent="0.35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</row>
    <row r="932" spans="1:25" ht="11.25" customHeight="1" x14ac:dyDescent="0.35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</row>
    <row r="933" spans="1:25" ht="11.25" customHeight="1" x14ac:dyDescent="0.35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</row>
    <row r="934" spans="1:25" ht="11.25" customHeight="1" x14ac:dyDescent="0.35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</row>
    <row r="935" spans="1:25" ht="11.25" customHeight="1" x14ac:dyDescent="0.35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</row>
    <row r="936" spans="1:25" ht="11.25" customHeight="1" x14ac:dyDescent="0.35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</row>
    <row r="937" spans="1:25" ht="11.25" customHeight="1" x14ac:dyDescent="0.35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</row>
    <row r="938" spans="1:25" ht="11.25" customHeight="1" x14ac:dyDescent="0.35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</row>
    <row r="939" spans="1:25" ht="11.25" customHeight="1" x14ac:dyDescent="0.35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</row>
    <row r="940" spans="1:25" ht="11.25" customHeight="1" x14ac:dyDescent="0.35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</row>
    <row r="941" spans="1:25" ht="11.25" customHeight="1" x14ac:dyDescent="0.35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</row>
    <row r="942" spans="1:25" ht="11.25" customHeight="1" x14ac:dyDescent="0.35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</row>
    <row r="943" spans="1:25" ht="11.25" customHeight="1" x14ac:dyDescent="0.35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</row>
    <row r="944" spans="1:25" ht="11.25" customHeight="1" x14ac:dyDescent="0.35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</row>
    <row r="945" spans="1:25" ht="11.25" customHeight="1" x14ac:dyDescent="0.35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</row>
    <row r="946" spans="1:25" ht="11.25" customHeight="1" x14ac:dyDescent="0.35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</row>
    <row r="947" spans="1:25" ht="11.25" customHeight="1" x14ac:dyDescent="0.35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</row>
    <row r="948" spans="1:25" ht="11.25" customHeight="1" x14ac:dyDescent="0.35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</row>
    <row r="949" spans="1:25" ht="11.25" customHeight="1" x14ac:dyDescent="0.35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</row>
    <row r="950" spans="1:25" ht="11.25" customHeight="1" x14ac:dyDescent="0.35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</row>
    <row r="951" spans="1:25" ht="11.25" customHeight="1" x14ac:dyDescent="0.35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</row>
    <row r="952" spans="1:25" ht="11.25" customHeight="1" x14ac:dyDescent="0.35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</row>
    <row r="953" spans="1:25" ht="11.25" customHeight="1" x14ac:dyDescent="0.35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</row>
    <row r="954" spans="1:25" ht="11.25" customHeight="1" x14ac:dyDescent="0.35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</row>
    <row r="955" spans="1:25" ht="11.25" customHeight="1" x14ac:dyDescent="0.35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</row>
    <row r="956" spans="1:25" ht="11.25" customHeight="1" x14ac:dyDescent="0.35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</row>
    <row r="957" spans="1:25" ht="11.25" customHeight="1" x14ac:dyDescent="0.35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</row>
    <row r="958" spans="1:25" ht="11.25" customHeight="1" x14ac:dyDescent="0.35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</row>
    <row r="959" spans="1:25" ht="11.25" customHeight="1" x14ac:dyDescent="0.35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</row>
    <row r="960" spans="1:25" ht="11.25" customHeight="1" x14ac:dyDescent="0.35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</row>
    <row r="961" spans="1:25" ht="11.25" customHeight="1" x14ac:dyDescent="0.35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</row>
    <row r="962" spans="1:25" ht="11.25" customHeight="1" x14ac:dyDescent="0.35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</row>
    <row r="963" spans="1:25" ht="11.25" customHeight="1" x14ac:dyDescent="0.35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</row>
    <row r="964" spans="1:25" ht="11.25" customHeight="1" x14ac:dyDescent="0.35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</row>
    <row r="965" spans="1:25" ht="11.25" customHeight="1" x14ac:dyDescent="0.35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</row>
    <row r="966" spans="1:25" ht="11.25" customHeight="1" x14ac:dyDescent="0.35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</row>
    <row r="967" spans="1:25" ht="11.25" customHeight="1" x14ac:dyDescent="0.35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</row>
    <row r="968" spans="1:25" ht="11.25" customHeight="1" x14ac:dyDescent="0.35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</row>
    <row r="969" spans="1:25" ht="11.25" customHeight="1" x14ac:dyDescent="0.35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</row>
    <row r="970" spans="1:25" ht="11.25" customHeight="1" x14ac:dyDescent="0.35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</row>
    <row r="971" spans="1:25" ht="11.25" customHeight="1" x14ac:dyDescent="0.35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</row>
    <row r="972" spans="1:25" ht="11.25" customHeight="1" x14ac:dyDescent="0.35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</row>
    <row r="973" spans="1:25" ht="11.25" customHeight="1" x14ac:dyDescent="0.35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</row>
    <row r="974" spans="1:25" ht="11.25" customHeight="1" x14ac:dyDescent="0.35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</row>
    <row r="975" spans="1:25" ht="11.25" customHeight="1" x14ac:dyDescent="0.35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</row>
    <row r="976" spans="1:25" ht="11.25" customHeight="1" x14ac:dyDescent="0.35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</row>
    <row r="977" spans="1:25" ht="11.25" customHeight="1" x14ac:dyDescent="0.35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</row>
    <row r="978" spans="1:25" ht="11.25" customHeight="1" x14ac:dyDescent="0.35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</row>
    <row r="979" spans="1:25" ht="11.25" customHeight="1" x14ac:dyDescent="0.35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</row>
    <row r="980" spans="1:25" ht="11.25" customHeight="1" x14ac:dyDescent="0.35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</row>
    <row r="981" spans="1:25" ht="11.25" customHeight="1" x14ac:dyDescent="0.35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</row>
    <row r="982" spans="1:25" ht="11.25" customHeight="1" x14ac:dyDescent="0.35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</row>
    <row r="983" spans="1:25" ht="11.25" customHeight="1" x14ac:dyDescent="0.35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</row>
    <row r="984" spans="1:25" ht="11.25" customHeight="1" x14ac:dyDescent="0.35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</row>
    <row r="985" spans="1:25" ht="11.25" customHeight="1" x14ac:dyDescent="0.35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</row>
    <row r="986" spans="1:25" ht="11.25" customHeight="1" x14ac:dyDescent="0.35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</row>
    <row r="987" spans="1:25" ht="11.25" customHeight="1" x14ac:dyDescent="0.35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</row>
    <row r="988" spans="1:25" ht="11.25" customHeight="1" x14ac:dyDescent="0.35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</row>
    <row r="989" spans="1:25" ht="11.25" customHeight="1" x14ac:dyDescent="0.35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</row>
    <row r="990" spans="1:25" ht="11.25" customHeight="1" x14ac:dyDescent="0.35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</row>
    <row r="991" spans="1:25" ht="11.25" customHeight="1" x14ac:dyDescent="0.35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</row>
    <row r="992" spans="1:25" ht="11.25" customHeight="1" x14ac:dyDescent="0.35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</row>
    <row r="993" spans="1:25" ht="11.25" customHeight="1" x14ac:dyDescent="0.35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</row>
    <row r="994" spans="1:25" ht="11.25" customHeight="1" x14ac:dyDescent="0.35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</row>
    <row r="995" spans="1:25" ht="11.25" customHeight="1" x14ac:dyDescent="0.35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</row>
    <row r="996" spans="1:25" ht="11.25" customHeight="1" x14ac:dyDescent="0.35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</row>
    <row r="997" spans="1:25" ht="11.25" customHeight="1" x14ac:dyDescent="0.35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</row>
    <row r="998" spans="1:25" ht="11.25" customHeight="1" x14ac:dyDescent="0.35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</row>
    <row r="999" spans="1:25" ht="11.25" customHeight="1" x14ac:dyDescent="0.35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</row>
    <row r="1000" spans="1:25" ht="11.25" customHeight="1" x14ac:dyDescent="0.35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</row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C77AC-0403-4035-8C82-29955A277E20}">
  <dimension ref="A1:Y1000"/>
  <sheetViews>
    <sheetView topLeftCell="A31" zoomScale="115" zoomScaleNormal="115" workbookViewId="0">
      <selection activeCell="D35" sqref="D35"/>
    </sheetView>
  </sheetViews>
  <sheetFormatPr defaultColWidth="14.453125" defaultRowHeight="15" customHeight="1" x14ac:dyDescent="0.35"/>
  <cols>
    <col min="1" max="1" width="2" customWidth="1"/>
    <col min="2" max="2" width="29.08984375" customWidth="1"/>
    <col min="3" max="3" width="14.81640625" customWidth="1"/>
    <col min="4" max="4" width="23.54296875" customWidth="1"/>
    <col min="5" max="5" width="17.7265625" customWidth="1"/>
    <col min="6" max="11" width="10.54296875" customWidth="1"/>
    <col min="12" max="15" width="9.54296875" customWidth="1"/>
    <col min="16" max="16" width="2" customWidth="1"/>
    <col min="17" max="25" width="9.08984375" customWidth="1"/>
  </cols>
  <sheetData>
    <row r="1" spans="1:25" ht="11.25" customHeight="1" x14ac:dyDescent="0.4">
      <c r="A1" s="61"/>
      <c r="B1" s="62" t="s">
        <v>98</v>
      </c>
      <c r="C1" s="63"/>
      <c r="D1" s="64"/>
      <c r="E1" s="65"/>
      <c r="F1" s="66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1"/>
      <c r="T1" s="1"/>
      <c r="U1" s="1"/>
      <c r="V1" s="1"/>
      <c r="W1" s="1"/>
      <c r="X1" s="1"/>
      <c r="Y1" s="1"/>
    </row>
    <row r="2" spans="1:25" ht="11.25" customHeight="1" x14ac:dyDescent="0.35">
      <c r="A2" s="1"/>
      <c r="B2" s="2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1.2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1.25" customHeight="1" x14ac:dyDescent="0.35">
      <c r="A4" s="1"/>
      <c r="B4" s="67" t="s">
        <v>99</v>
      </c>
      <c r="C4" s="68">
        <v>0.12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1.25" customHeight="1" x14ac:dyDescent="0.35">
      <c r="A5" s="1"/>
      <c r="B5" s="67" t="s">
        <v>100</v>
      </c>
      <c r="C5" s="68">
        <v>0.05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9" customHeight="1" x14ac:dyDescent="0.35">
      <c r="A6" s="1"/>
      <c r="B6" s="1"/>
      <c r="C6" s="1"/>
      <c r="D6" s="1"/>
      <c r="E6" s="1"/>
      <c r="F6" s="1">
        <v>1</v>
      </c>
      <c r="G6" s="1">
        <v>2</v>
      </c>
      <c r="H6" s="1">
        <v>3</v>
      </c>
      <c r="I6" s="1">
        <v>4</v>
      </c>
      <c r="J6" s="1">
        <v>5</v>
      </c>
      <c r="K6" s="1">
        <v>6</v>
      </c>
      <c r="L6" s="1">
        <v>7</v>
      </c>
      <c r="M6" s="1">
        <v>8</v>
      </c>
      <c r="N6" s="1">
        <v>9</v>
      </c>
      <c r="O6" s="1">
        <v>10</v>
      </c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34" customHeight="1" thickBot="1" x14ac:dyDescent="0.4">
      <c r="A7" s="1"/>
      <c r="B7" s="25" t="s">
        <v>101</v>
      </c>
      <c r="C7" s="11"/>
      <c r="D7" s="11" t="s">
        <v>11</v>
      </c>
      <c r="E7" s="11" t="s">
        <v>12</v>
      </c>
      <c r="F7" s="12" t="s">
        <v>13</v>
      </c>
      <c r="G7" s="12" t="s">
        <v>14</v>
      </c>
      <c r="H7" s="12" t="s">
        <v>15</v>
      </c>
      <c r="I7" s="12" t="s">
        <v>16</v>
      </c>
      <c r="J7" s="12" t="s">
        <v>102</v>
      </c>
      <c r="K7" s="12" t="s">
        <v>18</v>
      </c>
      <c r="L7" s="12" t="s">
        <v>19</v>
      </c>
      <c r="M7" s="12" t="s">
        <v>20</v>
      </c>
      <c r="N7" s="12" t="s">
        <v>103</v>
      </c>
      <c r="O7" s="12" t="s">
        <v>22</v>
      </c>
      <c r="P7" s="1"/>
      <c r="Q7" s="31" t="s">
        <v>45</v>
      </c>
      <c r="R7" s="1"/>
      <c r="S7" s="1"/>
      <c r="T7" s="1"/>
      <c r="U7" s="1"/>
      <c r="V7" s="1"/>
      <c r="W7" s="1"/>
      <c r="X7" s="1"/>
      <c r="Y7" s="1"/>
    </row>
    <row r="8" spans="1:25" ht="11.25" customHeight="1" x14ac:dyDescent="0.35">
      <c r="A8" s="1"/>
      <c r="B8" s="1" t="s">
        <v>90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6" customHeight="1" x14ac:dyDescent="0.35">
      <c r="A9" s="1"/>
      <c r="B9" s="1"/>
      <c r="C9" s="1"/>
      <c r="D9" s="1"/>
      <c r="E9" s="1"/>
      <c r="F9" s="28"/>
      <c r="G9" s="28"/>
      <c r="H9" s="28"/>
      <c r="I9" s="28"/>
      <c r="J9" s="28"/>
      <c r="K9" s="28"/>
      <c r="L9" s="28"/>
      <c r="M9" s="28"/>
      <c r="N9" s="28"/>
      <c r="O9" s="28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1.25" customHeight="1" x14ac:dyDescent="0.35">
      <c r="A10" s="1"/>
      <c r="B10" s="1" t="s">
        <v>104</v>
      </c>
      <c r="C10" s="1"/>
      <c r="D10" s="1"/>
      <c r="E10" s="1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1.25" customHeight="1" x14ac:dyDescent="0.35">
      <c r="A11" s="1"/>
      <c r="B11" s="35" t="s">
        <v>105</v>
      </c>
      <c r="C11" s="1"/>
      <c r="D11" s="1"/>
      <c r="E11" s="1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11.25" customHeight="1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1.25" customHeight="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1.25" customHeigh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6" customHeight="1" x14ac:dyDescent="0.35">
      <c r="A15" s="1"/>
      <c r="B15" s="69" t="s">
        <v>106</v>
      </c>
      <c r="C15" s="119"/>
      <c r="D15" s="118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1.25" customHeight="1" x14ac:dyDescent="0.35">
      <c r="A16" s="1"/>
      <c r="B16" s="69" t="s">
        <v>107</v>
      </c>
      <c r="C16" s="119"/>
      <c r="D16" s="1"/>
      <c r="E16" s="7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1.25" customHeight="1" x14ac:dyDescent="0.35">
      <c r="A17" s="1"/>
      <c r="B17" s="69" t="s">
        <v>108</v>
      </c>
      <c r="C17" s="70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1.25" customHeight="1" x14ac:dyDescent="0.35">
      <c r="A18" s="1"/>
      <c r="B18" s="72" t="s">
        <v>109</v>
      </c>
      <c r="C18" s="7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1.25" customHeight="1" x14ac:dyDescent="0.35">
      <c r="A19" s="1"/>
      <c r="B19" s="69" t="s">
        <v>110</v>
      </c>
      <c r="C19" s="70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1.25" customHeight="1" x14ac:dyDescent="0.35">
      <c r="A20" s="1"/>
      <c r="B20" s="69" t="s">
        <v>111</v>
      </c>
      <c r="C20" s="70"/>
      <c r="D20" s="1"/>
      <c r="E20" s="1"/>
      <c r="F20" s="74"/>
      <c r="G20" s="75"/>
      <c r="H20" s="75"/>
      <c r="I20" s="75"/>
      <c r="J20" s="75"/>
      <c r="K20" s="75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1.25" customHeight="1" x14ac:dyDescent="0.35">
      <c r="A21" s="1"/>
      <c r="B21" s="72" t="s">
        <v>112</v>
      </c>
      <c r="C21" s="73"/>
      <c r="D21" s="1"/>
      <c r="E21" s="1"/>
      <c r="F21" s="7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1.25" customHeight="1" x14ac:dyDescent="0.35">
      <c r="A22" s="1"/>
      <c r="B22" s="69"/>
      <c r="C22" s="69"/>
      <c r="D22" s="1"/>
      <c r="E22" s="1"/>
      <c r="F22" s="7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1.25" customHeight="1" x14ac:dyDescent="0.35">
      <c r="A23" s="1"/>
      <c r="B23" s="69" t="s">
        <v>113</v>
      </c>
      <c r="C23" s="121"/>
      <c r="D23" s="1"/>
      <c r="E23" s="1"/>
      <c r="F23" s="7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1.25" customHeight="1" x14ac:dyDescent="0.35">
      <c r="A24" s="1"/>
      <c r="B24" s="76" t="s">
        <v>114</v>
      </c>
      <c r="C24" s="72"/>
      <c r="D24" s="1"/>
      <c r="E24" s="1"/>
      <c r="F24" s="7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1.25" customHeight="1" x14ac:dyDescent="0.35">
      <c r="A25" s="1"/>
      <c r="B25" s="1"/>
      <c r="C25" s="1"/>
      <c r="D25" s="1"/>
      <c r="E25" s="1"/>
      <c r="F25" s="7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1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1.25" customHeight="1" x14ac:dyDescent="0.35">
      <c r="A29" s="1"/>
      <c r="B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1.25" customHeight="1" x14ac:dyDescent="0.35">
      <c r="A35" s="1"/>
      <c r="B35" s="1"/>
      <c r="C35" s="74" t="e">
        <f>#REF!</f>
        <v>#REF!</v>
      </c>
      <c r="D35" s="77">
        <v>0.1</v>
      </c>
      <c r="E35" s="77">
        <v>0.11</v>
      </c>
      <c r="F35" s="77">
        <v>0.13</v>
      </c>
      <c r="G35" s="77">
        <v>0.14000000000000001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1.25" customHeight="1" x14ac:dyDescent="0.35">
      <c r="A36" s="1"/>
      <c r="B36" s="1"/>
      <c r="C36" s="77">
        <v>0.03</v>
      </c>
      <c r="D36" s="78"/>
      <c r="E36" s="79"/>
      <c r="F36" s="79"/>
      <c r="G36" s="79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1.25" customHeight="1" x14ac:dyDescent="0.35">
      <c r="A37" s="1"/>
      <c r="B37" s="1"/>
      <c r="C37" s="77">
        <v>0.04</v>
      </c>
      <c r="D37" s="80"/>
      <c r="E37" s="69"/>
      <c r="F37" s="69"/>
      <c r="G37" s="69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1.25" customHeight="1" x14ac:dyDescent="0.35">
      <c r="A38" s="1"/>
      <c r="B38" s="1"/>
      <c r="C38" s="77">
        <v>0.05</v>
      </c>
      <c r="D38" s="80"/>
      <c r="E38" s="69"/>
      <c r="F38" s="69"/>
      <c r="G38" s="69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1.25" customHeight="1" x14ac:dyDescent="0.35">
      <c r="A39" s="1"/>
      <c r="B39" s="1"/>
      <c r="C39" s="77">
        <v>0.06</v>
      </c>
      <c r="D39" s="80"/>
      <c r="E39" s="69"/>
      <c r="F39" s="69"/>
      <c r="G39" s="69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1.25" customHeight="1" x14ac:dyDescent="0.35">
      <c r="A40" s="1"/>
      <c r="B40" s="1"/>
      <c r="C40" s="77">
        <v>7.0000000000000007E-2</v>
      </c>
      <c r="D40" s="80"/>
      <c r="E40" s="69"/>
      <c r="F40" s="69"/>
      <c r="G40" s="69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</sheetData>
  <pageMargins left="0.7" right="0.7" top="0.75" bottom="0.75" header="0" footer="0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Z1000"/>
  <sheetViews>
    <sheetView topLeftCell="A10" workbookViewId="0">
      <selection activeCell="G27" sqref="G27"/>
    </sheetView>
  </sheetViews>
  <sheetFormatPr defaultColWidth="14.453125" defaultRowHeight="15" customHeight="1" x14ac:dyDescent="0.35"/>
  <cols>
    <col min="1" max="2" width="8.7265625" customWidth="1"/>
    <col min="3" max="3" width="31.453125" customWidth="1"/>
    <col min="4" max="4" width="10.08984375" customWidth="1"/>
    <col min="5" max="26" width="8.7265625" customWidth="1"/>
  </cols>
  <sheetData>
    <row r="1" spans="1:26" ht="14.25" customHeight="1" x14ac:dyDescent="0.3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4.25" customHeight="1" x14ac:dyDescent="0.45">
      <c r="A2" s="23"/>
      <c r="B2" s="5" t="s">
        <v>115</v>
      </c>
      <c r="C2" s="81"/>
      <c r="D2" s="81"/>
      <c r="E2" s="81"/>
      <c r="F2" s="81"/>
      <c r="G2" s="81"/>
      <c r="H2" s="82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4.25" customHeight="1" x14ac:dyDescent="0.45">
      <c r="A3" s="23"/>
      <c r="B3" s="35" t="s">
        <v>101</v>
      </c>
      <c r="C3" s="81"/>
      <c r="D3" s="81"/>
      <c r="E3" s="81"/>
      <c r="F3" s="81"/>
      <c r="G3" s="81"/>
      <c r="H3" s="82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4.25" customHeight="1" x14ac:dyDescent="0.3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4.25" customHeight="1" x14ac:dyDescent="0.35">
      <c r="A5" s="23"/>
      <c r="B5" s="23"/>
      <c r="C5" s="83" t="s">
        <v>99</v>
      </c>
      <c r="D5" s="84"/>
      <c r="E5" s="23" t="s">
        <v>116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4.25" customHeight="1" x14ac:dyDescent="0.35">
      <c r="A6" s="23"/>
      <c r="B6" s="23"/>
      <c r="C6" s="83" t="s">
        <v>100</v>
      </c>
      <c r="D6" s="84"/>
      <c r="E6" s="23" t="s">
        <v>116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14.25" customHeight="1" x14ac:dyDescent="0.35">
      <c r="A7" s="23"/>
      <c r="B7" s="23"/>
      <c r="C7" s="83" t="s">
        <v>117</v>
      </c>
      <c r="D7" s="85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14.25" customHeight="1" x14ac:dyDescent="0.35">
      <c r="A8" s="23"/>
      <c r="B8" s="23"/>
      <c r="C8" s="83"/>
      <c r="D8" s="8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14.25" customHeight="1" x14ac:dyDescent="0.35">
      <c r="A9" s="23"/>
      <c r="B9" s="23"/>
      <c r="C9" s="86" t="s">
        <v>118</v>
      </c>
      <c r="D9" s="86"/>
      <c r="E9" s="23"/>
      <c r="F9" s="23"/>
      <c r="G9" s="23"/>
      <c r="H9" s="23"/>
      <c r="I9" s="23"/>
      <c r="J9" s="87"/>
      <c r="K9" s="88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4.25" customHeight="1" x14ac:dyDescent="0.35">
      <c r="A10" s="23"/>
      <c r="B10" s="23"/>
      <c r="C10" s="83"/>
      <c r="D10" s="83"/>
      <c r="E10" s="23"/>
      <c r="F10" s="23"/>
      <c r="G10" s="23"/>
      <c r="H10" s="23"/>
      <c r="I10" s="23"/>
      <c r="J10" s="87"/>
      <c r="K10" s="88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14.25" customHeight="1" x14ac:dyDescent="0.35">
      <c r="A11" s="23"/>
      <c r="B11" s="23"/>
      <c r="C11" s="83" t="s">
        <v>119</v>
      </c>
      <c r="D11" s="83"/>
      <c r="E11" s="23"/>
      <c r="F11" s="23"/>
      <c r="G11" s="23"/>
      <c r="H11" s="23"/>
      <c r="I11" s="23"/>
      <c r="J11" s="89"/>
      <c r="K11" s="90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14.25" customHeight="1" x14ac:dyDescent="0.35">
      <c r="A12" s="23"/>
      <c r="B12" s="23"/>
      <c r="C12" s="83"/>
      <c r="D12" s="83"/>
      <c r="E12" s="23"/>
      <c r="F12" s="23"/>
      <c r="G12" s="23"/>
      <c r="H12" s="23"/>
      <c r="I12" s="23"/>
      <c r="J12" s="87"/>
      <c r="K12" s="91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ht="14.25" customHeight="1" x14ac:dyDescent="0.35">
      <c r="A13" s="23"/>
      <c r="B13" s="23"/>
      <c r="C13" s="86" t="s">
        <v>109</v>
      </c>
      <c r="D13" s="92"/>
      <c r="E13" s="23"/>
      <c r="F13" s="23"/>
      <c r="G13" s="23"/>
      <c r="H13" s="23"/>
      <c r="I13" s="23"/>
      <c r="J13" s="89"/>
      <c r="K13" s="9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ht="14.25" customHeight="1" x14ac:dyDescent="0.35">
      <c r="A14" s="23"/>
      <c r="B14" s="23"/>
      <c r="C14" s="94" t="s">
        <v>110</v>
      </c>
      <c r="D14" s="95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ht="14.25" customHeight="1" x14ac:dyDescent="0.35">
      <c r="A15" s="23"/>
      <c r="B15" s="23"/>
      <c r="C15" s="94" t="s">
        <v>111</v>
      </c>
      <c r="D15" s="95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14.25" customHeight="1" x14ac:dyDescent="0.35">
      <c r="A16" s="23"/>
      <c r="B16" s="23"/>
      <c r="C16" s="86" t="s">
        <v>112</v>
      </c>
      <c r="D16" s="9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ht="14.25" customHeight="1" x14ac:dyDescent="0.35">
      <c r="A17" s="23"/>
      <c r="B17" s="23"/>
      <c r="C17" s="94" t="s">
        <v>113</v>
      </c>
      <c r="D17" s="96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ht="14.25" customHeight="1" x14ac:dyDescent="0.35">
      <c r="A18" s="23"/>
      <c r="B18" s="23"/>
      <c r="C18" s="86" t="s">
        <v>114</v>
      </c>
      <c r="D18" s="97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ht="14.25" customHeight="1" x14ac:dyDescent="0.3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ht="14.25" customHeight="1" x14ac:dyDescent="0.35">
      <c r="A20" s="23"/>
      <c r="B20" s="23"/>
      <c r="C20" s="98" t="s">
        <v>120</v>
      </c>
      <c r="D20" s="98"/>
      <c r="E20" s="98"/>
      <c r="F20" s="98"/>
      <c r="G20" s="98"/>
      <c r="H20" s="98"/>
      <c r="I20" s="98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ht="14.25" customHeight="1" x14ac:dyDescent="0.3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ht="14.25" customHeight="1" x14ac:dyDescent="0.3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ht="14.25" customHeight="1" x14ac:dyDescent="0.3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ht="14.25" customHeight="1" x14ac:dyDescent="0.3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ht="14.25" customHeight="1" x14ac:dyDescent="0.3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ht="14.25" customHeight="1" x14ac:dyDescent="0.3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ht="14.25" customHeight="1" x14ac:dyDescent="0.3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ht="14.25" customHeight="1" x14ac:dyDescent="0.3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ht="14.25" customHeight="1" x14ac:dyDescent="0.3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ht="14.25" customHeight="1" x14ac:dyDescent="0.3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ht="14.25" customHeight="1" x14ac:dyDescent="0.3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ht="14.25" customHeight="1" x14ac:dyDescent="0.3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ht="14.25" customHeight="1" x14ac:dyDescent="0.3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ht="14.25" customHeight="1" x14ac:dyDescent="0.3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ht="14.25" customHeight="1" x14ac:dyDescent="0.3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ht="14.25" customHeight="1" x14ac:dyDescent="0.3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ht="14.25" customHeight="1" x14ac:dyDescent="0.3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ht="14.25" customHeight="1" x14ac:dyDescent="0.3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ht="14.25" customHeight="1" x14ac:dyDescent="0.3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ht="14.25" customHeight="1" x14ac:dyDescent="0.3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ht="14.25" customHeight="1" x14ac:dyDescent="0.3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ht="14.25" customHeight="1" x14ac:dyDescent="0.3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ht="14.25" customHeight="1" x14ac:dyDescent="0.3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ht="14.25" customHeight="1" x14ac:dyDescent="0.3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ht="14.25" customHeight="1" x14ac:dyDescent="0.3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ht="14.25" customHeight="1" x14ac:dyDescent="0.3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ht="14.25" customHeight="1" x14ac:dyDescent="0.3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ht="14.25" customHeight="1" x14ac:dyDescent="0.3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ht="14.25" customHeight="1" x14ac:dyDescent="0.3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ht="14.25" customHeight="1" x14ac:dyDescent="0.3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ht="14.25" customHeight="1" x14ac:dyDescent="0.3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ht="14.25" customHeight="1" x14ac:dyDescent="0.3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ht="14.25" customHeight="1" x14ac:dyDescent="0.3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ht="14.25" customHeight="1" x14ac:dyDescent="0.3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ht="14.25" customHeight="1" x14ac:dyDescent="0.3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ht="14.25" customHeight="1" x14ac:dyDescent="0.3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ht="14.25" customHeight="1" x14ac:dyDescent="0.3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ht="14.25" customHeight="1" x14ac:dyDescent="0.3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ht="14.25" customHeight="1" x14ac:dyDescent="0.3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ht="14.25" customHeight="1" x14ac:dyDescent="0.3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ht="14.25" customHeight="1" x14ac:dyDescent="0.3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ht="14.25" customHeight="1" x14ac:dyDescent="0.3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ht="14.25" customHeight="1" x14ac:dyDescent="0.3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ht="14.25" customHeight="1" x14ac:dyDescent="0.3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ht="14.25" customHeight="1" x14ac:dyDescent="0.3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ht="14.25" customHeight="1" x14ac:dyDescent="0.3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ht="14.25" customHeight="1" x14ac:dyDescent="0.3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ht="14.25" customHeight="1" x14ac:dyDescent="0.3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ht="14.25" customHeight="1" x14ac:dyDescent="0.3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ht="14.25" customHeight="1" x14ac:dyDescent="0.3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ht="14.25" customHeight="1" x14ac:dyDescent="0.3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ht="14.25" customHeight="1" x14ac:dyDescent="0.3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ht="14.25" customHeight="1" x14ac:dyDescent="0.3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ht="14.25" customHeight="1" x14ac:dyDescent="0.3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ht="14.25" customHeight="1" x14ac:dyDescent="0.3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ht="14.25" customHeight="1" x14ac:dyDescent="0.3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ht="14.25" customHeight="1" x14ac:dyDescent="0.3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ht="14.25" customHeight="1" x14ac:dyDescent="0.3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ht="14.25" customHeight="1" x14ac:dyDescent="0.3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ht="14.25" customHeight="1" x14ac:dyDescent="0.3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ht="14.25" customHeight="1" x14ac:dyDescent="0.3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ht="14.25" customHeight="1" x14ac:dyDescent="0.3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ht="14.25" customHeight="1" x14ac:dyDescent="0.35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ht="14.25" customHeight="1" x14ac:dyDescent="0.35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ht="14.25" customHeight="1" x14ac:dyDescent="0.3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ht="14.25" customHeight="1" x14ac:dyDescent="0.3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ht="14.25" customHeight="1" x14ac:dyDescent="0.3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ht="14.25" customHeight="1" x14ac:dyDescent="0.3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ht="14.25" customHeight="1" x14ac:dyDescent="0.3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ht="14.25" customHeight="1" x14ac:dyDescent="0.3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ht="14.25" customHeight="1" x14ac:dyDescent="0.3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ht="14.25" customHeight="1" x14ac:dyDescent="0.3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ht="14.25" customHeight="1" x14ac:dyDescent="0.3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ht="14.25" customHeight="1" x14ac:dyDescent="0.3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ht="14.25" customHeight="1" x14ac:dyDescent="0.3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ht="14.25" customHeight="1" x14ac:dyDescent="0.3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ht="14.25" customHeight="1" x14ac:dyDescent="0.3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ht="14.25" customHeight="1" x14ac:dyDescent="0.3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ht="14.25" customHeight="1" x14ac:dyDescent="0.3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ht="14.25" customHeight="1" x14ac:dyDescent="0.35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ht="14.25" customHeight="1" x14ac:dyDescent="0.3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ht="14.25" customHeight="1" x14ac:dyDescent="0.3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ht="14.25" customHeight="1" x14ac:dyDescent="0.3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ht="14.25" customHeight="1" x14ac:dyDescent="0.3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ht="14.25" customHeight="1" x14ac:dyDescent="0.3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ht="14.25" customHeight="1" x14ac:dyDescent="0.3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ht="14.25" customHeight="1" x14ac:dyDescent="0.3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ht="14.25" customHeight="1" x14ac:dyDescent="0.3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ht="14.25" customHeight="1" x14ac:dyDescent="0.3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ht="14.25" customHeight="1" x14ac:dyDescent="0.3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ht="14.25" customHeight="1" x14ac:dyDescent="0.35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ht="14.25" customHeight="1" x14ac:dyDescent="0.3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ht="14.25" customHeight="1" x14ac:dyDescent="0.3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ht="14.25" customHeight="1" x14ac:dyDescent="0.35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ht="14.25" customHeight="1" x14ac:dyDescent="0.35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ht="14.25" customHeight="1" x14ac:dyDescent="0.35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ht="14.25" customHeight="1" x14ac:dyDescent="0.35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ht="14.25" customHeight="1" x14ac:dyDescent="0.35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ht="14.25" customHeight="1" x14ac:dyDescent="0.35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ht="14.25" customHeight="1" x14ac:dyDescent="0.35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ht="14.25" customHeight="1" x14ac:dyDescent="0.35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ht="14.25" customHeight="1" x14ac:dyDescent="0.35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ht="14.25" customHeight="1" x14ac:dyDescent="0.35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ht="14.25" customHeight="1" x14ac:dyDescent="0.35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ht="14.25" customHeight="1" x14ac:dyDescent="0.35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ht="14.25" customHeight="1" x14ac:dyDescent="0.35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ht="14.25" customHeight="1" x14ac:dyDescent="0.35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ht="14.25" customHeight="1" x14ac:dyDescent="0.35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ht="14.25" customHeight="1" x14ac:dyDescent="0.35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ht="14.25" customHeight="1" x14ac:dyDescent="0.35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ht="14.25" customHeight="1" x14ac:dyDescent="0.3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ht="14.25" customHeight="1" x14ac:dyDescent="0.3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ht="14.25" customHeight="1" x14ac:dyDescent="0.3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ht="14.25" customHeight="1" x14ac:dyDescent="0.3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ht="14.25" customHeight="1" x14ac:dyDescent="0.3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ht="14.25" customHeight="1" x14ac:dyDescent="0.3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ht="14.25" customHeight="1" x14ac:dyDescent="0.3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ht="14.25" customHeight="1" x14ac:dyDescent="0.3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ht="14.25" customHeight="1" x14ac:dyDescent="0.3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ht="14.25" customHeight="1" x14ac:dyDescent="0.3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ht="14.25" customHeight="1" x14ac:dyDescent="0.3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ht="14.25" customHeight="1" x14ac:dyDescent="0.3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ht="14.25" customHeight="1" x14ac:dyDescent="0.3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ht="14.25" customHeight="1" x14ac:dyDescent="0.3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ht="14.25" customHeight="1" x14ac:dyDescent="0.3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ht="14.25" customHeight="1" x14ac:dyDescent="0.3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ht="14.25" customHeight="1" x14ac:dyDescent="0.3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ht="14.25" customHeight="1" x14ac:dyDescent="0.3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ht="14.25" customHeight="1" x14ac:dyDescent="0.3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ht="14.25" customHeight="1" x14ac:dyDescent="0.3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ht="14.25" customHeight="1" x14ac:dyDescent="0.3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ht="14.25" customHeight="1" x14ac:dyDescent="0.3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ht="14.25" customHeight="1" x14ac:dyDescent="0.3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ht="14.25" customHeight="1" x14ac:dyDescent="0.3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ht="14.25" customHeight="1" x14ac:dyDescent="0.3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ht="14.25" customHeight="1" x14ac:dyDescent="0.3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ht="14.25" customHeight="1" x14ac:dyDescent="0.3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ht="14.25" customHeight="1" x14ac:dyDescent="0.3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ht="14.25" customHeight="1" x14ac:dyDescent="0.3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ht="14.25" customHeight="1" x14ac:dyDescent="0.3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ht="14.25" customHeight="1" x14ac:dyDescent="0.3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ht="14.25" customHeight="1" x14ac:dyDescent="0.3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ht="14.25" customHeight="1" x14ac:dyDescent="0.3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ht="14.25" customHeight="1" x14ac:dyDescent="0.3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ht="14.25" customHeight="1" x14ac:dyDescent="0.35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ht="14.25" customHeight="1" x14ac:dyDescent="0.3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ht="14.25" customHeight="1" x14ac:dyDescent="0.3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ht="14.25" customHeight="1" x14ac:dyDescent="0.3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ht="14.25" customHeight="1" x14ac:dyDescent="0.3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ht="14.25" customHeight="1" x14ac:dyDescent="0.3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ht="14.25" customHeight="1" x14ac:dyDescent="0.3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ht="14.25" customHeight="1" x14ac:dyDescent="0.3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ht="14.25" customHeight="1" x14ac:dyDescent="0.3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ht="14.25" customHeight="1" x14ac:dyDescent="0.3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ht="14.25" customHeight="1" x14ac:dyDescent="0.3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ht="14.25" customHeight="1" x14ac:dyDescent="0.3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ht="14.25" customHeight="1" x14ac:dyDescent="0.3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ht="14.25" customHeight="1" x14ac:dyDescent="0.3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ht="14.25" customHeight="1" x14ac:dyDescent="0.3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ht="14.25" customHeight="1" x14ac:dyDescent="0.3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ht="14.25" customHeight="1" x14ac:dyDescent="0.3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ht="14.25" customHeight="1" x14ac:dyDescent="0.3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ht="14.25" customHeight="1" x14ac:dyDescent="0.3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ht="14.25" customHeight="1" x14ac:dyDescent="0.3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ht="14.25" customHeight="1" x14ac:dyDescent="0.3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ht="14.25" customHeight="1" x14ac:dyDescent="0.3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ht="14.25" customHeight="1" x14ac:dyDescent="0.3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ht="14.25" customHeight="1" x14ac:dyDescent="0.3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ht="14.25" customHeight="1" x14ac:dyDescent="0.3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ht="14.25" customHeight="1" x14ac:dyDescent="0.3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ht="14.25" customHeight="1" x14ac:dyDescent="0.3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ht="14.25" customHeight="1" x14ac:dyDescent="0.3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ht="14.25" customHeight="1" x14ac:dyDescent="0.3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ht="14.25" customHeight="1" x14ac:dyDescent="0.3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ht="14.25" customHeight="1" x14ac:dyDescent="0.3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ht="14.25" customHeight="1" x14ac:dyDescent="0.3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ht="14.25" customHeight="1" x14ac:dyDescent="0.3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ht="14.25" customHeight="1" x14ac:dyDescent="0.3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ht="14.25" customHeight="1" x14ac:dyDescent="0.3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ht="14.25" customHeight="1" x14ac:dyDescent="0.3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ht="14.25" customHeight="1" x14ac:dyDescent="0.3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ht="14.25" customHeight="1" x14ac:dyDescent="0.35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ht="14.25" customHeight="1" x14ac:dyDescent="0.3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ht="14.25" customHeight="1" x14ac:dyDescent="0.35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ht="14.25" customHeight="1" x14ac:dyDescent="0.3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ht="14.25" customHeight="1" x14ac:dyDescent="0.35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ht="14.25" customHeight="1" x14ac:dyDescent="0.35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ht="14.25" customHeight="1" x14ac:dyDescent="0.35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ht="14.25" customHeight="1" x14ac:dyDescent="0.35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ht="14.25" customHeight="1" x14ac:dyDescent="0.3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ht="14.25" customHeight="1" x14ac:dyDescent="0.3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ht="14.25" customHeight="1" x14ac:dyDescent="0.3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ht="14.25" customHeight="1" x14ac:dyDescent="0.3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ht="14.25" customHeight="1" x14ac:dyDescent="0.3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ht="14.25" customHeight="1" x14ac:dyDescent="0.3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ht="14.25" customHeight="1" x14ac:dyDescent="0.3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ht="14.25" customHeight="1" x14ac:dyDescent="0.3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ht="14.25" customHeight="1" x14ac:dyDescent="0.3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ht="14.25" customHeight="1" x14ac:dyDescent="0.3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ht="14.25" customHeight="1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ht="14.25" customHeight="1" x14ac:dyDescent="0.3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ht="14.25" customHeight="1" x14ac:dyDescent="0.3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ht="14.25" customHeight="1" x14ac:dyDescent="0.3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ht="14.25" customHeight="1" x14ac:dyDescent="0.3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ht="14.25" customHeight="1" x14ac:dyDescent="0.3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ht="14.25" customHeight="1" x14ac:dyDescent="0.3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ht="14.25" customHeight="1" x14ac:dyDescent="0.3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ht="14.25" customHeight="1" x14ac:dyDescent="0.3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ht="14.25" customHeight="1" x14ac:dyDescent="0.3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ht="14.25" customHeight="1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ht="14.25" customHeight="1" x14ac:dyDescent="0.3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ht="14.25" customHeight="1" x14ac:dyDescent="0.3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ht="14.25" customHeight="1" x14ac:dyDescent="0.3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ht="14.25" customHeight="1" x14ac:dyDescent="0.3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ht="14.25" customHeight="1" x14ac:dyDescent="0.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ht="14.25" customHeight="1" x14ac:dyDescent="0.3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ht="14.25" customHeight="1" x14ac:dyDescent="0.3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ht="14.25" customHeight="1" x14ac:dyDescent="0.3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ht="14.25" customHeight="1" x14ac:dyDescent="0.3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ht="14.25" customHeight="1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ht="14.25" customHeight="1" x14ac:dyDescent="0.3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ht="14.25" customHeight="1" x14ac:dyDescent="0.3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ht="14.25" customHeight="1" x14ac:dyDescent="0.3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ht="14.25" customHeight="1" x14ac:dyDescent="0.3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ht="14.25" customHeight="1" x14ac:dyDescent="0.3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ht="14.25" customHeight="1" x14ac:dyDescent="0.3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ht="14.25" customHeight="1" x14ac:dyDescent="0.3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ht="14.25" customHeight="1" x14ac:dyDescent="0.3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ht="14.25" customHeight="1" x14ac:dyDescent="0.3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ht="14.25" customHeight="1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ht="14.25" customHeight="1" x14ac:dyDescent="0.35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ht="14.25" customHeight="1" x14ac:dyDescent="0.3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ht="14.25" customHeight="1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ht="14.25" customHeight="1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ht="14.25" customHeight="1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ht="14.25" customHeight="1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ht="14.25" customHeight="1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ht="14.25" customHeight="1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ht="14.25" customHeight="1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ht="14.25" customHeight="1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ht="14.25" customHeight="1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ht="14.25" customHeight="1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ht="14.25" customHeight="1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ht="14.25" customHeight="1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ht="14.25" customHeight="1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ht="14.25" customHeight="1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ht="14.25" customHeight="1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ht="14.25" customHeight="1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ht="14.25" customHeight="1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ht="14.25" customHeight="1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ht="14.25" customHeight="1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ht="14.25" customHeight="1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ht="14.25" customHeight="1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ht="14.25" customHeight="1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ht="14.25" customHeight="1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ht="14.25" customHeight="1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ht="14.25" customHeight="1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ht="14.25" customHeight="1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ht="14.25" customHeight="1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ht="14.25" customHeight="1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ht="14.25" customHeight="1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ht="14.25" customHeight="1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ht="14.25" customHeight="1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ht="14.25" customHeight="1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ht="14.25" customHeight="1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ht="14.25" customHeight="1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ht="14.25" customHeight="1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ht="14.25" customHeight="1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ht="14.25" customHeight="1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ht="14.25" customHeight="1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ht="14.25" customHeight="1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ht="14.25" customHeight="1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ht="14.25" customHeight="1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ht="14.25" customHeight="1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ht="14.25" customHeight="1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ht="14.25" customHeight="1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ht="14.25" customHeight="1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ht="14.25" customHeight="1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ht="14.25" customHeight="1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ht="14.25" customHeight="1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ht="14.25" customHeight="1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ht="14.25" customHeight="1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ht="14.25" customHeight="1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ht="14.25" customHeight="1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ht="14.25" customHeight="1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ht="14.25" customHeight="1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ht="14.25" customHeight="1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ht="14.25" customHeight="1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ht="14.25" customHeight="1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ht="14.25" customHeight="1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ht="14.25" customHeight="1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ht="14.25" customHeight="1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ht="14.25" customHeight="1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ht="14.25" customHeight="1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ht="14.25" customHeight="1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ht="14.25" customHeight="1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ht="14.25" customHeight="1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ht="14.25" customHeight="1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ht="14.25" customHeight="1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ht="14.25" customHeight="1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ht="14.25" customHeight="1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ht="14.25" customHeight="1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ht="14.25" customHeight="1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ht="14.25" customHeight="1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ht="14.25" customHeight="1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ht="14.25" customHeight="1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ht="14.25" customHeight="1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ht="14.25" customHeight="1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ht="14.25" customHeight="1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ht="14.25" customHeight="1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ht="14.25" customHeight="1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ht="14.25" customHeight="1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ht="14.25" customHeight="1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ht="14.25" customHeight="1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ht="14.25" customHeight="1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ht="14.25" customHeight="1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ht="14.25" customHeight="1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ht="14.25" customHeight="1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ht="14.25" customHeight="1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ht="14.25" customHeight="1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ht="14.25" customHeight="1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ht="14.25" customHeight="1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ht="14.25" customHeight="1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ht="14.25" customHeight="1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ht="14.25" customHeight="1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ht="14.25" customHeight="1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ht="14.25" customHeight="1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ht="14.25" customHeight="1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ht="14.25" customHeight="1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ht="14.25" customHeight="1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ht="14.25" customHeight="1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ht="14.25" customHeight="1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ht="14.25" customHeight="1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ht="14.25" customHeight="1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ht="14.25" customHeight="1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ht="14.25" customHeight="1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ht="14.25" customHeight="1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ht="14.25" customHeight="1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ht="14.25" customHeight="1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ht="14.25" customHeight="1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ht="14.25" customHeight="1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ht="14.25" customHeight="1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ht="14.25" customHeight="1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ht="14.25" customHeight="1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ht="14.25" customHeight="1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ht="14.25" customHeight="1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ht="14.25" customHeight="1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ht="14.25" customHeight="1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ht="14.25" customHeight="1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ht="14.25" customHeight="1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ht="14.25" customHeight="1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ht="14.25" customHeight="1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ht="14.25" customHeight="1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ht="14.25" customHeight="1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ht="14.25" customHeight="1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ht="14.25" customHeight="1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ht="14.25" customHeight="1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ht="14.25" customHeight="1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ht="14.25" customHeight="1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ht="14.25" customHeight="1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ht="14.25" customHeight="1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ht="14.25" customHeight="1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ht="14.25" customHeight="1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ht="14.25" customHeight="1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ht="14.25" customHeight="1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ht="14.25" customHeight="1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ht="14.25" customHeight="1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ht="14.25" customHeight="1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ht="14.25" customHeight="1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ht="14.25" customHeight="1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ht="14.25" customHeight="1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ht="14.25" customHeight="1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ht="14.25" customHeight="1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ht="14.25" customHeight="1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ht="14.25" customHeight="1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ht="14.25" customHeight="1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ht="14.25" customHeight="1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ht="14.25" customHeight="1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ht="14.25" customHeight="1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ht="14.25" customHeight="1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ht="14.25" customHeight="1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ht="14.25" customHeight="1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ht="14.25" customHeight="1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ht="14.25" customHeight="1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ht="14.25" customHeight="1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ht="14.25" customHeight="1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ht="14.25" customHeight="1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ht="14.25" customHeight="1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ht="14.25" customHeight="1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ht="14.25" customHeight="1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ht="14.25" customHeight="1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ht="14.25" customHeight="1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ht="14.25" customHeight="1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ht="14.25" customHeight="1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ht="14.25" customHeight="1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ht="14.25" customHeight="1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ht="14.25" customHeight="1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ht="14.25" customHeight="1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ht="14.25" customHeight="1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ht="14.25" customHeight="1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ht="14.25" customHeight="1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ht="14.25" customHeight="1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ht="14.25" customHeight="1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ht="14.25" customHeight="1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ht="14.25" customHeight="1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ht="14.25" customHeight="1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ht="14.25" customHeight="1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ht="14.25" customHeight="1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ht="14.25" customHeight="1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ht="14.25" customHeight="1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ht="14.25" customHeight="1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ht="14.25" customHeight="1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ht="14.25" customHeight="1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ht="14.25" customHeight="1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ht="14.25" customHeight="1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ht="14.25" customHeight="1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ht="14.25" customHeight="1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ht="14.25" customHeight="1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ht="14.25" customHeight="1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ht="14.25" customHeight="1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ht="14.25" customHeight="1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ht="14.25" customHeight="1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ht="14.25" customHeight="1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ht="14.25" customHeight="1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ht="14.25" customHeight="1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ht="14.25" customHeight="1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ht="14.25" customHeight="1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ht="14.25" customHeight="1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ht="14.25" customHeight="1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ht="14.25" customHeight="1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ht="14.25" customHeight="1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ht="14.25" customHeight="1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ht="14.25" customHeight="1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ht="14.25" customHeight="1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ht="14.25" customHeight="1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ht="14.25" customHeight="1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ht="14.25" customHeight="1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ht="14.25" customHeight="1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ht="14.25" customHeight="1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ht="14.25" customHeight="1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ht="14.25" customHeight="1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ht="14.25" customHeight="1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ht="14.25" customHeight="1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ht="14.25" customHeight="1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ht="14.25" customHeight="1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ht="14.25" customHeight="1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ht="14.25" customHeight="1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ht="14.25" customHeight="1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ht="14.25" customHeight="1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ht="14.25" customHeight="1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ht="14.25" customHeight="1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ht="14.25" customHeight="1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ht="14.25" customHeight="1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ht="14.25" customHeight="1" x14ac:dyDescent="0.35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ht="14.25" customHeight="1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ht="14.25" customHeight="1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ht="14.25" customHeight="1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ht="14.25" customHeight="1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ht="14.25" customHeight="1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ht="14.25" customHeight="1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ht="14.25" customHeight="1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ht="14.25" customHeight="1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ht="14.25" customHeight="1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ht="14.25" customHeight="1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ht="14.25" customHeight="1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ht="14.25" customHeight="1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ht="14.25" customHeight="1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ht="14.25" customHeight="1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ht="14.25" customHeight="1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ht="14.25" customHeight="1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ht="14.25" customHeight="1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ht="14.25" customHeight="1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ht="14.25" customHeight="1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ht="14.25" customHeight="1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ht="14.25" customHeight="1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ht="14.25" customHeight="1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ht="14.25" customHeight="1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ht="14.25" customHeight="1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ht="14.25" customHeight="1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ht="14.25" customHeight="1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ht="14.25" customHeight="1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ht="14.25" customHeight="1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ht="14.25" customHeight="1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ht="14.25" customHeight="1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ht="14.25" customHeight="1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ht="14.25" customHeight="1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ht="14.25" customHeight="1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ht="14.25" customHeight="1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ht="14.25" customHeight="1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ht="14.25" customHeight="1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ht="14.25" customHeight="1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ht="14.25" customHeight="1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ht="14.25" customHeight="1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ht="14.25" customHeight="1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ht="14.25" customHeight="1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ht="14.25" customHeight="1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ht="14.25" customHeight="1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ht="14.25" customHeight="1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ht="14.25" customHeight="1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ht="14.25" customHeight="1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ht="14.25" customHeight="1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ht="14.25" customHeight="1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ht="14.25" customHeight="1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ht="14.25" customHeight="1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ht="14.25" customHeight="1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ht="14.25" customHeight="1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ht="14.25" customHeight="1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ht="14.25" customHeight="1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ht="14.25" customHeight="1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ht="14.25" customHeight="1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ht="14.25" customHeight="1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ht="14.25" customHeight="1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ht="14.25" customHeight="1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ht="14.25" customHeight="1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ht="14.25" customHeight="1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ht="14.25" customHeight="1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ht="14.25" customHeight="1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ht="14.25" customHeight="1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ht="14.25" customHeight="1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ht="14.25" customHeight="1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ht="14.25" customHeight="1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ht="14.25" customHeight="1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ht="14.25" customHeight="1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ht="14.25" customHeight="1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ht="14.25" customHeight="1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ht="14.25" customHeight="1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ht="14.25" customHeight="1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ht="14.25" customHeight="1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ht="14.25" customHeight="1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ht="14.25" customHeight="1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ht="14.25" customHeight="1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ht="14.25" customHeight="1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ht="14.25" customHeight="1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ht="14.25" customHeight="1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ht="14.25" customHeight="1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ht="14.25" customHeight="1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ht="14.25" customHeight="1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ht="14.25" customHeight="1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ht="14.25" customHeight="1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ht="14.25" customHeight="1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ht="14.25" customHeight="1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ht="14.25" customHeight="1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ht="14.25" customHeight="1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ht="14.25" customHeight="1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ht="14.25" customHeight="1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ht="14.25" customHeight="1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ht="14.25" customHeight="1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ht="14.25" customHeight="1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ht="14.25" customHeight="1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ht="14.25" customHeight="1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ht="14.25" customHeight="1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ht="14.25" customHeight="1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ht="14.25" customHeight="1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ht="14.25" customHeight="1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ht="14.25" customHeight="1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ht="14.25" customHeight="1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ht="14.25" customHeight="1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ht="14.25" customHeight="1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ht="14.25" customHeight="1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ht="14.25" customHeight="1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ht="14.25" customHeight="1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ht="14.25" customHeight="1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ht="14.25" customHeight="1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ht="14.25" customHeight="1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ht="14.25" customHeight="1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ht="14.25" customHeight="1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ht="14.25" customHeight="1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ht="14.25" customHeight="1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ht="14.25" customHeight="1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ht="14.25" customHeight="1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ht="14.25" customHeight="1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ht="14.25" customHeight="1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ht="14.25" customHeight="1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ht="14.25" customHeight="1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ht="14.25" customHeight="1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ht="14.25" customHeight="1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ht="14.25" customHeight="1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ht="14.25" customHeight="1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ht="14.25" customHeight="1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ht="14.25" customHeight="1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ht="14.25" customHeight="1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ht="14.25" customHeight="1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ht="14.25" customHeight="1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ht="14.25" customHeight="1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ht="14.25" customHeight="1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ht="14.25" customHeight="1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ht="14.25" customHeight="1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ht="14.25" customHeight="1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ht="14.25" customHeight="1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ht="14.25" customHeight="1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ht="14.25" customHeight="1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ht="14.25" customHeight="1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ht="14.25" customHeight="1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ht="14.25" customHeight="1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ht="14.25" customHeight="1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ht="14.25" customHeight="1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ht="14.25" customHeight="1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ht="14.25" customHeight="1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ht="14.25" customHeight="1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ht="14.25" customHeight="1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ht="14.25" customHeight="1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ht="14.25" customHeight="1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ht="14.25" customHeight="1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ht="14.25" customHeight="1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ht="14.25" customHeight="1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ht="14.25" customHeight="1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ht="14.25" customHeight="1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ht="14.25" customHeight="1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ht="14.25" customHeight="1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ht="14.25" customHeight="1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ht="14.25" customHeight="1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ht="14.25" customHeight="1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ht="14.25" customHeight="1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ht="14.25" customHeight="1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ht="14.25" customHeight="1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ht="14.25" customHeight="1" x14ac:dyDescent="0.35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ht="14.25" customHeight="1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ht="14.25" customHeight="1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ht="14.25" customHeight="1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ht="14.25" customHeight="1" x14ac:dyDescent="0.35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ht="14.25" customHeight="1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ht="14.25" customHeight="1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ht="14.25" customHeight="1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ht="14.25" customHeight="1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ht="14.25" customHeight="1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ht="14.25" customHeight="1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ht="14.25" customHeight="1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ht="14.25" customHeight="1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ht="14.25" customHeight="1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ht="14.25" customHeight="1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ht="14.25" customHeight="1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ht="14.25" customHeight="1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ht="14.25" customHeight="1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ht="14.25" customHeight="1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ht="14.25" customHeight="1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ht="14.25" customHeight="1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ht="14.25" customHeight="1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ht="14.25" customHeight="1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ht="14.25" customHeight="1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ht="14.25" customHeight="1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ht="14.25" customHeight="1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ht="14.25" customHeight="1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ht="14.25" customHeight="1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ht="14.25" customHeight="1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ht="14.25" customHeight="1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ht="14.25" customHeight="1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ht="14.25" customHeight="1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ht="14.25" customHeight="1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ht="14.25" customHeight="1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ht="14.25" customHeight="1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ht="14.25" customHeight="1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ht="14.25" customHeight="1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ht="14.25" customHeight="1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ht="14.25" customHeight="1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ht="14.25" customHeight="1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ht="14.25" customHeight="1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ht="14.25" customHeight="1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ht="14.25" customHeight="1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ht="14.25" customHeight="1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ht="14.25" customHeight="1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ht="14.25" customHeight="1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ht="14.25" customHeight="1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ht="14.25" customHeight="1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ht="14.25" customHeight="1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ht="14.25" customHeight="1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ht="14.25" customHeight="1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ht="14.25" customHeight="1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ht="14.25" customHeight="1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ht="14.25" customHeight="1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ht="14.25" customHeight="1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ht="14.25" customHeight="1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ht="14.25" customHeight="1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ht="14.25" customHeight="1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ht="14.25" customHeight="1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ht="14.25" customHeight="1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ht="14.25" customHeight="1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ht="14.25" customHeight="1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ht="14.25" customHeight="1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ht="14.25" customHeight="1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ht="14.25" customHeight="1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ht="14.25" customHeight="1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ht="14.25" customHeight="1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ht="14.25" customHeight="1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ht="14.25" customHeight="1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ht="14.25" customHeight="1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ht="14.25" customHeight="1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ht="14.25" customHeight="1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ht="14.25" customHeight="1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ht="14.25" customHeight="1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ht="14.25" customHeight="1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ht="14.25" customHeight="1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ht="14.25" customHeight="1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ht="14.25" customHeight="1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ht="14.25" customHeight="1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ht="14.25" customHeight="1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ht="14.25" customHeight="1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ht="14.25" customHeight="1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ht="14.25" customHeight="1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ht="14.25" customHeight="1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ht="14.25" customHeight="1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ht="14.25" customHeight="1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ht="14.25" customHeight="1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ht="14.25" customHeight="1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ht="14.25" customHeight="1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ht="14.25" customHeight="1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ht="14.25" customHeight="1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ht="14.25" customHeight="1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ht="14.25" customHeight="1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ht="14.25" customHeight="1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ht="14.25" customHeight="1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ht="14.25" customHeight="1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ht="14.25" customHeight="1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ht="14.25" customHeight="1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ht="14.25" customHeight="1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ht="14.25" customHeight="1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ht="14.25" customHeight="1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ht="14.25" customHeight="1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ht="14.25" customHeight="1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ht="14.25" customHeight="1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ht="14.25" customHeight="1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ht="14.25" customHeight="1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ht="14.25" customHeight="1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ht="14.25" customHeight="1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ht="14.25" customHeight="1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ht="14.25" customHeight="1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ht="14.25" customHeight="1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ht="14.25" customHeight="1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ht="14.25" customHeight="1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ht="14.25" customHeight="1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ht="14.25" customHeight="1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ht="14.25" customHeight="1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ht="14.25" customHeight="1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ht="14.25" customHeight="1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ht="14.25" customHeight="1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ht="14.25" customHeight="1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ht="14.25" customHeight="1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ht="14.25" customHeight="1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ht="14.25" customHeight="1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ht="14.25" customHeight="1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ht="14.25" customHeight="1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ht="14.25" customHeight="1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ht="14.25" customHeight="1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ht="14.25" customHeight="1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ht="14.25" customHeight="1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ht="14.25" customHeight="1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ht="14.25" customHeight="1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ht="14.25" customHeight="1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ht="14.25" customHeight="1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ht="14.25" customHeight="1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ht="14.25" customHeight="1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ht="14.25" customHeight="1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ht="14.25" customHeight="1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ht="14.25" customHeight="1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ht="14.25" customHeight="1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ht="14.25" customHeight="1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ht="14.25" customHeight="1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ht="14.25" customHeight="1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ht="14.25" customHeight="1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ht="14.25" customHeight="1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ht="14.25" customHeight="1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ht="14.25" customHeight="1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ht="14.25" customHeight="1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ht="14.25" customHeight="1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ht="14.25" customHeight="1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ht="14.25" customHeight="1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ht="14.25" customHeight="1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ht="14.25" customHeight="1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ht="14.25" customHeight="1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ht="14.25" customHeight="1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ht="14.25" customHeight="1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ht="14.25" customHeight="1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ht="14.25" customHeight="1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ht="14.25" customHeight="1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ht="14.25" customHeight="1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ht="14.25" customHeight="1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ht="14.25" customHeight="1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ht="14.25" customHeight="1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ht="14.25" customHeight="1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ht="14.25" customHeight="1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ht="14.25" customHeight="1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ht="14.25" customHeight="1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ht="14.25" customHeight="1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ht="14.25" customHeight="1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ht="14.25" customHeight="1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ht="14.25" customHeight="1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ht="14.25" customHeight="1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ht="14.25" customHeight="1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ht="14.25" customHeight="1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ht="14.25" customHeight="1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ht="14.25" customHeight="1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ht="14.25" customHeight="1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ht="14.25" customHeight="1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ht="14.25" customHeight="1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ht="14.25" customHeight="1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ht="14.25" customHeight="1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ht="14.25" customHeight="1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ht="14.25" customHeight="1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ht="14.25" customHeight="1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ht="14.25" customHeight="1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ht="14.25" customHeight="1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ht="14.25" customHeight="1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ht="14.25" customHeight="1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ht="14.25" customHeight="1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ht="14.25" customHeight="1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ht="14.25" customHeight="1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ht="14.25" customHeight="1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ht="14.25" customHeight="1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ht="14.25" customHeight="1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ht="14.25" customHeight="1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ht="14.25" customHeight="1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ht="14.25" customHeight="1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ht="14.25" customHeight="1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ht="14.25" customHeight="1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ht="14.25" customHeight="1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ht="14.25" customHeight="1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ht="14.25" customHeight="1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ht="14.25" customHeight="1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ht="14.25" customHeight="1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ht="14.25" customHeight="1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ht="14.25" customHeight="1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ht="14.25" customHeight="1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ht="14.25" customHeight="1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ht="14.25" customHeight="1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ht="14.25" customHeight="1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ht="14.25" customHeight="1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ht="14.25" customHeight="1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ht="14.25" customHeight="1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ht="14.25" customHeight="1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ht="14.25" customHeight="1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ht="14.25" customHeight="1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ht="14.25" customHeight="1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ht="14.25" customHeight="1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ht="14.25" customHeight="1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ht="14.25" customHeight="1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ht="14.25" customHeight="1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ht="14.25" customHeight="1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ht="14.25" customHeight="1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ht="14.25" customHeight="1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ht="14.25" customHeight="1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ht="14.25" customHeight="1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ht="14.25" customHeight="1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ht="14.25" customHeight="1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ht="14.25" customHeight="1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ht="14.25" customHeight="1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ht="14.25" customHeight="1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ht="14.25" customHeight="1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ht="14.25" customHeight="1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ht="14.25" customHeight="1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ht="14.25" customHeight="1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ht="14.25" customHeight="1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ht="14.25" customHeight="1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ht="14.25" customHeight="1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ht="14.25" customHeight="1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ht="14.25" customHeight="1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ht="14.25" customHeight="1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ht="14.25" customHeight="1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ht="14.25" customHeight="1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ht="14.25" customHeight="1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ht="14.25" customHeight="1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ht="14.25" customHeight="1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ht="14.25" customHeight="1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ht="14.25" customHeight="1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ht="14.25" customHeight="1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ht="14.25" customHeight="1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ht="14.25" customHeight="1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ht="14.25" customHeight="1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ht="14.25" customHeight="1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ht="14.25" customHeight="1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ht="14.25" customHeight="1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ht="14.25" customHeight="1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ht="14.25" customHeight="1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ht="14.25" customHeight="1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ht="14.25" customHeight="1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ht="14.25" customHeight="1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ht="14.25" customHeight="1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ht="14.25" customHeight="1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ht="14.25" customHeight="1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ht="14.25" customHeight="1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ht="14.25" customHeight="1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ht="14.25" customHeight="1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ht="14.25" customHeight="1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ht="14.25" customHeight="1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ht="14.25" customHeight="1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ht="14.25" customHeight="1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ht="14.25" customHeight="1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ht="14.25" customHeight="1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ht="14.25" customHeight="1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ht="14.25" customHeight="1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ht="14.25" customHeight="1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ht="14.25" customHeight="1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ht="14.25" customHeight="1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ht="14.25" customHeight="1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ht="14.25" customHeight="1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ht="14.25" customHeight="1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ht="14.25" customHeight="1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ht="14.25" customHeight="1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ht="14.25" customHeight="1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ht="14.25" customHeight="1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ht="14.25" customHeight="1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ht="14.25" customHeight="1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ht="14.25" customHeight="1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ht="14.25" customHeight="1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ht="14.25" customHeight="1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ht="14.25" customHeight="1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ht="14.25" customHeight="1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ht="14.25" customHeight="1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ht="14.25" customHeight="1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ht="14.25" customHeight="1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ht="14.25" customHeight="1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ht="14.25" customHeight="1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ht="14.25" customHeight="1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ht="14.25" customHeight="1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ht="14.25" customHeight="1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ht="14.25" customHeight="1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ht="14.25" customHeight="1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ht="14.25" customHeight="1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ht="14.25" customHeight="1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ht="14.25" customHeight="1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ht="14.25" customHeight="1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ht="14.25" customHeight="1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ht="14.25" customHeight="1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ht="14.25" customHeight="1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ht="14.25" customHeight="1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ht="14.25" customHeight="1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ht="14.25" customHeight="1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ht="14.25" customHeight="1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ht="14.25" customHeight="1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ht="14.25" customHeight="1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ht="14.25" customHeight="1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ht="14.25" customHeight="1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ht="14.25" customHeight="1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ht="14.25" customHeight="1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ht="14.25" customHeight="1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ht="14.25" customHeight="1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ht="14.25" customHeight="1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ht="14.25" customHeight="1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ht="14.25" customHeight="1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ht="14.25" customHeight="1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ht="14.25" customHeight="1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ht="14.25" customHeight="1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ht="14.25" customHeight="1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ht="14.25" customHeight="1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ht="14.25" customHeight="1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ht="14.25" customHeight="1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ht="14.25" customHeight="1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ht="14.25" customHeight="1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ht="14.25" customHeight="1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ht="14.25" customHeight="1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ht="14.25" customHeight="1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ht="14.25" customHeight="1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ht="14.25" customHeight="1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ht="14.25" customHeight="1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ht="14.25" customHeight="1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ht="14.25" customHeight="1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ht="14.25" customHeight="1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ht="14.25" customHeight="1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ht="14.25" customHeight="1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ht="14.25" customHeight="1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ht="14.25" customHeight="1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ht="14.25" customHeight="1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ht="14.25" customHeight="1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ht="14.25" customHeight="1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ht="14.25" customHeight="1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ht="14.25" customHeight="1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ht="14.25" customHeight="1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ht="14.25" customHeight="1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ht="14.25" customHeight="1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ht="14.25" customHeight="1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ht="14.25" customHeight="1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ht="14.25" customHeight="1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ht="14.25" customHeight="1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ht="14.25" customHeight="1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ht="14.25" customHeight="1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ht="14.25" customHeight="1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ht="14.25" customHeight="1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ht="14.25" customHeight="1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ht="14.25" customHeight="1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ht="14.25" customHeight="1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ht="14.25" customHeight="1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ht="14.25" customHeight="1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Z1000"/>
  <sheetViews>
    <sheetView workbookViewId="0">
      <selection activeCell="H9" sqref="H9"/>
    </sheetView>
  </sheetViews>
  <sheetFormatPr defaultColWidth="14.453125" defaultRowHeight="15" customHeight="1" x14ac:dyDescent="0.35"/>
  <cols>
    <col min="1" max="1" width="8.7265625" customWidth="1"/>
    <col min="2" max="2" width="27.453125" customWidth="1"/>
    <col min="3" max="3" width="31.08984375" customWidth="1"/>
    <col min="4" max="4" width="11.81640625" customWidth="1"/>
    <col min="5" max="5" width="12" customWidth="1"/>
    <col min="6" max="26" width="8.7265625" customWidth="1"/>
  </cols>
  <sheetData>
    <row r="1" spans="1:26" ht="14.25" customHeight="1" x14ac:dyDescent="0.3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4.25" customHeight="1" x14ac:dyDescent="0.45">
      <c r="A2" s="23"/>
      <c r="B2" s="5" t="s">
        <v>121</v>
      </c>
      <c r="C2" s="81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4.25" customHeight="1" x14ac:dyDescent="0.35">
      <c r="A3" s="23"/>
      <c r="B3" s="35" t="s">
        <v>101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4.25" customHeight="1" x14ac:dyDescent="0.35">
      <c r="A4" s="23"/>
      <c r="B4" s="23"/>
      <c r="C4" s="83" t="s">
        <v>122</v>
      </c>
      <c r="D4" s="99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4.25" customHeight="1" x14ac:dyDescent="0.35">
      <c r="A5" s="23"/>
      <c r="B5" s="23"/>
      <c r="C5" s="83" t="s">
        <v>123</v>
      </c>
      <c r="D5" s="100"/>
      <c r="E5" s="23" t="s">
        <v>116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4.25" customHeight="1" x14ac:dyDescent="0.35">
      <c r="A6" s="23"/>
      <c r="B6" s="23"/>
      <c r="C6" s="83"/>
      <c r="D6" s="100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14.25" customHeight="1" x14ac:dyDescent="0.35">
      <c r="A7" s="23"/>
      <c r="B7" s="23"/>
      <c r="C7" s="86" t="s">
        <v>118</v>
      </c>
      <c r="D7" s="101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14.25" customHeight="1" x14ac:dyDescent="0.35">
      <c r="A8" s="23"/>
      <c r="B8" s="23"/>
      <c r="C8" s="83" t="s">
        <v>99</v>
      </c>
      <c r="D8" s="102"/>
      <c r="E8" s="23" t="s">
        <v>116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14.25" customHeight="1" x14ac:dyDescent="0.35">
      <c r="A9" s="23"/>
      <c r="B9" s="23"/>
      <c r="C9" s="86" t="s">
        <v>119</v>
      </c>
      <c r="D9" s="101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4.25" customHeight="1" x14ac:dyDescent="0.35">
      <c r="A10" s="23"/>
      <c r="B10" s="23"/>
      <c r="C10" s="83"/>
      <c r="D10" s="100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14.25" customHeight="1" x14ac:dyDescent="0.35">
      <c r="A11" s="23"/>
      <c r="B11" s="23"/>
      <c r="C11" s="86" t="s">
        <v>109</v>
      </c>
      <c r="D11" s="10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14.25" customHeight="1" x14ac:dyDescent="0.35">
      <c r="A12" s="23"/>
      <c r="B12" s="23"/>
      <c r="C12" s="94" t="s">
        <v>110</v>
      </c>
      <c r="D12" s="95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ht="14.25" customHeight="1" x14ac:dyDescent="0.35">
      <c r="A13" s="23"/>
      <c r="B13" s="23"/>
      <c r="C13" s="94" t="s">
        <v>111</v>
      </c>
      <c r="D13" s="95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ht="14.25" customHeight="1" x14ac:dyDescent="0.35">
      <c r="A14" s="23"/>
      <c r="B14" s="23"/>
      <c r="C14" s="86" t="s">
        <v>112</v>
      </c>
      <c r="D14" s="9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ht="14.25" customHeight="1" x14ac:dyDescent="0.35">
      <c r="A15" s="23"/>
      <c r="B15" s="23"/>
      <c r="C15" s="94" t="s">
        <v>113</v>
      </c>
      <c r="D15" s="96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14.25" customHeight="1" x14ac:dyDescent="0.35">
      <c r="A16" s="23"/>
      <c r="B16" s="23"/>
      <c r="C16" s="86" t="s">
        <v>114</v>
      </c>
      <c r="D16" s="97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ht="14.25" customHeight="1" x14ac:dyDescent="0.3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ht="14.25" customHeight="1" x14ac:dyDescent="0.35">
      <c r="A18" s="23"/>
      <c r="B18" s="23"/>
      <c r="C18" s="98" t="s">
        <v>124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ht="14.25" customHeight="1" x14ac:dyDescent="0.3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ht="14.25" customHeight="1" x14ac:dyDescent="0.3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ht="14.25" customHeight="1" x14ac:dyDescent="0.3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ht="14.25" customHeight="1" x14ac:dyDescent="0.3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ht="14.25" customHeight="1" x14ac:dyDescent="0.3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ht="14.25" customHeight="1" x14ac:dyDescent="0.3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ht="14.25" customHeight="1" x14ac:dyDescent="0.3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ht="14.25" customHeight="1" x14ac:dyDescent="0.3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ht="14.25" customHeight="1" x14ac:dyDescent="0.3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ht="14.25" customHeight="1" x14ac:dyDescent="0.3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ht="14.25" customHeight="1" x14ac:dyDescent="0.3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ht="14.25" customHeight="1" x14ac:dyDescent="0.3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ht="14.25" customHeight="1" x14ac:dyDescent="0.3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ht="14.25" customHeight="1" x14ac:dyDescent="0.3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ht="14.25" customHeight="1" x14ac:dyDescent="0.3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ht="14.25" customHeight="1" x14ac:dyDescent="0.3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ht="14.25" customHeight="1" x14ac:dyDescent="0.3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ht="14.25" customHeight="1" x14ac:dyDescent="0.3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ht="14.25" customHeight="1" x14ac:dyDescent="0.3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ht="14.25" customHeight="1" x14ac:dyDescent="0.3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ht="14.25" customHeight="1" x14ac:dyDescent="0.3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ht="14.25" customHeight="1" x14ac:dyDescent="0.3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ht="14.25" customHeight="1" x14ac:dyDescent="0.3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ht="14.25" customHeight="1" x14ac:dyDescent="0.3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ht="14.25" customHeight="1" x14ac:dyDescent="0.3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ht="14.25" customHeight="1" x14ac:dyDescent="0.3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ht="14.25" customHeight="1" x14ac:dyDescent="0.3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ht="14.25" customHeight="1" x14ac:dyDescent="0.3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ht="14.25" customHeight="1" x14ac:dyDescent="0.3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ht="14.25" customHeight="1" x14ac:dyDescent="0.3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ht="14.25" customHeight="1" x14ac:dyDescent="0.3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ht="14.25" customHeight="1" x14ac:dyDescent="0.3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ht="14.25" customHeight="1" x14ac:dyDescent="0.3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ht="14.25" customHeight="1" x14ac:dyDescent="0.3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ht="14.25" customHeight="1" x14ac:dyDescent="0.3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ht="14.25" customHeight="1" x14ac:dyDescent="0.3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ht="14.25" customHeight="1" x14ac:dyDescent="0.3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ht="14.25" customHeight="1" x14ac:dyDescent="0.3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ht="14.25" customHeight="1" x14ac:dyDescent="0.3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ht="14.25" customHeight="1" x14ac:dyDescent="0.3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ht="14.25" customHeight="1" x14ac:dyDescent="0.3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ht="14.25" customHeight="1" x14ac:dyDescent="0.3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ht="14.25" customHeight="1" x14ac:dyDescent="0.3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ht="14.25" customHeight="1" x14ac:dyDescent="0.3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ht="14.25" customHeight="1" x14ac:dyDescent="0.3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ht="14.25" customHeight="1" x14ac:dyDescent="0.3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ht="14.25" customHeight="1" x14ac:dyDescent="0.3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ht="14.25" customHeight="1" x14ac:dyDescent="0.3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ht="14.25" customHeight="1" x14ac:dyDescent="0.3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ht="14.25" customHeight="1" x14ac:dyDescent="0.3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ht="14.25" customHeight="1" x14ac:dyDescent="0.3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ht="14.25" customHeight="1" x14ac:dyDescent="0.3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ht="14.25" customHeight="1" x14ac:dyDescent="0.3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ht="14.25" customHeight="1" x14ac:dyDescent="0.3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ht="14.25" customHeight="1" x14ac:dyDescent="0.3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ht="14.25" customHeight="1" x14ac:dyDescent="0.3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ht="14.25" customHeight="1" x14ac:dyDescent="0.3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ht="14.25" customHeight="1" x14ac:dyDescent="0.3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ht="14.25" customHeight="1" x14ac:dyDescent="0.3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ht="14.25" customHeight="1" x14ac:dyDescent="0.3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ht="14.25" customHeight="1" x14ac:dyDescent="0.3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ht="14.25" customHeight="1" x14ac:dyDescent="0.3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ht="14.25" customHeight="1" x14ac:dyDescent="0.3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ht="14.25" customHeight="1" x14ac:dyDescent="0.3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ht="14.25" customHeight="1" x14ac:dyDescent="0.35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ht="14.25" customHeight="1" x14ac:dyDescent="0.35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ht="14.25" customHeight="1" x14ac:dyDescent="0.3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ht="14.25" customHeight="1" x14ac:dyDescent="0.3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ht="14.25" customHeight="1" x14ac:dyDescent="0.3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ht="14.25" customHeight="1" x14ac:dyDescent="0.3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ht="14.25" customHeight="1" x14ac:dyDescent="0.3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ht="14.25" customHeight="1" x14ac:dyDescent="0.3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ht="14.25" customHeight="1" x14ac:dyDescent="0.3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ht="14.25" customHeight="1" x14ac:dyDescent="0.3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ht="14.25" customHeight="1" x14ac:dyDescent="0.3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ht="14.25" customHeight="1" x14ac:dyDescent="0.3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ht="14.25" customHeight="1" x14ac:dyDescent="0.3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ht="14.25" customHeight="1" x14ac:dyDescent="0.3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ht="14.25" customHeight="1" x14ac:dyDescent="0.3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ht="14.25" customHeight="1" x14ac:dyDescent="0.3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ht="14.25" customHeight="1" x14ac:dyDescent="0.3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ht="14.25" customHeight="1" x14ac:dyDescent="0.35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ht="14.25" customHeight="1" x14ac:dyDescent="0.3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ht="14.25" customHeight="1" x14ac:dyDescent="0.3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ht="14.25" customHeight="1" x14ac:dyDescent="0.3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ht="14.25" customHeight="1" x14ac:dyDescent="0.3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ht="14.25" customHeight="1" x14ac:dyDescent="0.3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ht="14.25" customHeight="1" x14ac:dyDescent="0.3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ht="14.25" customHeight="1" x14ac:dyDescent="0.3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ht="14.25" customHeight="1" x14ac:dyDescent="0.3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ht="14.25" customHeight="1" x14ac:dyDescent="0.3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ht="14.25" customHeight="1" x14ac:dyDescent="0.3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ht="14.25" customHeight="1" x14ac:dyDescent="0.35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ht="14.25" customHeight="1" x14ac:dyDescent="0.3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ht="14.25" customHeight="1" x14ac:dyDescent="0.3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ht="14.25" customHeight="1" x14ac:dyDescent="0.35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ht="14.25" customHeight="1" x14ac:dyDescent="0.35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ht="14.25" customHeight="1" x14ac:dyDescent="0.35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ht="14.25" customHeight="1" x14ac:dyDescent="0.35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ht="14.25" customHeight="1" x14ac:dyDescent="0.35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ht="14.25" customHeight="1" x14ac:dyDescent="0.35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ht="14.25" customHeight="1" x14ac:dyDescent="0.35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ht="14.25" customHeight="1" x14ac:dyDescent="0.35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ht="14.25" customHeight="1" x14ac:dyDescent="0.35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ht="14.25" customHeight="1" x14ac:dyDescent="0.35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ht="14.25" customHeight="1" x14ac:dyDescent="0.35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ht="14.25" customHeight="1" x14ac:dyDescent="0.35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ht="14.25" customHeight="1" x14ac:dyDescent="0.35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ht="14.25" customHeight="1" x14ac:dyDescent="0.35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ht="14.25" customHeight="1" x14ac:dyDescent="0.35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ht="14.25" customHeight="1" x14ac:dyDescent="0.35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ht="14.25" customHeight="1" x14ac:dyDescent="0.35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ht="14.25" customHeight="1" x14ac:dyDescent="0.3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ht="14.25" customHeight="1" x14ac:dyDescent="0.3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ht="14.25" customHeight="1" x14ac:dyDescent="0.3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ht="14.25" customHeight="1" x14ac:dyDescent="0.3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ht="14.25" customHeight="1" x14ac:dyDescent="0.3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ht="14.25" customHeight="1" x14ac:dyDescent="0.3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ht="14.25" customHeight="1" x14ac:dyDescent="0.3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ht="14.25" customHeight="1" x14ac:dyDescent="0.3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ht="14.25" customHeight="1" x14ac:dyDescent="0.3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ht="14.25" customHeight="1" x14ac:dyDescent="0.3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ht="14.25" customHeight="1" x14ac:dyDescent="0.3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ht="14.25" customHeight="1" x14ac:dyDescent="0.3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ht="14.25" customHeight="1" x14ac:dyDescent="0.3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ht="14.25" customHeight="1" x14ac:dyDescent="0.3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ht="14.25" customHeight="1" x14ac:dyDescent="0.3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ht="14.25" customHeight="1" x14ac:dyDescent="0.3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ht="14.25" customHeight="1" x14ac:dyDescent="0.3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ht="14.25" customHeight="1" x14ac:dyDescent="0.3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ht="14.25" customHeight="1" x14ac:dyDescent="0.3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ht="14.25" customHeight="1" x14ac:dyDescent="0.3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ht="14.25" customHeight="1" x14ac:dyDescent="0.3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ht="14.25" customHeight="1" x14ac:dyDescent="0.3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ht="14.25" customHeight="1" x14ac:dyDescent="0.3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ht="14.25" customHeight="1" x14ac:dyDescent="0.3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ht="14.25" customHeight="1" x14ac:dyDescent="0.3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ht="14.25" customHeight="1" x14ac:dyDescent="0.3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ht="14.25" customHeight="1" x14ac:dyDescent="0.3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ht="14.25" customHeight="1" x14ac:dyDescent="0.3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ht="14.25" customHeight="1" x14ac:dyDescent="0.3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ht="14.25" customHeight="1" x14ac:dyDescent="0.3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ht="14.25" customHeight="1" x14ac:dyDescent="0.3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ht="14.25" customHeight="1" x14ac:dyDescent="0.3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ht="14.25" customHeight="1" x14ac:dyDescent="0.3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ht="14.25" customHeight="1" x14ac:dyDescent="0.3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ht="14.25" customHeight="1" x14ac:dyDescent="0.35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ht="14.25" customHeight="1" x14ac:dyDescent="0.3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ht="14.25" customHeight="1" x14ac:dyDescent="0.3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ht="14.25" customHeight="1" x14ac:dyDescent="0.3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ht="14.25" customHeight="1" x14ac:dyDescent="0.3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ht="14.25" customHeight="1" x14ac:dyDescent="0.3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ht="14.25" customHeight="1" x14ac:dyDescent="0.3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ht="14.25" customHeight="1" x14ac:dyDescent="0.3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ht="14.25" customHeight="1" x14ac:dyDescent="0.3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ht="14.25" customHeight="1" x14ac:dyDescent="0.3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ht="14.25" customHeight="1" x14ac:dyDescent="0.3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ht="14.25" customHeight="1" x14ac:dyDescent="0.3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ht="14.25" customHeight="1" x14ac:dyDescent="0.3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ht="14.25" customHeight="1" x14ac:dyDescent="0.3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ht="14.25" customHeight="1" x14ac:dyDescent="0.3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ht="14.25" customHeight="1" x14ac:dyDescent="0.3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ht="14.25" customHeight="1" x14ac:dyDescent="0.3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ht="14.25" customHeight="1" x14ac:dyDescent="0.3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ht="14.25" customHeight="1" x14ac:dyDescent="0.3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ht="14.25" customHeight="1" x14ac:dyDescent="0.3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ht="14.25" customHeight="1" x14ac:dyDescent="0.3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ht="14.25" customHeight="1" x14ac:dyDescent="0.3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ht="14.25" customHeight="1" x14ac:dyDescent="0.3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ht="14.25" customHeight="1" x14ac:dyDescent="0.3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ht="14.25" customHeight="1" x14ac:dyDescent="0.3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ht="14.25" customHeight="1" x14ac:dyDescent="0.3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ht="14.25" customHeight="1" x14ac:dyDescent="0.3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ht="14.25" customHeight="1" x14ac:dyDescent="0.3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ht="14.25" customHeight="1" x14ac:dyDescent="0.3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ht="14.25" customHeight="1" x14ac:dyDescent="0.3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ht="14.25" customHeight="1" x14ac:dyDescent="0.3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ht="14.25" customHeight="1" x14ac:dyDescent="0.3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ht="14.25" customHeight="1" x14ac:dyDescent="0.3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ht="14.25" customHeight="1" x14ac:dyDescent="0.3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ht="14.25" customHeight="1" x14ac:dyDescent="0.3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ht="14.25" customHeight="1" x14ac:dyDescent="0.3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ht="14.25" customHeight="1" x14ac:dyDescent="0.3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ht="14.25" customHeight="1" x14ac:dyDescent="0.35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ht="14.25" customHeight="1" x14ac:dyDescent="0.3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ht="14.25" customHeight="1" x14ac:dyDescent="0.35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ht="14.25" customHeight="1" x14ac:dyDescent="0.3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ht="14.25" customHeight="1" x14ac:dyDescent="0.35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ht="14.25" customHeight="1" x14ac:dyDescent="0.35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ht="14.25" customHeight="1" x14ac:dyDescent="0.35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ht="14.25" customHeight="1" x14ac:dyDescent="0.35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ht="14.25" customHeight="1" x14ac:dyDescent="0.3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ht="14.25" customHeight="1" x14ac:dyDescent="0.3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ht="14.25" customHeight="1" x14ac:dyDescent="0.3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ht="14.25" customHeight="1" x14ac:dyDescent="0.3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ht="14.25" customHeight="1" x14ac:dyDescent="0.3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ht="14.25" customHeight="1" x14ac:dyDescent="0.3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ht="14.25" customHeight="1" x14ac:dyDescent="0.3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ht="14.25" customHeight="1" x14ac:dyDescent="0.3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ht="14.25" customHeight="1" x14ac:dyDescent="0.3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ht="14.25" customHeight="1" x14ac:dyDescent="0.3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ht="14.25" customHeight="1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ht="14.25" customHeight="1" x14ac:dyDescent="0.3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ht="14.25" customHeight="1" x14ac:dyDescent="0.3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ht="14.25" customHeight="1" x14ac:dyDescent="0.3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ht="14.25" customHeight="1" x14ac:dyDescent="0.3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ht="14.25" customHeight="1" x14ac:dyDescent="0.3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ht="14.25" customHeight="1" x14ac:dyDescent="0.3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ht="14.25" customHeight="1" x14ac:dyDescent="0.3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ht="14.25" customHeight="1" x14ac:dyDescent="0.3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ht="14.25" customHeight="1" x14ac:dyDescent="0.3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ht="14.25" customHeight="1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ht="14.25" customHeight="1" x14ac:dyDescent="0.3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ht="14.25" customHeight="1" x14ac:dyDescent="0.3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ht="14.25" customHeight="1" x14ac:dyDescent="0.3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ht="14.25" customHeight="1" x14ac:dyDescent="0.3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ht="14.25" customHeight="1" x14ac:dyDescent="0.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ht="14.25" customHeight="1" x14ac:dyDescent="0.3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ht="14.25" customHeight="1" x14ac:dyDescent="0.3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ht="14.25" customHeight="1" x14ac:dyDescent="0.3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ht="14.25" customHeight="1" x14ac:dyDescent="0.3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ht="14.25" customHeight="1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ht="14.25" customHeight="1" x14ac:dyDescent="0.3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ht="14.25" customHeight="1" x14ac:dyDescent="0.3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ht="14.25" customHeight="1" x14ac:dyDescent="0.3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ht="14.25" customHeight="1" x14ac:dyDescent="0.3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ht="14.25" customHeight="1" x14ac:dyDescent="0.3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ht="14.25" customHeight="1" x14ac:dyDescent="0.3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ht="14.25" customHeight="1" x14ac:dyDescent="0.3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ht="14.25" customHeight="1" x14ac:dyDescent="0.3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ht="14.25" customHeight="1" x14ac:dyDescent="0.3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ht="14.25" customHeight="1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ht="14.25" customHeight="1" x14ac:dyDescent="0.35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ht="14.25" customHeight="1" x14ac:dyDescent="0.3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ht="14.25" customHeight="1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ht="14.25" customHeight="1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ht="14.25" customHeight="1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ht="14.25" customHeight="1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ht="14.25" customHeight="1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ht="14.25" customHeight="1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ht="14.25" customHeight="1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ht="14.25" customHeight="1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ht="14.25" customHeight="1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ht="14.25" customHeight="1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ht="14.25" customHeight="1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ht="14.25" customHeight="1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ht="14.25" customHeight="1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ht="14.25" customHeight="1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ht="14.25" customHeight="1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ht="14.25" customHeight="1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ht="14.25" customHeight="1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ht="14.25" customHeight="1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ht="14.25" customHeight="1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ht="14.25" customHeight="1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ht="14.25" customHeight="1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ht="14.25" customHeight="1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ht="14.25" customHeight="1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ht="14.25" customHeight="1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ht="14.25" customHeight="1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ht="14.25" customHeight="1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ht="14.25" customHeight="1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ht="14.25" customHeight="1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ht="14.25" customHeight="1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ht="14.25" customHeight="1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ht="14.25" customHeight="1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ht="14.25" customHeight="1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ht="14.25" customHeight="1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ht="14.25" customHeight="1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ht="14.25" customHeight="1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ht="14.25" customHeight="1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ht="14.25" customHeight="1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ht="14.25" customHeight="1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ht="14.25" customHeight="1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ht="14.25" customHeight="1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ht="14.25" customHeight="1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ht="14.25" customHeight="1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ht="14.25" customHeight="1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ht="14.25" customHeight="1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ht="14.25" customHeight="1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ht="14.25" customHeight="1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ht="14.25" customHeight="1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ht="14.25" customHeight="1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ht="14.25" customHeight="1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ht="14.25" customHeight="1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ht="14.25" customHeight="1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ht="14.25" customHeight="1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ht="14.25" customHeight="1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ht="14.25" customHeight="1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ht="14.25" customHeight="1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ht="14.25" customHeight="1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ht="14.25" customHeight="1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ht="14.25" customHeight="1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ht="14.25" customHeight="1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ht="14.25" customHeight="1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ht="14.25" customHeight="1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ht="14.25" customHeight="1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ht="14.25" customHeight="1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ht="14.25" customHeight="1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ht="14.25" customHeight="1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ht="14.25" customHeight="1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ht="14.25" customHeight="1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ht="14.25" customHeight="1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ht="14.25" customHeight="1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ht="14.25" customHeight="1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ht="14.25" customHeight="1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ht="14.25" customHeight="1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ht="14.25" customHeight="1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ht="14.25" customHeight="1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ht="14.25" customHeight="1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ht="14.25" customHeight="1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ht="14.25" customHeight="1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ht="14.25" customHeight="1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ht="14.25" customHeight="1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ht="14.25" customHeight="1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ht="14.25" customHeight="1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ht="14.25" customHeight="1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ht="14.25" customHeight="1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ht="14.25" customHeight="1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ht="14.25" customHeight="1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ht="14.25" customHeight="1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ht="14.25" customHeight="1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ht="14.25" customHeight="1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ht="14.25" customHeight="1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ht="14.25" customHeight="1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ht="14.25" customHeight="1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ht="14.25" customHeight="1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ht="14.25" customHeight="1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ht="14.25" customHeight="1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ht="14.25" customHeight="1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ht="14.25" customHeight="1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ht="14.25" customHeight="1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ht="14.25" customHeight="1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ht="14.25" customHeight="1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ht="14.25" customHeight="1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ht="14.25" customHeight="1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ht="14.25" customHeight="1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ht="14.25" customHeight="1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ht="14.25" customHeight="1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ht="14.25" customHeight="1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ht="14.25" customHeight="1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ht="14.25" customHeight="1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ht="14.25" customHeight="1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ht="14.25" customHeight="1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ht="14.25" customHeight="1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ht="14.25" customHeight="1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ht="14.25" customHeight="1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ht="14.25" customHeight="1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ht="14.25" customHeight="1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ht="14.25" customHeight="1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ht="14.25" customHeight="1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ht="14.25" customHeight="1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ht="14.25" customHeight="1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ht="14.25" customHeight="1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ht="14.25" customHeight="1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ht="14.25" customHeight="1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ht="14.25" customHeight="1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ht="14.25" customHeight="1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ht="14.25" customHeight="1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ht="14.25" customHeight="1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ht="14.25" customHeight="1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ht="14.25" customHeight="1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ht="14.25" customHeight="1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ht="14.25" customHeight="1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ht="14.25" customHeight="1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ht="14.25" customHeight="1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ht="14.25" customHeight="1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ht="14.25" customHeight="1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ht="14.25" customHeight="1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ht="14.25" customHeight="1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ht="14.25" customHeight="1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ht="14.25" customHeight="1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ht="14.25" customHeight="1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ht="14.25" customHeight="1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ht="14.25" customHeight="1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ht="14.25" customHeight="1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ht="14.25" customHeight="1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ht="14.25" customHeight="1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ht="14.25" customHeight="1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ht="14.25" customHeight="1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ht="14.25" customHeight="1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ht="14.25" customHeight="1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ht="14.25" customHeight="1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ht="14.25" customHeight="1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ht="14.25" customHeight="1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ht="14.25" customHeight="1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ht="14.25" customHeight="1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ht="14.25" customHeight="1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ht="14.25" customHeight="1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ht="14.25" customHeight="1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ht="14.25" customHeight="1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ht="14.25" customHeight="1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ht="14.25" customHeight="1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ht="14.25" customHeight="1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ht="14.25" customHeight="1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ht="14.25" customHeight="1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ht="14.25" customHeight="1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ht="14.25" customHeight="1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ht="14.25" customHeight="1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ht="14.25" customHeight="1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ht="14.25" customHeight="1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ht="14.25" customHeight="1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ht="14.25" customHeight="1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ht="14.25" customHeight="1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ht="14.25" customHeight="1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ht="14.25" customHeight="1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ht="14.25" customHeight="1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ht="14.25" customHeight="1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ht="14.25" customHeight="1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ht="14.25" customHeight="1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ht="14.25" customHeight="1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ht="14.25" customHeight="1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ht="14.25" customHeight="1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ht="14.25" customHeight="1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ht="14.25" customHeight="1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ht="14.25" customHeight="1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ht="14.25" customHeight="1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ht="14.25" customHeight="1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ht="14.25" customHeight="1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ht="14.25" customHeight="1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ht="14.25" customHeight="1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ht="14.25" customHeight="1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ht="14.25" customHeight="1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ht="14.25" customHeight="1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ht="14.25" customHeight="1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ht="14.25" customHeight="1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ht="14.25" customHeight="1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ht="14.25" customHeight="1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ht="14.25" customHeight="1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ht="14.25" customHeight="1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ht="14.25" customHeight="1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ht="14.25" customHeight="1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ht="14.25" customHeight="1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ht="14.25" customHeight="1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ht="14.25" customHeight="1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ht="14.25" customHeight="1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ht="14.25" customHeight="1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ht="14.25" customHeight="1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ht="14.25" customHeight="1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ht="14.25" customHeight="1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ht="14.25" customHeight="1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ht="14.25" customHeight="1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ht="14.25" customHeight="1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ht="14.25" customHeight="1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ht="14.25" customHeight="1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ht="14.25" customHeight="1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ht="14.25" customHeight="1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ht="14.25" customHeight="1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ht="14.25" customHeight="1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ht="14.25" customHeight="1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ht="14.25" customHeight="1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ht="14.25" customHeight="1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ht="14.25" customHeight="1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ht="14.25" customHeight="1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ht="14.25" customHeight="1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ht="14.25" customHeight="1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ht="14.25" customHeight="1" x14ac:dyDescent="0.35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ht="14.25" customHeight="1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ht="14.25" customHeight="1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ht="14.25" customHeight="1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ht="14.25" customHeight="1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ht="14.25" customHeight="1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ht="14.25" customHeight="1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ht="14.25" customHeight="1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ht="14.25" customHeight="1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ht="14.25" customHeight="1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ht="14.25" customHeight="1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ht="14.25" customHeight="1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ht="14.25" customHeight="1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ht="14.25" customHeight="1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ht="14.25" customHeight="1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ht="14.25" customHeight="1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ht="14.25" customHeight="1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ht="14.25" customHeight="1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ht="14.25" customHeight="1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ht="14.25" customHeight="1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ht="14.25" customHeight="1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ht="14.25" customHeight="1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ht="14.25" customHeight="1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ht="14.25" customHeight="1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ht="14.25" customHeight="1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ht="14.25" customHeight="1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ht="14.25" customHeight="1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ht="14.25" customHeight="1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ht="14.25" customHeight="1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ht="14.25" customHeight="1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ht="14.25" customHeight="1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ht="14.25" customHeight="1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ht="14.25" customHeight="1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ht="14.25" customHeight="1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ht="14.25" customHeight="1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ht="14.25" customHeight="1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ht="14.25" customHeight="1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ht="14.25" customHeight="1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ht="14.25" customHeight="1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ht="14.25" customHeight="1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ht="14.25" customHeight="1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ht="14.25" customHeight="1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ht="14.25" customHeight="1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ht="14.25" customHeight="1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ht="14.25" customHeight="1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ht="14.25" customHeight="1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ht="14.25" customHeight="1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ht="14.25" customHeight="1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ht="14.25" customHeight="1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ht="14.25" customHeight="1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ht="14.25" customHeight="1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ht="14.25" customHeight="1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ht="14.25" customHeight="1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ht="14.25" customHeight="1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ht="14.25" customHeight="1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ht="14.25" customHeight="1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ht="14.25" customHeight="1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ht="14.25" customHeight="1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ht="14.25" customHeight="1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ht="14.25" customHeight="1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ht="14.25" customHeight="1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ht="14.25" customHeight="1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ht="14.25" customHeight="1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ht="14.25" customHeight="1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ht="14.25" customHeight="1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ht="14.25" customHeight="1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ht="14.25" customHeight="1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ht="14.25" customHeight="1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ht="14.25" customHeight="1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ht="14.25" customHeight="1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ht="14.25" customHeight="1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ht="14.25" customHeight="1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ht="14.25" customHeight="1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ht="14.25" customHeight="1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ht="14.25" customHeight="1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ht="14.25" customHeight="1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ht="14.25" customHeight="1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ht="14.25" customHeight="1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ht="14.25" customHeight="1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ht="14.25" customHeight="1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ht="14.25" customHeight="1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ht="14.25" customHeight="1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ht="14.25" customHeight="1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ht="14.25" customHeight="1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ht="14.25" customHeight="1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ht="14.25" customHeight="1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ht="14.25" customHeight="1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ht="14.25" customHeight="1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ht="14.25" customHeight="1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ht="14.25" customHeight="1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ht="14.25" customHeight="1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ht="14.25" customHeight="1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ht="14.25" customHeight="1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ht="14.25" customHeight="1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ht="14.25" customHeight="1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ht="14.25" customHeight="1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ht="14.25" customHeight="1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ht="14.25" customHeight="1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ht="14.25" customHeight="1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ht="14.25" customHeight="1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ht="14.25" customHeight="1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ht="14.25" customHeight="1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ht="14.25" customHeight="1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ht="14.25" customHeight="1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ht="14.25" customHeight="1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ht="14.25" customHeight="1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ht="14.25" customHeight="1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ht="14.25" customHeight="1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ht="14.25" customHeight="1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ht="14.25" customHeight="1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ht="14.25" customHeight="1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ht="14.25" customHeight="1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ht="14.25" customHeight="1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ht="14.25" customHeight="1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ht="14.25" customHeight="1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ht="14.25" customHeight="1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ht="14.25" customHeight="1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ht="14.25" customHeight="1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ht="14.25" customHeight="1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ht="14.25" customHeight="1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ht="14.25" customHeight="1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ht="14.25" customHeight="1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ht="14.25" customHeight="1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ht="14.25" customHeight="1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ht="14.25" customHeight="1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ht="14.25" customHeight="1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ht="14.25" customHeight="1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ht="14.25" customHeight="1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ht="14.25" customHeight="1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ht="14.25" customHeight="1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ht="14.25" customHeight="1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ht="14.25" customHeight="1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ht="14.25" customHeight="1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ht="14.25" customHeight="1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ht="14.25" customHeight="1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ht="14.25" customHeight="1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ht="14.25" customHeight="1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ht="14.25" customHeight="1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ht="14.25" customHeight="1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ht="14.25" customHeight="1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ht="14.25" customHeight="1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ht="14.25" customHeight="1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ht="14.25" customHeight="1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ht="14.25" customHeight="1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ht="14.25" customHeight="1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ht="14.25" customHeight="1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ht="14.25" customHeight="1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ht="14.25" customHeight="1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ht="14.25" customHeight="1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ht="14.25" customHeight="1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ht="14.25" customHeight="1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ht="14.25" customHeight="1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ht="14.25" customHeight="1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ht="14.25" customHeight="1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ht="14.25" customHeight="1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ht="14.25" customHeight="1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ht="14.25" customHeight="1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ht="14.25" customHeight="1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ht="14.25" customHeight="1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ht="14.25" customHeight="1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ht="14.25" customHeight="1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ht="14.25" customHeight="1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ht="14.25" customHeight="1" x14ac:dyDescent="0.35">
      <c r="A636" s="23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ht="14.25" customHeight="1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ht="14.25" customHeight="1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ht="14.25" customHeight="1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ht="14.25" customHeight="1" x14ac:dyDescent="0.35">
      <c r="A640" s="23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ht="14.25" customHeight="1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ht="14.25" customHeight="1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ht="14.25" customHeight="1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ht="14.25" customHeight="1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ht="14.25" customHeight="1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ht="14.25" customHeight="1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ht="14.25" customHeight="1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ht="14.25" customHeight="1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ht="14.25" customHeight="1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ht="14.25" customHeight="1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ht="14.25" customHeight="1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ht="14.25" customHeight="1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ht="14.25" customHeight="1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ht="14.25" customHeight="1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ht="14.25" customHeight="1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ht="14.25" customHeight="1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ht="14.25" customHeight="1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ht="14.25" customHeight="1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ht="14.25" customHeight="1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ht="14.25" customHeight="1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ht="14.25" customHeight="1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ht="14.25" customHeight="1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ht="14.25" customHeight="1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ht="14.25" customHeight="1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ht="14.25" customHeight="1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ht="14.25" customHeight="1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ht="14.25" customHeight="1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ht="14.25" customHeight="1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ht="14.25" customHeight="1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ht="14.25" customHeight="1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ht="14.25" customHeight="1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ht="14.25" customHeight="1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ht="14.25" customHeight="1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ht="14.25" customHeight="1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ht="14.25" customHeight="1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ht="14.25" customHeight="1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ht="14.25" customHeight="1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ht="14.25" customHeight="1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ht="14.25" customHeight="1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ht="14.25" customHeight="1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ht="14.25" customHeight="1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ht="14.25" customHeight="1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ht="14.25" customHeight="1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ht="14.25" customHeight="1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ht="14.25" customHeight="1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ht="14.25" customHeight="1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ht="14.25" customHeight="1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ht="14.25" customHeight="1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ht="14.25" customHeight="1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ht="14.25" customHeight="1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ht="14.25" customHeight="1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ht="14.25" customHeight="1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ht="14.25" customHeight="1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ht="14.25" customHeight="1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ht="14.25" customHeight="1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ht="14.25" customHeight="1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ht="14.25" customHeight="1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ht="14.25" customHeight="1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ht="14.25" customHeight="1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ht="14.25" customHeight="1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ht="14.25" customHeight="1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ht="14.25" customHeight="1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ht="14.25" customHeight="1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ht="14.25" customHeight="1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ht="14.25" customHeight="1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ht="14.25" customHeight="1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ht="14.25" customHeight="1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ht="14.25" customHeight="1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ht="14.25" customHeight="1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ht="14.25" customHeight="1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ht="14.25" customHeight="1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ht="14.25" customHeight="1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ht="14.25" customHeight="1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ht="14.25" customHeight="1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ht="14.25" customHeight="1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ht="14.25" customHeight="1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ht="14.25" customHeight="1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ht="14.25" customHeight="1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ht="14.25" customHeight="1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ht="14.25" customHeight="1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ht="14.25" customHeight="1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ht="14.25" customHeight="1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ht="14.25" customHeight="1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ht="14.25" customHeight="1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ht="14.25" customHeight="1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ht="14.25" customHeight="1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ht="14.25" customHeight="1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ht="14.25" customHeight="1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ht="14.25" customHeight="1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ht="14.25" customHeight="1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ht="14.25" customHeight="1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ht="14.25" customHeight="1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ht="14.25" customHeight="1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ht="14.25" customHeight="1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ht="14.25" customHeight="1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ht="14.25" customHeight="1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ht="14.25" customHeight="1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ht="14.25" customHeight="1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ht="14.25" customHeight="1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ht="14.25" customHeight="1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ht="14.25" customHeight="1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ht="14.25" customHeight="1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ht="14.25" customHeight="1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ht="14.25" customHeight="1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ht="14.25" customHeight="1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ht="14.25" customHeight="1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ht="14.25" customHeight="1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ht="14.25" customHeight="1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ht="14.25" customHeight="1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ht="14.25" customHeight="1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ht="14.25" customHeight="1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ht="14.25" customHeight="1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ht="14.25" customHeight="1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ht="14.25" customHeight="1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ht="14.25" customHeight="1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ht="14.25" customHeight="1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ht="14.25" customHeight="1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ht="14.25" customHeight="1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ht="14.25" customHeight="1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ht="14.25" customHeight="1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ht="14.25" customHeight="1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ht="14.25" customHeight="1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ht="14.25" customHeight="1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ht="14.25" customHeight="1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ht="14.25" customHeight="1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ht="14.25" customHeight="1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ht="14.25" customHeight="1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ht="14.25" customHeight="1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ht="14.25" customHeight="1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ht="14.25" customHeight="1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ht="14.25" customHeight="1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ht="14.25" customHeight="1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ht="14.25" customHeight="1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ht="14.25" customHeight="1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ht="14.25" customHeight="1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ht="14.25" customHeight="1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ht="14.25" customHeight="1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ht="14.25" customHeight="1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ht="14.25" customHeight="1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ht="14.25" customHeight="1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ht="14.25" customHeight="1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ht="14.25" customHeight="1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ht="14.25" customHeight="1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ht="14.25" customHeight="1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ht="14.25" customHeight="1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ht="14.25" customHeight="1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ht="14.25" customHeight="1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ht="14.25" customHeight="1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ht="14.25" customHeight="1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ht="14.25" customHeight="1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ht="14.25" customHeight="1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ht="14.25" customHeight="1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ht="14.25" customHeight="1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ht="14.25" customHeight="1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ht="14.25" customHeight="1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ht="14.25" customHeight="1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ht="14.25" customHeight="1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ht="14.25" customHeight="1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ht="14.25" customHeight="1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ht="14.25" customHeight="1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ht="14.25" customHeight="1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ht="14.25" customHeight="1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ht="14.25" customHeight="1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ht="14.25" customHeight="1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ht="14.25" customHeight="1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ht="14.25" customHeight="1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ht="14.25" customHeight="1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ht="14.25" customHeight="1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ht="14.25" customHeight="1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ht="14.25" customHeight="1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ht="14.25" customHeight="1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ht="14.25" customHeight="1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ht="14.25" customHeight="1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ht="14.25" customHeight="1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ht="14.25" customHeight="1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ht="14.25" customHeight="1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ht="14.25" customHeight="1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ht="14.25" customHeight="1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ht="14.25" customHeight="1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ht="14.25" customHeight="1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ht="14.25" customHeight="1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ht="14.25" customHeight="1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ht="14.25" customHeight="1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ht="14.25" customHeight="1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ht="14.25" customHeight="1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ht="14.25" customHeight="1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ht="14.25" customHeight="1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ht="14.25" customHeight="1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ht="14.25" customHeight="1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ht="14.25" customHeight="1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ht="14.25" customHeight="1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ht="14.25" customHeight="1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ht="14.25" customHeight="1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ht="14.25" customHeight="1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ht="14.25" customHeight="1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ht="14.25" customHeight="1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ht="14.25" customHeight="1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ht="14.25" customHeight="1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ht="14.25" customHeight="1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ht="14.25" customHeight="1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ht="14.25" customHeight="1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ht="14.25" customHeight="1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ht="14.25" customHeight="1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ht="14.25" customHeight="1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ht="14.25" customHeight="1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ht="14.25" customHeight="1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ht="14.25" customHeight="1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ht="14.25" customHeight="1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ht="14.25" customHeight="1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ht="14.25" customHeight="1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ht="14.25" customHeight="1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ht="14.25" customHeight="1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ht="14.25" customHeight="1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ht="14.25" customHeight="1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ht="14.25" customHeight="1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ht="14.25" customHeight="1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ht="14.25" customHeight="1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ht="14.25" customHeight="1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ht="14.25" customHeight="1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ht="14.25" customHeight="1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ht="14.25" customHeight="1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ht="14.25" customHeight="1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ht="14.25" customHeight="1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ht="14.25" customHeight="1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ht="14.25" customHeight="1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ht="14.25" customHeight="1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ht="14.25" customHeight="1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ht="14.25" customHeight="1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ht="14.25" customHeight="1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ht="14.25" customHeight="1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ht="14.25" customHeight="1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ht="14.25" customHeight="1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ht="14.25" customHeight="1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ht="14.25" customHeight="1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ht="14.25" customHeight="1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ht="14.25" customHeight="1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ht="14.25" customHeight="1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ht="14.25" customHeight="1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ht="14.25" customHeight="1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ht="14.25" customHeight="1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ht="14.25" customHeight="1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ht="14.25" customHeight="1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ht="14.25" customHeight="1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ht="14.25" customHeight="1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ht="14.25" customHeight="1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ht="14.25" customHeight="1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ht="14.25" customHeight="1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ht="14.25" customHeight="1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ht="14.25" customHeight="1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ht="14.25" customHeight="1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ht="14.25" customHeight="1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ht="14.25" customHeight="1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ht="14.25" customHeight="1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ht="14.25" customHeight="1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ht="14.25" customHeight="1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ht="14.25" customHeight="1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ht="14.25" customHeight="1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ht="14.25" customHeight="1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ht="14.25" customHeight="1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ht="14.25" customHeight="1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ht="14.25" customHeight="1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ht="14.25" customHeight="1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ht="14.25" customHeight="1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ht="14.25" customHeight="1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ht="14.25" customHeight="1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ht="14.25" customHeight="1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ht="14.25" customHeight="1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ht="14.25" customHeight="1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ht="14.25" customHeight="1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ht="14.25" customHeight="1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ht="14.25" customHeight="1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ht="14.25" customHeight="1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ht="14.25" customHeight="1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ht="14.25" customHeight="1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ht="14.25" customHeight="1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ht="14.25" customHeight="1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ht="14.25" customHeight="1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ht="14.25" customHeight="1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ht="14.25" customHeight="1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ht="14.25" customHeight="1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ht="14.25" customHeight="1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ht="14.25" customHeight="1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ht="14.25" customHeight="1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ht="14.25" customHeight="1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ht="14.25" customHeight="1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ht="14.25" customHeight="1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ht="14.25" customHeight="1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ht="14.25" customHeight="1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ht="14.25" customHeight="1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ht="14.25" customHeight="1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ht="14.25" customHeight="1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ht="14.25" customHeight="1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ht="14.25" customHeight="1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ht="14.25" customHeight="1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ht="14.25" customHeight="1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ht="14.25" customHeight="1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ht="14.25" customHeight="1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ht="14.25" customHeight="1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ht="14.25" customHeight="1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ht="14.25" customHeight="1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ht="14.25" customHeight="1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ht="14.25" customHeight="1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ht="14.25" customHeight="1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ht="14.25" customHeight="1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ht="14.25" customHeight="1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ht="14.25" customHeight="1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ht="14.25" customHeight="1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ht="14.25" customHeight="1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ht="14.25" customHeight="1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ht="14.25" customHeight="1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ht="14.25" customHeight="1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ht="14.25" customHeight="1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ht="14.25" customHeight="1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ht="14.25" customHeight="1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ht="14.25" customHeight="1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ht="14.25" customHeight="1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ht="14.25" customHeight="1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ht="14.25" customHeight="1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ht="14.25" customHeight="1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ht="14.25" customHeight="1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ht="14.25" customHeight="1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ht="14.25" customHeight="1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ht="14.25" customHeight="1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ht="14.25" customHeight="1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ht="14.25" customHeight="1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ht="14.25" customHeight="1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ht="14.25" customHeight="1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ht="14.25" customHeight="1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ht="14.25" customHeight="1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ht="14.25" customHeight="1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ht="14.25" customHeight="1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ht="14.25" customHeight="1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ht="14.25" customHeight="1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ht="14.25" customHeight="1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ht="14.25" customHeight="1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ht="14.25" customHeight="1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ht="14.25" customHeight="1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ht="14.25" customHeight="1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ht="14.25" customHeight="1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ht="14.25" customHeight="1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ht="14.25" customHeight="1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ht="14.25" customHeight="1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ht="14.25" customHeight="1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ht="14.25" customHeight="1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ht="14.25" customHeight="1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ht="14.25" customHeight="1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ht="14.25" customHeight="1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ht="14.25" customHeight="1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ht="14.25" customHeight="1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ht="14.25" customHeight="1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ht="14.25" customHeight="1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ht="14.25" customHeight="1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ht="14.25" customHeight="1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ht="14.25" customHeight="1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ht="14.25" customHeight="1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ht="14.25" customHeight="1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ht="14.25" customHeight="1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ht="14.25" customHeight="1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ht="14.25" customHeight="1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ht="14.25" customHeight="1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P&amp;L source</vt:lpstr>
      <vt:lpstr>BS source</vt:lpstr>
      <vt:lpstr>P&amp;L assumptions</vt:lpstr>
      <vt:lpstr>BS assumptions</vt:lpstr>
      <vt:lpstr>P&amp;L</vt:lpstr>
      <vt:lpstr>BS</vt:lpstr>
      <vt:lpstr>Cash Flow</vt:lpstr>
      <vt:lpstr>DCF valuation</vt:lpstr>
      <vt:lpstr>Perpetuity Growth</vt:lpstr>
      <vt:lpstr>Exit Multiple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BANTHIA</dc:creator>
  <cp:lastModifiedBy>srikanthyadav444p</cp:lastModifiedBy>
  <dcterms:created xsi:type="dcterms:W3CDTF">2006-09-16T00:00:00Z</dcterms:created>
  <dcterms:modified xsi:type="dcterms:W3CDTF">2025-12-31T14:37:50Z</dcterms:modified>
</cp:coreProperties>
</file>