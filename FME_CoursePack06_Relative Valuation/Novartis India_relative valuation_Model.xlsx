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RV" sheetId="2" state="visible" r:id="rId2"/>
  </sheets>
  <definedNames/>
  <calcPr calcId="191029" fullCalcOnLoad="1"/>
</workbook>
</file>

<file path=xl/styles.xml><?xml version="1.0" encoding="utf-8"?>
<styleSheet xmlns="http://schemas.openxmlformats.org/spreadsheetml/2006/main">
  <numFmts count="5">
    <numFmt numFmtId="164" formatCode="_ * #,##0.00_ ;_ * \-#,##0.00_ ;_ * &quot;-&quot;??_ ;_ @_ "/>
    <numFmt numFmtId="165" formatCode="_(* #,##0.0_);_(* \(#,##0.0\);_(* &quot;-&quot;??_);_(@_)"/>
    <numFmt numFmtId="166" formatCode="#,##0.0"/>
    <numFmt numFmtId="167" formatCode="0.0"/>
    <numFmt numFmtId="168" formatCode="#,##0.0000"/>
  </numFmts>
  <fonts count="15">
    <font>
      <name val="Calibri"/>
      <family val="2"/>
      <color theme="1"/>
      <sz val="11"/>
      <scheme val="minor"/>
    </font>
    <font>
      <name val="Calibri"/>
      <family val="2"/>
      <color theme="1"/>
      <sz val="11"/>
      <scheme val="minor"/>
    </font>
    <font>
      <name val="Times New Roman"/>
      <family val="1"/>
      <b val="1"/>
      <color theme="1"/>
      <sz val="10"/>
    </font>
    <font>
      <name val="Times New Roman"/>
      <family val="1"/>
      <color theme="1"/>
      <sz val="10"/>
    </font>
    <font>
      <name val="Times New Roman"/>
      <family val="1"/>
      <b val="1"/>
      <color theme="0"/>
      <sz val="10"/>
    </font>
    <font>
      <name val="Times New Roman"/>
      <family val="1"/>
      <color rgb="FF0070C0"/>
      <sz val="10"/>
    </font>
    <font>
      <name val="Times New Roman"/>
      <family val="1"/>
      <sz val="10"/>
    </font>
    <font>
      <name val="Times New Roman"/>
      <family val="1"/>
      <b val="1"/>
      <sz val="10"/>
    </font>
    <font>
      <name val="Times New Roman"/>
      <family val="1"/>
      <i val="1"/>
      <color theme="1"/>
      <sz val="10"/>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s>
  <fills count="12">
    <fill>
      <patternFill/>
    </fill>
    <fill>
      <patternFill patternType="gray125"/>
    </fill>
    <fill>
      <patternFill patternType="solid">
        <fgColor theme="4"/>
        <bgColor indexed="64"/>
      </patternFill>
    </fill>
    <fill>
      <patternFill patternType="solid">
        <fgColor theme="9" tint="0.7999816888943144"/>
        <bgColor indexed="64"/>
      </patternFill>
    </fill>
    <fill>
      <patternFill patternType="solid">
        <fgColor theme="6" tint="0.5999938962981048"/>
        <bgColor indexed="64"/>
      </patternFill>
    </fill>
    <fill>
      <patternFill patternType="solid">
        <fgColor theme="3" tint="0.3999755851924192"/>
        <bgColor indexed="64"/>
      </patternFill>
    </fill>
    <fill>
      <patternFill patternType="solid">
        <fgColor theme="3" tint="0.7999816888943144"/>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11">
    <border>
      <left/>
      <right/>
      <top/>
      <bottom/>
      <diagonal/>
    </border>
    <border>
      <left/>
      <right/>
      <top/>
      <bottom style="medium">
        <color theme="4" tint="-0.249977111117893"/>
      </bottom>
      <diagonal/>
    </border>
    <border>
      <left style="hair">
        <color rgb="FF00B0F0"/>
      </left>
      <right style="hair">
        <color rgb="FF00B0F0"/>
      </right>
      <top style="hair">
        <color rgb="FF00B0F0"/>
      </top>
      <bottom style="hair">
        <color rgb="FF00B0F0"/>
      </bottom>
      <diagonal/>
    </border>
    <border>
      <left style="hair">
        <color rgb="FF00B0F0"/>
      </left>
      <right/>
      <top style="hair">
        <color rgb="FF00B0F0"/>
      </top>
      <bottom style="hair">
        <color rgb="FF00B0F0"/>
      </bottom>
      <diagonal/>
    </border>
    <border>
      <left/>
      <right/>
      <top style="hair">
        <color rgb="FF00B0F0"/>
      </top>
      <bottom style="hair">
        <color rgb="FF00B0F0"/>
      </bottom>
      <diagonal/>
    </border>
    <border>
      <left/>
      <right style="hair">
        <color rgb="FF00B0F0"/>
      </right>
      <top style="hair">
        <color rgb="FF00B0F0"/>
      </top>
      <bottom style="hair">
        <color rgb="FF00B0F0"/>
      </bottom>
      <diagonal/>
    </border>
    <border>
      <left style="thin">
        <color indexed="64"/>
      </left>
      <right style="thin">
        <color indexed="64"/>
      </right>
      <top style="thin">
        <color indexed="64"/>
      </top>
      <bottom style="thin">
        <color indexed="64"/>
      </bottom>
      <diagonal/>
    </border>
    <border>
      <left/>
      <right/>
      <top style="hair">
        <color rgb="FF00B0F0"/>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1" fillId="0" borderId="0"/>
    <xf numFmtId="43" fontId="1" fillId="0" borderId="0"/>
    <xf numFmtId="0" fontId="1" fillId="0" borderId="0"/>
  </cellStyleXfs>
  <cellXfs count="92">
    <xf numFmtId="0" fontId="0" fillId="0" borderId="0" pivotButton="0" quotePrefix="0" xfId="0"/>
    <xf numFmtId="0" fontId="2" fillId="0" borderId="0" applyAlignment="1" pivotButton="0" quotePrefix="0" xfId="0">
      <alignment vertical="center" wrapText="1"/>
    </xf>
    <xf numFmtId="0" fontId="4" fillId="0" borderId="0" applyAlignment="1" pivotButton="0" quotePrefix="0" xfId="0">
      <alignment vertical="center"/>
    </xf>
    <xf numFmtId="0" fontId="2" fillId="0" borderId="0" pivotButton="0" quotePrefix="0" xfId="0"/>
    <xf numFmtId="0" fontId="2" fillId="0" borderId="0" applyAlignment="1" pivotButton="0" quotePrefix="0" xfId="0">
      <alignment horizontal="center" wrapText="1"/>
    </xf>
    <xf numFmtId="0" fontId="5" fillId="0" borderId="0" pivotButton="0" quotePrefix="0" xfId="0"/>
    <xf numFmtId="3" fontId="3" fillId="0" borderId="2" applyAlignment="1" pivotButton="0" quotePrefix="0" xfId="0">
      <alignment vertical="center" wrapText="1"/>
    </xf>
    <xf numFmtId="164" fontId="3" fillId="0" borderId="0" applyAlignment="1" pivotButton="0" quotePrefix="0" xfId="1">
      <alignment vertical="center"/>
    </xf>
    <xf numFmtId="165" fontId="3" fillId="0" borderId="0" applyAlignment="1" pivotButton="0" quotePrefix="0" xfId="1">
      <alignment vertical="center" wrapText="1"/>
    </xf>
    <xf numFmtId="166" fontId="3" fillId="0" borderId="0" applyAlignment="1" pivotButton="0" quotePrefix="0" xfId="0">
      <alignment vertical="center" wrapText="1"/>
    </xf>
    <xf numFmtId="167" fontId="3" fillId="0" borderId="0" applyAlignment="1" pivotButton="0" quotePrefix="0" xfId="0">
      <alignment horizontal="right" vertical="center" wrapText="1"/>
    </xf>
    <xf numFmtId="0" fontId="6" fillId="0" borderId="3" applyAlignment="1" pivotButton="0" quotePrefix="0" xfId="0">
      <alignment vertical="center"/>
    </xf>
    <xf numFmtId="0" fontId="7" fillId="0" borderId="3" applyAlignment="1" pivotButton="0" quotePrefix="0" xfId="0">
      <alignment vertical="center"/>
    </xf>
    <xf numFmtId="0" fontId="6" fillId="0" borderId="0" applyAlignment="1" pivotButton="0" quotePrefix="0" xfId="0">
      <alignment vertical="center"/>
    </xf>
    <xf numFmtId="167" fontId="6" fillId="0" borderId="0" applyAlignment="1" pivotButton="0" quotePrefix="0" xfId="0">
      <alignment vertical="center"/>
    </xf>
    <xf numFmtId="0" fontId="3" fillId="0" borderId="0" applyAlignment="1" pivotButton="0" quotePrefix="0" xfId="0">
      <alignment vertical="center"/>
    </xf>
    <xf numFmtId="166" fontId="3" fillId="0" borderId="0" applyAlignment="1" pivotButton="0" quotePrefix="0" xfId="0">
      <alignment vertical="center"/>
    </xf>
    <xf numFmtId="0" fontId="6" fillId="0" borderId="4" applyAlignment="1" pivotButton="0" quotePrefix="0" xfId="0">
      <alignment vertical="center" wrapText="1"/>
    </xf>
    <xf numFmtId="0" fontId="3" fillId="0" borderId="4" applyAlignment="1" pivotButton="0" quotePrefix="0" xfId="0">
      <alignment vertical="center"/>
    </xf>
    <xf numFmtId="166" fontId="3" fillId="0" borderId="4" applyAlignment="1" pivotButton="0" quotePrefix="0" xfId="0">
      <alignment vertical="center"/>
    </xf>
    <xf numFmtId="166" fontId="3" fillId="0" borderId="5" applyAlignment="1" pivotButton="0" quotePrefix="0" xfId="0">
      <alignment vertical="center"/>
    </xf>
    <xf numFmtId="0" fontId="2" fillId="0" borderId="0" applyAlignment="1" pivotButton="0" quotePrefix="0" xfId="0">
      <alignment vertical="center"/>
    </xf>
    <xf numFmtId="0" fontId="7" fillId="0" borderId="4" applyAlignment="1" pivotButton="0" quotePrefix="0" xfId="0">
      <alignment vertical="center" wrapText="1"/>
    </xf>
    <xf numFmtId="0" fontId="4" fillId="0" borderId="4" applyAlignment="1" pivotButton="0" quotePrefix="0" xfId="0">
      <alignment vertical="center"/>
    </xf>
    <xf numFmtId="0" fontId="4" fillId="0" borderId="4" applyAlignment="1" pivotButton="0" quotePrefix="0" xfId="0">
      <alignment vertical="center" wrapText="1"/>
    </xf>
    <xf numFmtId="166" fontId="7" fillId="0" borderId="4" applyAlignment="1" pivotButton="0" quotePrefix="0" xfId="0">
      <alignment vertical="center"/>
    </xf>
    <xf numFmtId="166" fontId="7" fillId="0" borderId="5" applyAlignment="1" pivotButton="0" quotePrefix="0" xfId="0">
      <alignment vertical="center"/>
    </xf>
    <xf numFmtId="0" fontId="7" fillId="0" borderId="0" applyAlignment="1" pivotButton="0" quotePrefix="0" xfId="0">
      <alignment vertical="center"/>
    </xf>
    <xf numFmtId="0" fontId="6" fillId="0" borderId="0" applyAlignment="1" pivotButton="0" quotePrefix="0" xfId="0">
      <alignment vertical="center" wrapText="1"/>
    </xf>
    <xf numFmtId="167" fontId="6" fillId="0" borderId="0" applyAlignment="1" pivotButton="0" quotePrefix="0" xfId="0">
      <alignment vertical="center" wrapText="1"/>
    </xf>
    <xf numFmtId="0" fontId="4" fillId="2" borderId="0" applyAlignment="1" pivotButton="0" quotePrefix="0" xfId="0">
      <alignment vertical="center"/>
    </xf>
    <xf numFmtId="0" fontId="3" fillId="0" borderId="0" pivotButton="0" quotePrefix="0" xfId="0"/>
    <xf numFmtId="0" fontId="8" fillId="0" borderId="0" applyAlignment="1" pivotButton="0" quotePrefix="0" xfId="0">
      <alignment vertical="center"/>
    </xf>
    <xf numFmtId="17" fontId="3" fillId="0" borderId="0" pivotButton="0" quotePrefix="0" xfId="0"/>
    <xf numFmtId="4" fontId="3" fillId="0" borderId="0" pivotButton="0" quotePrefix="0" xfId="0"/>
    <xf numFmtId="0" fontId="3" fillId="0" borderId="6" pivotButton="0" quotePrefix="0" xfId="0"/>
    <xf numFmtId="165" fontId="3" fillId="0" borderId="3" applyAlignment="1" pivotButton="0" quotePrefix="0" xfId="1">
      <alignment vertical="center" wrapText="1"/>
    </xf>
    <xf numFmtId="0" fontId="2" fillId="4" borderId="6" applyAlignment="1" pivotButton="0" quotePrefix="0" xfId="0">
      <alignment horizontal="center" wrapText="1"/>
    </xf>
    <xf numFmtId="0" fontId="7" fillId="5" borderId="6" applyAlignment="1" pivotButton="0" quotePrefix="0" xfId="0">
      <alignment vertical="center"/>
    </xf>
    <xf numFmtId="168" fontId="7" fillId="5" borderId="6" applyAlignment="1" pivotButton="0" quotePrefix="0" xfId="0">
      <alignment vertical="center"/>
    </xf>
    <xf numFmtId="167" fontId="7" fillId="0" borderId="7" applyAlignment="1" pivotButton="0" quotePrefix="0" xfId="0">
      <alignment vertical="center" wrapText="1"/>
    </xf>
    <xf numFmtId="0" fontId="7" fillId="3" borderId="6" applyAlignment="1" pivotButton="0" quotePrefix="0" xfId="0">
      <alignment vertical="center"/>
    </xf>
    <xf numFmtId="0" fontId="7" fillId="3" borderId="6" applyAlignment="1" pivotButton="0" quotePrefix="0" xfId="0">
      <alignment vertical="center" wrapText="1"/>
    </xf>
    <xf numFmtId="0" fontId="6" fillId="3" borderId="6" applyAlignment="1" pivotButton="0" quotePrefix="0" xfId="0">
      <alignment vertical="center"/>
    </xf>
    <xf numFmtId="3" fontId="6" fillId="3" borderId="6" applyAlignment="1" pivotButton="0" quotePrefix="0" xfId="0">
      <alignment vertical="center" wrapText="1"/>
    </xf>
    <xf numFmtId="167" fontId="6" fillId="3" borderId="6" applyAlignment="1" pivotButton="0" quotePrefix="0" xfId="0">
      <alignment vertical="center" wrapText="1"/>
    </xf>
    <xf numFmtId="0" fontId="6" fillId="3" borderId="6" applyAlignment="1" pivotButton="0" quotePrefix="0" xfId="0">
      <alignment vertical="center" wrapText="1"/>
    </xf>
    <xf numFmtId="0" fontId="3" fillId="3" borderId="6" applyAlignment="1" pivotButton="0" quotePrefix="0" xfId="0">
      <alignment vertical="center"/>
    </xf>
    <xf numFmtId="4" fontId="6" fillId="3" borderId="6" applyAlignment="1" pivotButton="0" quotePrefix="0" xfId="0">
      <alignment vertical="center" wrapText="1"/>
    </xf>
    <xf numFmtId="0" fontId="7" fillId="0" borderId="6" applyAlignment="1" pivotButton="0" quotePrefix="0" xfId="0">
      <alignment vertical="center" wrapText="1"/>
    </xf>
    <xf numFmtId="0" fontId="3" fillId="0" borderId="0" applyAlignment="1" pivotButton="0" quotePrefix="0" xfId="0">
      <alignment horizontal="center" wrapText="1"/>
    </xf>
    <xf numFmtId="3" fontId="3" fillId="0" borderId="0" pivotButton="0" quotePrefix="0" xfId="0"/>
    <xf numFmtId="167" fontId="3" fillId="6" borderId="6" applyAlignment="1" pivotButton="0" quotePrefix="0" xfId="0">
      <alignment horizontal="right" vertical="center" wrapText="1"/>
    </xf>
    <xf numFmtId="167" fontId="6" fillId="6" borderId="6" applyAlignment="1" pivotButton="0" quotePrefix="0" xfId="0">
      <alignment vertical="center"/>
    </xf>
    <xf numFmtId="167" fontId="7" fillId="6" borderId="6" applyAlignment="1" pivotButton="0" quotePrefix="0" xfId="0">
      <alignment vertical="center"/>
    </xf>
    <xf numFmtId="0" fontId="2" fillId="5" borderId="6" pivotButton="0" quotePrefix="0" xfId="0"/>
    <xf numFmtId="0" fontId="10" fillId="0" borderId="0" applyAlignment="1" pivotButton="0" quotePrefix="0" xfId="2">
      <alignment vertical="center"/>
    </xf>
    <xf numFmtId="0" fontId="1" fillId="0" borderId="0" pivotButton="0" quotePrefix="0" xfId="2"/>
    <xf numFmtId="0" fontId="11" fillId="0" borderId="0" applyAlignment="1" pivotButton="0" quotePrefix="0" xfId="2">
      <alignment vertical="center"/>
    </xf>
    <xf numFmtId="0" fontId="12" fillId="0" borderId="0" pivotButton="0" quotePrefix="0" xfId="2"/>
    <xf numFmtId="0" fontId="13" fillId="0" borderId="0" applyAlignment="1" pivotButton="0" quotePrefix="0" xfId="2">
      <alignment vertical="center"/>
    </xf>
    <xf numFmtId="0" fontId="14" fillId="8" borderId="0" applyAlignment="1" pivotButton="0" quotePrefix="0" xfId="2">
      <alignment vertical="center"/>
    </xf>
    <xf numFmtId="0" fontId="1" fillId="8" borderId="0" pivotButton="0" quotePrefix="0" xfId="2"/>
    <xf numFmtId="0" fontId="14" fillId="9" borderId="0" applyAlignment="1" pivotButton="0" quotePrefix="0" xfId="2">
      <alignment vertical="center"/>
    </xf>
    <xf numFmtId="0" fontId="9" fillId="10" borderId="0" applyAlignment="1" pivotButton="0" quotePrefix="0" xfId="2">
      <alignment vertical="top" wrapText="1"/>
    </xf>
    <xf numFmtId="0" fontId="1" fillId="0" borderId="0" applyAlignment="1" pivotButton="0" quotePrefix="0" xfId="2">
      <alignment horizontal="left" vertical="center" indent="1"/>
    </xf>
    <xf numFmtId="0" fontId="9" fillId="0" borderId="0" pivotButton="0" quotePrefix="0" xfId="2"/>
    <xf numFmtId="0" fontId="9" fillId="0" borderId="0" applyAlignment="1" pivotButton="0" quotePrefix="0" xfId="2">
      <alignment horizontal="left" vertical="center" indent="1"/>
    </xf>
    <xf numFmtId="0" fontId="1" fillId="7" borderId="0" applyAlignment="1" pivotButton="0" quotePrefix="0" xfId="2">
      <alignment horizontal="justify" vertical="justify" wrapText="1"/>
    </xf>
    <xf numFmtId="0" fontId="1" fillId="7" borderId="0" applyAlignment="1" pivotButton="0" quotePrefix="0" xfId="2">
      <alignment horizontal="left" vertical="top" wrapText="1"/>
    </xf>
    <xf numFmtId="0" fontId="1" fillId="11" borderId="0" applyAlignment="1" pivotButton="0" quotePrefix="0" xfId="2">
      <alignment horizontal="justify" vertical="justify" wrapText="1"/>
    </xf>
    <xf numFmtId="0" fontId="2"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4" borderId="6" applyAlignment="1" pivotButton="0" quotePrefix="0" xfId="0">
      <alignment horizontal="center" vertical="center"/>
    </xf>
    <xf numFmtId="0" fontId="0" fillId="0" borderId="1" pivotButton="0" quotePrefix="0" xfId="0"/>
    <xf numFmtId="0" fontId="0" fillId="0" borderId="10" pivotButton="0" quotePrefix="0" xfId="0"/>
    <xf numFmtId="167" fontId="3" fillId="6" borderId="6" applyAlignment="1" pivotButton="0" quotePrefix="0" xfId="0">
      <alignment horizontal="right" vertical="center" wrapText="1"/>
    </xf>
    <xf numFmtId="164" fontId="3" fillId="0" borderId="0" applyAlignment="1" pivotButton="0" quotePrefix="0" xfId="1">
      <alignment vertical="center"/>
    </xf>
    <xf numFmtId="166" fontId="3" fillId="0" borderId="0" applyAlignment="1" pivotButton="0" quotePrefix="0" xfId="0">
      <alignment vertical="center" wrapText="1"/>
    </xf>
    <xf numFmtId="167" fontId="3" fillId="0" borderId="0" applyAlignment="1" pivotButton="0" quotePrefix="0" xfId="0">
      <alignment horizontal="right" vertical="center" wrapText="1"/>
    </xf>
    <xf numFmtId="167" fontId="6" fillId="6" borderId="6" applyAlignment="1" pivotButton="0" quotePrefix="0" xfId="0">
      <alignment vertical="center"/>
    </xf>
    <xf numFmtId="168" fontId="7" fillId="5" borderId="6" applyAlignment="1" pivotButton="0" quotePrefix="0" xfId="0">
      <alignment vertical="center"/>
    </xf>
    <xf numFmtId="167" fontId="7" fillId="6" borderId="6" applyAlignment="1" pivotButton="0" quotePrefix="0" xfId="0">
      <alignment vertical="center"/>
    </xf>
    <xf numFmtId="167" fontId="6" fillId="0" borderId="0" applyAlignment="1" pivotButton="0" quotePrefix="0" xfId="0">
      <alignment vertical="center"/>
    </xf>
    <xf numFmtId="166" fontId="3" fillId="0" borderId="0" applyAlignment="1" pivotButton="0" quotePrefix="0" xfId="0">
      <alignment vertical="center"/>
    </xf>
    <xf numFmtId="166" fontId="3" fillId="0" borderId="4" applyAlignment="1" pivotButton="0" quotePrefix="0" xfId="0">
      <alignment vertical="center"/>
    </xf>
    <xf numFmtId="166" fontId="3" fillId="0" borderId="5" applyAlignment="1" pivotButton="0" quotePrefix="0" xfId="0">
      <alignment vertical="center"/>
    </xf>
    <xf numFmtId="166" fontId="7" fillId="0" borderId="4" applyAlignment="1" pivotButton="0" quotePrefix="0" xfId="0">
      <alignment vertical="center"/>
    </xf>
    <xf numFmtId="166" fontId="7" fillId="0" borderId="5" applyAlignment="1" pivotButton="0" quotePrefix="0" xfId="0">
      <alignment vertical="center"/>
    </xf>
    <xf numFmtId="167" fontId="7" fillId="0" borderId="7" applyAlignment="1" pivotButton="0" quotePrefix="0" xfId="0">
      <alignment vertical="center" wrapText="1"/>
    </xf>
    <xf numFmtId="167" fontId="6" fillId="3" borderId="6" applyAlignment="1" pivotButton="0" quotePrefix="0" xfId="0">
      <alignment vertical="center" wrapText="1"/>
    </xf>
    <xf numFmtId="167" fontId="6" fillId="0" borderId="0" applyAlignment="1" pivotButton="0" quotePrefix="0" xfId="0">
      <alignment vertical="center" wrapText="1"/>
    </xf>
  </cellXfs>
  <cellStyles count="3">
    <cellStyle name="Normal" xfId="0" builtinId="0"/>
    <cellStyle name="Comma" xfId="1" builtinId="3"/>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96266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16" workbookViewId="0">
      <selection activeCell="J16" sqref="J16"/>
    </sheetView>
  </sheetViews>
  <sheetFormatPr baseColWidth="8" defaultRowHeight="14.5"/>
  <cols>
    <col width="8.7265625" customWidth="1" style="57" min="1" max="6"/>
    <col width="13.90625" customWidth="1" style="57" min="7" max="7"/>
    <col width="5.6328125" customWidth="1" style="57" min="8" max="8"/>
    <col width="71.6328125" customWidth="1" style="57" min="9" max="9"/>
    <col width="7.1796875" customWidth="1" style="57" min="10" max="10"/>
    <col width="8.7265625" customWidth="1" style="57" min="11" max="16384"/>
  </cols>
  <sheetData>
    <row r="1" ht="31" customHeight="1">
      <c r="A1" s="56" t="inlineStr">
        <is>
          <t>FINANCIAL MODELING USING EXCEL</t>
        </is>
      </c>
    </row>
    <row r="2"/>
    <row r="3" ht="23.5" customHeight="1">
      <c r="A3" s="58" t="inlineStr">
        <is>
          <t>Relative Valuation Model Using Excel</t>
        </is>
      </c>
    </row>
    <row r="4"/>
    <row r="5">
      <c r="A5" s="59" t="inlineStr">
        <is>
          <t>Comparable-Based Valuation of Novartis India</t>
        </is>
      </c>
    </row>
    <row r="6"/>
    <row r="7" ht="23.5" customHeight="1">
      <c r="A7" s="60" t="inlineStr">
        <is>
          <t>Workbook Purpose</t>
        </is>
      </c>
    </row>
    <row r="8"/>
    <row r="9" ht="132.5" customHeight="1">
      <c r="A9" s="68" t="inlineStr">
        <is>
          <t>This workbook is a company-specific relative valuation model developed for Novartis India, using Excel as the primary analytical platform. The objective of the workbook is to estimate the firm’s valuation by applying market-based valuation multiples derived from comparable companies and benchmarking Novartis India against its peer group.
The workbook is structured to help learners understand how financial statement data is transformed into valuation multiples, how peer comparisons are performed systematically, and how valuation conclusions are drawn using disciplined assumptions. Emphasis is placed on consistency, comparability, and interpretation, reflecting the approach followed in equity research, investment analysis, and corporate finance practice.</t>
        </is>
      </c>
    </row>
    <row r="10"/>
    <row r="11"/>
    <row r="12"/>
    <row r="13"/>
    <row r="14"/>
    <row r="15" ht="23.5" customHeight="1">
      <c r="A15" s="61" t="inlineStr">
        <is>
          <t>Key Concepts Covered</t>
        </is>
      </c>
      <c r="B15" s="62" t="n"/>
      <c r="C15" s="62" t="n"/>
      <c r="D15" s="62" t="n"/>
      <c r="E15" s="62" t="n"/>
      <c r="F15" s="62" t="n"/>
      <c r="G15" s="62" t="n"/>
      <c r="I15" s="63" t="inlineStr">
        <is>
          <t>Excel Functions Used</t>
        </is>
      </c>
    </row>
    <row r="16" ht="335.5" customHeight="1">
      <c r="A16" s="69" t="inlineStr">
        <is>
          <t>Principles of relative (comparable) valuation
Equity value versus enterprise value framework
Selection and justification of peer companies
Earnings-based multiples (e.g., P/E)
Value-based multiples (e.g., EV/EBITDA, EV/Sales)
Normalization of financial metrics for comparability
Benchmarking and peer-relative positioning
Interpretation of valuation premiums and discounts
Limitations of relative valuation methods</t>
        </is>
      </c>
      <c r="I16" s="64" t="inlineStr">
        <is>
          <t>The following Excel functions are used accurately and completely in this workbook to support data extraction, multiple computation, peer comparison, and valuation output:
SUM – Aggregates financial statement values and valuation components
AVERAGE – Computes peer-group average valuation multiples
MEDIAN – Determines central tendency of peer multiples to mitigate outlier impact
MAX / MIN – Identifies valuation ranges across comparable firms
IF – Applies conditional logic for data selection and valuation rules
IFERROR – Handles missing data and division-by-zero cases gracefully
ROUND – Ensures numerical clarity and reporting precision
ABS – Maintains disciplined sign conventions in calculations
INDEX – Retrieves company- and peer-specific financial data dynamically
MATCH – Locates relevant rows and columns within structured datasets
INDEX–MATCH – Enables flexible and auditable referencing across peer tables
SUMPRODUCT – Computes weighted average multiples where required
PERCENTAGE CALCULATIONS – Used to estimate valuation premiums and discounts
HYPERLINK – Facilitates structured navigation across model sections and analysis outputs
The workbook emphasizes denominator consistency, peer comparability, transparent assumptions, and audit-friendly valuation logic.</t>
        </is>
      </c>
    </row>
    <row r="17">
      <c r="A17" s="65" t="n"/>
    </row>
    <row r="18">
      <c r="A18" s="65" t="n"/>
      <c r="E18" s="70"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66" t="n"/>
    </row>
    <row r="19">
      <c r="A19" s="65" t="n"/>
    </row>
    <row r="20">
      <c r="A20" s="65" t="n"/>
      <c r="I20" s="66" t="n"/>
    </row>
    <row r="21">
      <c r="A21" s="65" t="n"/>
    </row>
    <row r="22">
      <c r="A22" s="65" t="n"/>
      <c r="I22" s="66" t="n"/>
    </row>
    <row r="23">
      <c r="A23" s="65" t="n"/>
    </row>
    <row r="24">
      <c r="A24" s="65" t="n"/>
      <c r="I24" s="66" t="n"/>
    </row>
    <row r="25">
      <c r="A25" s="65" t="n"/>
    </row>
    <row r="26">
      <c r="A26" s="65" t="n"/>
      <c r="I26" s="66" t="n"/>
    </row>
    <row r="27">
      <c r="A27" s="65" t="n"/>
    </row>
    <row r="28">
      <c r="A28" s="65" t="n"/>
      <c r="I28" s="66" t="n"/>
    </row>
    <row r="29">
      <c r="A29" s="65" t="n"/>
    </row>
    <row r="30">
      <c r="A30" s="65" t="n"/>
      <c r="I30" s="66" t="n"/>
    </row>
    <row r="31">
      <c r="A31" s="65" t="n"/>
      <c r="I31" s="65" t="n"/>
    </row>
    <row r="32">
      <c r="A32" s="65" t="n"/>
      <c r="I32" s="67" t="n"/>
    </row>
    <row r="33">
      <c r="A33" s="65"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46"/>
  <sheetViews>
    <sheetView topLeftCell="A14" zoomScaleNormal="100" workbookViewId="0">
      <selection activeCell="C9" sqref="C9"/>
    </sheetView>
  </sheetViews>
  <sheetFormatPr baseColWidth="8" defaultColWidth="8.90625" defaultRowHeight="13"/>
  <cols>
    <col width="78.90625" bestFit="1" customWidth="1" style="31" min="1" max="1"/>
    <col width="18.1796875" bestFit="1" customWidth="1" style="31" min="2" max="2"/>
    <col width="12.90625" bestFit="1" customWidth="1" style="31" min="3" max="3"/>
    <col width="15.08984375" bestFit="1" customWidth="1" style="31" min="4" max="4"/>
    <col width="9" customWidth="1" style="31" min="5" max="5"/>
    <col width="9.6328125" bestFit="1" customWidth="1" style="31" min="6" max="6"/>
    <col width="8.54296875" bestFit="1" customWidth="1" style="31" min="7" max="7"/>
    <col width="10.453125" bestFit="1" customWidth="1" style="31" min="8" max="8"/>
    <col width="8.90625" bestFit="1" customWidth="1" style="31" min="9" max="9"/>
    <col width="10.54296875" bestFit="1" customWidth="1" style="31" min="10" max="10"/>
    <col width="14.08984375" bestFit="1" customWidth="1" style="31" min="11" max="11"/>
    <col width="11.36328125" bestFit="1" customWidth="1" style="31" min="12" max="12"/>
    <col width="10.81640625" bestFit="1" customWidth="1" style="31" min="13" max="13"/>
    <col width="8.1796875" customWidth="1" style="31" min="14" max="14"/>
    <col width="10" customWidth="1" style="31" min="15" max="15"/>
    <col width="8.90625" customWidth="1" style="31" min="16" max="16"/>
    <col width="8.90625" customWidth="1" style="31" min="17" max="17"/>
    <col width="9.453125" customWidth="1" style="31" min="18" max="18"/>
    <col width="8.90625" customWidth="1" style="31" min="19" max="16384"/>
  </cols>
  <sheetData>
    <row r="1" ht="14.4" customHeight="1">
      <c r="A1" s="30" t="inlineStr">
        <is>
          <t xml:space="preserve">COMPARABLE COMPANY VALUATION </t>
        </is>
      </c>
      <c r="B1" s="1" t="n"/>
    </row>
    <row r="2">
      <c r="A2" s="32" t="n"/>
    </row>
    <row r="3" ht="13.5" customHeight="1" thickBot="1">
      <c r="A3" s="2" t="n"/>
      <c r="B3" s="72" t="inlineStr">
        <is>
          <t>Market Variables</t>
        </is>
      </c>
      <c r="C3" s="74" t="n"/>
      <c r="D3" s="74" t="n"/>
      <c r="F3" s="71" t="inlineStr">
        <is>
          <t>Financial  Variabeles</t>
        </is>
      </c>
      <c r="L3" s="71" t="inlineStr">
        <is>
          <t xml:space="preserve">Valuation Multiples </t>
        </is>
      </c>
    </row>
    <row r="4">
      <c r="L4" s="73" t="inlineStr">
        <is>
          <t>Enterprise Value Multiple</t>
        </is>
      </c>
      <c r="M4" s="75" t="n"/>
      <c r="N4" s="73" t="inlineStr">
        <is>
          <t>Market Price Multiple</t>
        </is>
      </c>
      <c r="O4" s="75" t="n"/>
    </row>
    <row r="5" ht="26" customHeight="1">
      <c r="A5" s="3" t="inlineStr">
        <is>
          <t xml:space="preserve">Company </t>
        </is>
      </c>
      <c r="B5" s="4" t="inlineStr">
        <is>
          <t>Share Price</t>
        </is>
      </c>
      <c r="C5" s="4" t="inlineStr">
        <is>
          <t>Equity Value (cr)</t>
        </is>
      </c>
      <c r="D5" s="4" t="inlineStr">
        <is>
          <t>Enterprise Value (Cr)</t>
        </is>
      </c>
      <c r="E5" s="50" t="inlineStr">
        <is>
          <t>EPS</t>
        </is>
      </c>
      <c r="F5" s="4" t="inlineStr">
        <is>
          <t>Revenue (Cr)</t>
        </is>
      </c>
      <c r="G5" s="4" t="inlineStr">
        <is>
          <t>EBITDA (Cr)</t>
        </is>
      </c>
      <c r="H5" s="4" t="inlineStr">
        <is>
          <t>Net Income (Cr)</t>
        </is>
      </c>
      <c r="I5" s="4" t="inlineStr">
        <is>
          <t>Debt (Cr)</t>
        </is>
      </c>
      <c r="J5" s="4" t="inlineStr">
        <is>
          <t xml:space="preserve">Book Value </t>
        </is>
      </c>
      <c r="K5" s="4" t="n"/>
      <c r="L5" s="37" t="inlineStr">
        <is>
          <t>EV/ Revenue</t>
        </is>
      </c>
      <c r="M5" s="37" t="inlineStr">
        <is>
          <t>EV/EBITDA</t>
        </is>
      </c>
      <c r="N5" s="37" t="inlineStr">
        <is>
          <t>P/BV</t>
        </is>
      </c>
      <c r="O5" s="37" t="inlineStr">
        <is>
          <t>P/E</t>
        </is>
      </c>
      <c r="P5" s="5" t="n"/>
    </row>
    <row r="6">
      <c r="A6" s="31" t="inlineStr">
        <is>
          <t>Sun Pharmaceutical Industries</t>
        </is>
      </c>
      <c r="B6" s="34" t="n">
        <v>1656</v>
      </c>
      <c r="C6" s="51" t="n">
        <v>397330</v>
      </c>
      <c r="D6" s="34" t="n">
        <v>426430.49</v>
      </c>
      <c r="E6" s="31" t="n">
        <v>43.23</v>
      </c>
      <c r="F6" s="34" t="n">
        <v>52578.44</v>
      </c>
      <c r="G6" s="51" t="n">
        <v>153390</v>
      </c>
      <c r="H6" s="34" t="n">
        <v>10980.1</v>
      </c>
      <c r="I6" s="51" t="n">
        <v>23620</v>
      </c>
      <c r="J6" s="31" t="n">
        <v>288.06</v>
      </c>
      <c r="K6" s="36" t="n"/>
      <c r="L6" s="76">
        <f>+D6/F6</f>
        <v/>
      </c>
      <c r="M6" s="76">
        <f>+D6/G6</f>
        <v/>
      </c>
      <c r="N6" s="76">
        <f>B6/J6</f>
        <v/>
      </c>
      <c r="O6" s="76">
        <f>B6/E6</f>
        <v/>
      </c>
      <c r="P6" s="77" t="n"/>
    </row>
    <row r="7">
      <c r="A7" s="31" t="inlineStr">
        <is>
          <t>Divi’s Laboratories</t>
        </is>
      </c>
      <c r="B7" s="34" t="n">
        <v>6009</v>
      </c>
      <c r="C7" s="51" t="n">
        <v>159520</v>
      </c>
      <c r="D7" s="51" t="n">
        <v>156000</v>
      </c>
      <c r="E7" s="31" t="n">
        <v>82.53</v>
      </c>
      <c r="F7" s="51" t="n">
        <v>93600</v>
      </c>
      <c r="G7" s="51" t="n">
        <v>30650</v>
      </c>
      <c r="H7" s="51" t="n">
        <v>21910</v>
      </c>
      <c r="I7" s="51" t="n">
        <v>40</v>
      </c>
      <c r="J7" s="31" t="n">
        <v>563.87</v>
      </c>
      <c r="K7" s="36" t="n"/>
      <c r="L7" s="76">
        <f>+D7/F7</f>
        <v/>
      </c>
      <c r="M7" s="76">
        <f>+D7/G7</f>
        <v/>
      </c>
      <c r="N7" s="76">
        <f>B7/J7</f>
        <v/>
      </c>
      <c r="O7" s="76">
        <f>B7/E7</f>
        <v/>
      </c>
    </row>
    <row r="8">
      <c r="A8" s="31" t="inlineStr">
        <is>
          <t>Cipla</t>
        </is>
      </c>
      <c r="B8" s="34" t="n">
        <v>1575.8</v>
      </c>
      <c r="C8" s="51" t="n">
        <v>127300</v>
      </c>
      <c r="D8" s="51" t="n">
        <v>116153</v>
      </c>
      <c r="E8" s="31" t="n">
        <v>66.73</v>
      </c>
      <c r="F8" s="51" t="n">
        <v>27548</v>
      </c>
      <c r="G8" s="51" t="n">
        <v>8136.17</v>
      </c>
      <c r="H8" s="51" t="n">
        <v>5273</v>
      </c>
      <c r="I8" s="51" t="n">
        <v>4390</v>
      </c>
      <c r="J8" s="31" t="n">
        <v>386.24</v>
      </c>
      <c r="K8" s="36" t="n"/>
      <c r="L8" s="76">
        <f>+D8/F8</f>
        <v/>
      </c>
      <c r="M8" s="76">
        <f>+D8/G8</f>
        <v/>
      </c>
      <c r="N8" s="76">
        <f>B8/J8</f>
        <v/>
      </c>
      <c r="O8" s="76">
        <f>B8/E8</f>
        <v/>
      </c>
    </row>
    <row r="9">
      <c r="A9" s="31" t="inlineStr">
        <is>
          <t>Torrent Pharmaceuticals</t>
        </is>
      </c>
      <c r="B9" s="34" t="n">
        <v>3629.2</v>
      </c>
      <c r="C9" s="51" t="n">
        <v>122900</v>
      </c>
      <c r="D9" s="51" t="n">
        <v>111915</v>
      </c>
      <c r="E9" s="31" t="n">
        <v>55.79</v>
      </c>
      <c r="F9" s="51" t="n">
        <v>11835</v>
      </c>
      <c r="G9" s="34" t="n">
        <v>3178.6</v>
      </c>
      <c r="H9" s="51" t="n">
        <v>2002</v>
      </c>
      <c r="I9" s="34" t="n">
        <v>3202.32</v>
      </c>
      <c r="J9" s="31" t="n">
        <v>224.3</v>
      </c>
      <c r="K9" s="36" t="n"/>
      <c r="L9" s="76">
        <f>+D9/F9</f>
        <v/>
      </c>
      <c r="M9" s="76">
        <f>+D9/G9</f>
        <v/>
      </c>
      <c r="N9" s="76">
        <f>B9/J9</f>
        <v/>
      </c>
      <c r="O9" s="76">
        <f>B9/E9</f>
        <v/>
      </c>
    </row>
    <row r="10">
      <c r="A10" s="31" t="inlineStr">
        <is>
          <t>Dr. Reddy’s Laboratories</t>
        </is>
      </c>
      <c r="B10" s="34" t="n">
        <v>1321.7</v>
      </c>
      <c r="C10" s="51" t="n">
        <v>110394</v>
      </c>
      <c r="D10" s="51" t="n">
        <v>110000</v>
      </c>
      <c r="E10" s="31" t="n">
        <v>68.11</v>
      </c>
      <c r="F10" s="51" t="n">
        <v>33520</v>
      </c>
      <c r="G10" s="51" t="n">
        <v>89400</v>
      </c>
      <c r="H10" s="51" t="n">
        <v>5680</v>
      </c>
      <c r="I10" s="51" t="n">
        <v>48640</v>
      </c>
      <c r="J10" s="31" t="n">
        <v>420.56</v>
      </c>
      <c r="K10" s="36" t="n"/>
      <c r="L10" s="76">
        <f>+D10/F10</f>
        <v/>
      </c>
      <c r="M10" s="76">
        <f>+D10/G10</f>
        <v/>
      </c>
      <c r="N10" s="76">
        <f>B10/J10</f>
        <v/>
      </c>
      <c r="O10" s="76">
        <f>B10/E10</f>
        <v/>
      </c>
    </row>
    <row r="11">
      <c r="A11" s="31" t="inlineStr">
        <is>
          <t>Indoco Remedies</t>
        </is>
      </c>
      <c r="B11" s="31" t="n">
        <v>301.95</v>
      </c>
      <c r="C11" s="51" t="n">
        <v>2785</v>
      </c>
      <c r="D11" s="51" t="n">
        <v>3758</v>
      </c>
      <c r="E11" s="31" t="n">
        <v>-14.57</v>
      </c>
      <c r="F11" s="34" t="n">
        <v>1536.67</v>
      </c>
      <c r="G11" s="31" t="n">
        <v>80.55</v>
      </c>
      <c r="H11" s="6" t="n">
        <v>-112</v>
      </c>
      <c r="I11" s="31" t="n">
        <v>994</v>
      </c>
      <c r="J11" s="31" t="n">
        <v>113.36</v>
      </c>
      <c r="K11" s="36" t="n"/>
      <c r="L11" s="76">
        <f>+D11/F11</f>
        <v/>
      </c>
      <c r="M11" s="76">
        <f>+D11/G11</f>
        <v/>
      </c>
      <c r="N11" s="76">
        <f>B11/J11</f>
        <v/>
      </c>
      <c r="O11" s="76">
        <f>B11/E11</f>
        <v/>
      </c>
    </row>
    <row r="12">
      <c r="A12" s="31" t="inlineStr">
        <is>
          <t>Senores Pharma</t>
        </is>
      </c>
      <c r="B12" s="31" t="n">
        <v>712.3</v>
      </c>
      <c r="C12" s="51" t="n">
        <v>3280</v>
      </c>
      <c r="D12" s="34" t="n">
        <v>2371.76</v>
      </c>
      <c r="E12" s="31" t="n">
        <v>12.9</v>
      </c>
      <c r="F12" s="31" t="n">
        <v>410.4</v>
      </c>
      <c r="G12" s="31" t="n">
        <v>101.8</v>
      </c>
      <c r="H12" s="31" t="n">
        <v>58.6</v>
      </c>
      <c r="I12" s="31" t="n">
        <v>315</v>
      </c>
      <c r="J12" s="31" t="n">
        <v>174.25</v>
      </c>
      <c r="K12" s="36" t="n"/>
      <c r="L12" s="76">
        <f>+D12/F12</f>
        <v/>
      </c>
      <c r="M12" s="76">
        <f>+D12/G12</f>
        <v/>
      </c>
      <c r="N12" s="76">
        <f>B12/J12</f>
        <v/>
      </c>
      <c r="O12" s="76">
        <f>B12/E12</f>
        <v/>
      </c>
    </row>
    <row r="13">
      <c r="A13" s="31" t="inlineStr">
        <is>
          <t>SMS Pharma</t>
        </is>
      </c>
      <c r="B13" s="31" t="n">
        <v>292.14</v>
      </c>
      <c r="C13" s="34" t="n">
        <v>2735.95</v>
      </c>
      <c r="D13" s="34" t="n">
        <v>2154.8</v>
      </c>
      <c r="E13" s="31" t="n">
        <v>8.16</v>
      </c>
      <c r="F13" s="34" t="n">
        <v>7827.48</v>
      </c>
      <c r="G13" s="31" t="n">
        <v>145.22</v>
      </c>
      <c r="H13" s="31" t="n">
        <v>691.36</v>
      </c>
      <c r="I13" s="34" t="n">
        <v>3107.56</v>
      </c>
      <c r="J13" s="31" t="n">
        <v>68.3</v>
      </c>
      <c r="K13" s="36" t="n"/>
      <c r="L13" s="76">
        <f>+D13/F13</f>
        <v/>
      </c>
      <c r="M13" s="76">
        <f>+D13/G13</f>
        <v/>
      </c>
      <c r="N13" s="76">
        <f>B13/J13</f>
        <v/>
      </c>
      <c r="O13" s="76">
        <f>B13/E13</f>
        <v/>
      </c>
    </row>
    <row r="14">
      <c r="A14" s="31" t="inlineStr">
        <is>
          <t>Amrutanjan Health</t>
        </is>
      </c>
      <c r="B14" s="31" t="n">
        <v>765</v>
      </c>
      <c r="C14" s="51" t="n">
        <v>2212</v>
      </c>
      <c r="D14" s="34" t="n">
        <v>1781.17</v>
      </c>
      <c r="E14" s="31" t="n">
        <v>17.58</v>
      </c>
      <c r="F14" s="31" t="n">
        <v>452</v>
      </c>
      <c r="G14" s="31" t="n">
        <v>75.88</v>
      </c>
      <c r="H14" s="31" t="n">
        <v>54.53</v>
      </c>
      <c r="I14" s="31" t="n">
        <v>2.08</v>
      </c>
      <c r="J14" s="31" t="n">
        <v>112.38</v>
      </c>
      <c r="K14" s="36" t="n"/>
      <c r="L14" s="76">
        <f>+D14/F14</f>
        <v/>
      </c>
      <c r="M14" s="76">
        <f>+D14/G14</f>
        <v/>
      </c>
      <c r="N14" s="76">
        <f>B14/J14</f>
        <v/>
      </c>
      <c r="O14" s="76">
        <f>B14/E14</f>
        <v/>
      </c>
    </row>
    <row r="15">
      <c r="A15" s="31" t="inlineStr">
        <is>
          <t>Biocon</t>
        </is>
      </c>
      <c r="B15" s="31" t="n">
        <v>369</v>
      </c>
      <c r="C15" s="51" t="n">
        <v>49361</v>
      </c>
      <c r="D15" s="51" t="n">
        <v>43586</v>
      </c>
      <c r="E15" s="31" t="n">
        <v>8.44</v>
      </c>
      <c r="F15" s="51" t="n">
        <v>15262</v>
      </c>
      <c r="G15" s="51" t="n">
        <v>3166</v>
      </c>
      <c r="H15" s="51" t="n">
        <v>1013</v>
      </c>
      <c r="I15" s="51" t="n">
        <v>18362</v>
      </c>
      <c r="J15" s="31" t="n">
        <v>180</v>
      </c>
      <c r="K15" s="36" t="n"/>
      <c r="L15" s="76">
        <f>+D15/F15</f>
        <v/>
      </c>
      <c r="M15" s="76">
        <f>+D15/G15</f>
        <v/>
      </c>
      <c r="N15" s="76">
        <f>B15/J15</f>
        <v/>
      </c>
      <c r="O15" s="76">
        <f>B15/E15</f>
        <v/>
      </c>
      <c r="P15" s="77" t="n"/>
    </row>
    <row r="16">
      <c r="A16" s="31" t="inlineStr">
        <is>
          <t>Aurobindo Pharma</t>
        </is>
      </c>
      <c r="B16" s="34" t="n">
        <v>1119.2</v>
      </c>
      <c r="C16" s="51" t="n">
        <v>69000</v>
      </c>
      <c r="D16" s="51" t="n">
        <v>63842</v>
      </c>
      <c r="E16" s="31" t="n">
        <v>60.3</v>
      </c>
      <c r="F16" s="34" t="n">
        <v>31723.7</v>
      </c>
      <c r="G16" s="51" t="n">
        <v>6605</v>
      </c>
      <c r="H16" s="34" t="n">
        <v>3485.8</v>
      </c>
      <c r="I16" s="51" t="n">
        <v>7942</v>
      </c>
      <c r="J16" s="31" t="n">
        <v>562.2</v>
      </c>
      <c r="K16" s="8" t="n"/>
      <c r="L16" s="76">
        <f>+D16/F16</f>
        <v/>
      </c>
      <c r="M16" s="76">
        <f>+D16/G16</f>
        <v/>
      </c>
      <c r="N16" s="76">
        <f>B16/J16</f>
        <v/>
      </c>
      <c r="O16" s="76">
        <f>B16/E16</f>
        <v/>
      </c>
      <c r="P16" s="77" t="n"/>
    </row>
    <row r="17">
      <c r="B17" s="78" t="n"/>
      <c r="C17" s="78" t="n"/>
      <c r="D17" s="78" t="n"/>
      <c r="F17" s="78" t="n"/>
      <c r="G17" s="78" t="n"/>
      <c r="H17" s="78" t="n"/>
      <c r="I17" s="8" t="n"/>
      <c r="J17" s="8" t="n"/>
      <c r="K17" s="8" t="n"/>
      <c r="L17" s="79" t="n"/>
      <c r="M17" s="79" t="n"/>
      <c r="N17" s="79" t="n"/>
      <c r="O17" s="79" t="n"/>
      <c r="P17" s="77" t="n"/>
    </row>
    <row r="18">
      <c r="A18" s="55" t="inlineStr">
        <is>
          <t>Novartis India</t>
        </is>
      </c>
      <c r="B18" s="78" t="n"/>
      <c r="C18" s="78" t="n"/>
      <c r="D18" s="78" t="n"/>
      <c r="F18" s="78" t="n"/>
      <c r="G18" s="78" t="n"/>
      <c r="H18" s="78" t="n"/>
      <c r="I18" s="8" t="n"/>
      <c r="J18" s="8" t="n"/>
      <c r="K18" s="38" t="inlineStr">
        <is>
          <t>High</t>
        </is>
      </c>
      <c r="L18" s="80">
        <f t="array" ref="L18">MAX(IF(L6:L16&gt;0,L6:L16))</f>
        <v/>
      </c>
      <c r="M18" s="80">
        <f t="array" ref="M18">MAX(IF(M6:M16&gt;0,M6:M16))</f>
        <v/>
      </c>
      <c r="N18" s="80">
        <f t="array" ref="N18">MAX(IF(N6:N16&gt;0,N6:N16))</f>
        <v/>
      </c>
      <c r="O18" s="80">
        <f t="array" ref="O18">MAX(IF(O6:O16&gt;0,O6:O16))</f>
        <v/>
      </c>
      <c r="P18" s="77" t="n"/>
    </row>
    <row r="19">
      <c r="A19" s="31" t="inlineStr">
        <is>
          <t>PBDITA (cr)</t>
        </is>
      </c>
      <c r="B19" s="34" t="n">
        <v>1304.2</v>
      </c>
      <c r="C19" s="33" t="n"/>
      <c r="D19" s="33" t="n"/>
      <c r="E19" s="33" t="n"/>
      <c r="F19" s="33" t="n"/>
      <c r="H19" s="78" t="n"/>
      <c r="I19" s="8" t="n"/>
      <c r="J19" s="8" t="n"/>
      <c r="K19" s="81" t="inlineStr">
        <is>
          <t>Upper Quartile</t>
        </is>
      </c>
      <c r="L19" s="80">
        <f t="array" ref="L19">_xlfn.QUARTILE.INC(IF(L6:L16&gt;0,L6:L16),3)</f>
        <v/>
      </c>
      <c r="M19" s="80">
        <f t="array" ref="M19">_xlfn.QUARTILE.INC(IF(M6:M16&gt;0,M6:M16),3)</f>
        <v/>
      </c>
      <c r="N19" s="80">
        <f t="array" ref="N19">_xlfn.QUARTILE.INC(IF(N6:N16&gt;0,N6:N16),3)</f>
        <v/>
      </c>
      <c r="O19" s="80">
        <f t="array" ref="O19">_xlfn.QUARTILE.INC(IF(O6:O16&gt;0,O6:O16),3)</f>
        <v/>
      </c>
      <c r="P19" s="77" t="n"/>
    </row>
    <row r="20">
      <c r="A20" s="31" t="inlineStr">
        <is>
          <t>Total income (cr)</t>
        </is>
      </c>
      <c r="B20" s="34" t="n">
        <v>3982.3</v>
      </c>
      <c r="H20" s="78" t="n"/>
      <c r="I20" s="8" t="n"/>
      <c r="J20" s="8" t="n"/>
      <c r="K20" s="38" t="inlineStr">
        <is>
          <t>Average</t>
        </is>
      </c>
      <c r="L20" s="82">
        <f>AVERAGEIF(L6:L16,"&gt;0")</f>
        <v/>
      </c>
      <c r="M20" s="82">
        <f>AVERAGEIF(M6:M16,"&gt;0")</f>
        <v/>
      </c>
      <c r="N20" s="82">
        <f>AVERAGEIF(N6:N16,"&gt;0")</f>
        <v/>
      </c>
      <c r="O20" s="82">
        <f>AVERAGEIF(O6:O16,"&gt;0")</f>
        <v/>
      </c>
      <c r="P20" s="77" t="n"/>
    </row>
    <row r="21">
      <c r="A21" s="31" t="inlineStr">
        <is>
          <t>PAT net of P&amp;E (cr)</t>
        </is>
      </c>
      <c r="B21" s="34" t="n">
        <v>1228.4</v>
      </c>
      <c r="H21" s="78" t="n"/>
      <c r="I21" s="8" t="n"/>
      <c r="J21" s="8" t="n"/>
      <c r="K21" s="38" t="inlineStr">
        <is>
          <t>Median</t>
        </is>
      </c>
      <c r="L21" s="82">
        <f t="array" ref="L21">MEDIAN(IF(L6:L16&gt;0,L6:L16))</f>
        <v/>
      </c>
      <c r="M21" s="82">
        <f t="array" ref="M21">MEDIAN(IF(M6:M16&gt;0,M6:M16))</f>
        <v/>
      </c>
      <c r="N21" s="82">
        <f t="array" ref="N21">MEDIAN(IF(N6:N16&gt;0,N6:N16))</f>
        <v/>
      </c>
      <c r="O21" s="82">
        <f t="array" ref="O21">MEDIAN(IF(O6:O16&gt;0,O6:O16))</f>
        <v/>
      </c>
      <c r="P21" s="77" t="n"/>
    </row>
    <row r="22">
      <c r="A22" s="31" t="inlineStr">
        <is>
          <t>Long term borrowings excl current portion</t>
        </is>
      </c>
      <c r="B22" s="31" t="n">
        <v>0</v>
      </c>
      <c r="H22" s="78" t="n"/>
      <c r="I22" s="8" t="n"/>
      <c r="J22" s="8" t="n"/>
      <c r="K22" s="81" t="inlineStr">
        <is>
          <t>Lower Quartile</t>
        </is>
      </c>
      <c r="L22" s="80">
        <f t="array" ref="L22">_xlfn.QUARTILE.INC(IF(L6:L16&gt;0,L6:L16),1)</f>
        <v/>
      </c>
      <c r="M22" s="80">
        <f t="array" ref="M22">_xlfn.QUARTILE.INC(IF(M6:M16&gt;0,M6:M16),1)</f>
        <v/>
      </c>
      <c r="N22" s="80">
        <f t="array" ref="N22">_xlfn.QUARTILE.INC(IF(N6:N16&gt;0,N6:N16),1)</f>
        <v/>
      </c>
      <c r="O22" s="80">
        <f t="array" ref="O22">_xlfn.QUARTILE.INC(IF(O6:O16&gt;0,O6:O16),1)</f>
        <v/>
      </c>
      <c r="P22" s="77" t="n"/>
    </row>
    <row r="23">
      <c r="A23" s="31" t="inlineStr">
        <is>
          <t>Adjusted Closing Price</t>
        </is>
      </c>
      <c r="B23" s="34" t="n">
        <v>1140</v>
      </c>
      <c r="H23" s="78" t="n"/>
      <c r="I23" s="8" t="n"/>
      <c r="J23" s="8" t="n"/>
      <c r="K23" s="38" t="inlineStr">
        <is>
          <t xml:space="preserve">Low </t>
        </is>
      </c>
      <c r="L23" s="80">
        <f t="array" ref="L23">MIN(IF(L6:L16&gt;0,L6:L16))</f>
        <v/>
      </c>
      <c r="M23" s="80">
        <f t="array" ref="M23">MIN(IF(M6:M16&gt;0,M6:M16))</f>
        <v/>
      </c>
      <c r="N23" s="80">
        <f t="array" ref="N23">MIN(IF(N6:N16&gt;0,N6:N16))</f>
        <v/>
      </c>
      <c r="O23" s="80">
        <f t="array" ref="O23">MIN(IF(O6:O16&gt;0,O6:O16))</f>
        <v/>
      </c>
      <c r="P23" s="77" t="n"/>
    </row>
    <row r="24">
      <c r="A24" s="31" t="inlineStr">
        <is>
          <t>Market Capitalisation (cr)</t>
        </is>
      </c>
      <c r="B24" s="51" t="n">
        <v>22037</v>
      </c>
      <c r="H24" s="78" t="n"/>
      <c r="I24" s="8" t="n"/>
      <c r="J24" s="8" t="n"/>
      <c r="K24" s="27" t="n"/>
      <c r="L24" s="83" t="n"/>
      <c r="M24" s="83" t="n"/>
      <c r="N24" s="83" t="n"/>
      <c r="O24" s="83" t="n"/>
      <c r="P24" s="77" t="n"/>
    </row>
    <row r="25">
      <c r="A25" s="31" t="inlineStr">
        <is>
          <t>BV per Share</t>
        </is>
      </c>
      <c r="B25" s="31" t="n">
        <v>317.92</v>
      </c>
      <c r="H25" s="78" t="n"/>
      <c r="I25" s="8" t="n"/>
      <c r="J25" s="8" t="n"/>
      <c r="K25" s="27" t="n"/>
      <c r="L25" s="83" t="n"/>
      <c r="M25" s="83" t="n"/>
      <c r="N25" s="83" t="n"/>
      <c r="O25" s="83" t="n"/>
      <c r="P25" s="77" t="n"/>
    </row>
    <row r="26">
      <c r="A26" s="15" t="inlineStr">
        <is>
          <t>EPS</t>
        </is>
      </c>
      <c r="B26" s="31" t="n">
        <v>41.63</v>
      </c>
      <c r="H26" s="84" t="n"/>
      <c r="K26" s="3" t="n"/>
    </row>
    <row r="27">
      <c r="A27" s="15" t="inlineStr">
        <is>
          <t>No. of Shares Outstanding (cr)</t>
        </is>
      </c>
      <c r="B27" s="31" t="n">
        <v>2.47</v>
      </c>
      <c r="C27" s="17" t="n"/>
      <c r="D27" s="17" t="n"/>
      <c r="E27" s="17" t="n"/>
      <c r="F27" s="11" t="n"/>
      <c r="G27" s="18" t="n"/>
      <c r="I27" s="18" t="n"/>
      <c r="J27" s="18" t="n"/>
      <c r="K27" s="18" t="n"/>
      <c r="L27" s="85" t="n"/>
      <c r="M27" s="85" t="n"/>
      <c r="N27" s="86" t="n"/>
    </row>
    <row r="28">
      <c r="A28" s="21" t="n"/>
      <c r="B28" s="21" t="n"/>
      <c r="C28" s="21" t="n"/>
      <c r="D28" s="21" t="n"/>
      <c r="E28" s="22" t="n"/>
      <c r="F28" s="12" t="n"/>
      <c r="G28" s="23" t="n"/>
      <c r="H28" s="21" t="n"/>
      <c r="I28" s="24" t="n"/>
      <c r="J28" s="24" t="n"/>
      <c r="K28" s="24" t="n"/>
      <c r="L28" s="87" t="n"/>
      <c r="M28" s="87" t="n"/>
      <c r="N28" s="87" t="n"/>
      <c r="O28" s="88" t="n"/>
      <c r="P28" s="27" t="n"/>
      <c r="Q28" s="27" t="n"/>
    </row>
    <row r="29">
      <c r="E29" s="28" t="n"/>
      <c r="F29" s="13" t="n"/>
    </row>
    <row r="30">
      <c r="A30" s="27" t="inlineStr">
        <is>
          <t xml:space="preserve">Enterprise Value and Equity Value of Target Company Based on Enterprise Value Multiples  </t>
        </is>
      </c>
      <c r="B30" s="89" t="n"/>
      <c r="C30" s="89" t="n"/>
      <c r="D30" s="22" t="n"/>
      <c r="E30" s="28" t="n"/>
      <c r="F30" s="13" t="n"/>
    </row>
    <row r="31" ht="26" customHeight="1">
      <c r="A31" s="41" t="n"/>
      <c r="B31" s="42" t="inlineStr">
        <is>
          <t>EV/Revenue - Multiple</t>
        </is>
      </c>
      <c r="C31" s="42" t="inlineStr">
        <is>
          <t>EV/EBITDA</t>
        </is>
      </c>
      <c r="D31" s="28" t="n"/>
      <c r="E31" s="28" t="n"/>
      <c r="F31" s="13" t="n"/>
    </row>
    <row r="32">
      <c r="A32" s="43" t="inlineStr">
        <is>
          <t>Target Company Revenue, EBITDA</t>
        </is>
      </c>
      <c r="B32" s="44">
        <f>B20</f>
        <v/>
      </c>
      <c r="C32" s="44">
        <f>B19</f>
        <v/>
      </c>
      <c r="D32" s="51" t="n"/>
      <c r="E32" s="51" t="n"/>
      <c r="F32" s="51" t="n"/>
      <c r="H32" s="51" t="n"/>
      <c r="I32" s="51" t="n"/>
      <c r="J32" s="51" t="n"/>
      <c r="K32" s="51" t="n"/>
    </row>
    <row r="33">
      <c r="A33" s="43" t="inlineStr">
        <is>
          <t xml:space="preserve">Peer Median </t>
        </is>
      </c>
      <c r="B33" s="90">
        <f>L21</f>
        <v/>
      </c>
      <c r="C33" s="90">
        <f>M21</f>
        <v/>
      </c>
      <c r="D33" s="28" t="n"/>
      <c r="E33" s="28" t="n"/>
      <c r="F33" s="13" t="n"/>
    </row>
    <row r="34">
      <c r="A34" s="46" t="inlineStr">
        <is>
          <t xml:space="preserve">Implied Enterprise Value </t>
        </is>
      </c>
      <c r="B34" s="44">
        <f>B32*B33</f>
        <v/>
      </c>
      <c r="C34" s="44">
        <f>C32*C33</f>
        <v/>
      </c>
      <c r="D34" s="28" t="n"/>
      <c r="E34" s="28" t="n"/>
      <c r="F34" s="13" t="n"/>
    </row>
    <row r="35">
      <c r="A35" s="47" t="inlineStr">
        <is>
          <t>Target Company Debt</t>
        </is>
      </c>
      <c r="B35" s="46">
        <f>B22</f>
        <v/>
      </c>
      <c r="C35" s="46">
        <f>B22</f>
        <v/>
      </c>
      <c r="D35" s="28" t="n"/>
      <c r="E35" s="28" t="n"/>
      <c r="F35" s="13" t="n"/>
    </row>
    <row r="36">
      <c r="A36" s="46" t="inlineStr">
        <is>
          <t xml:space="preserve">Implied Equity Value </t>
        </is>
      </c>
      <c r="B36" s="44">
        <f>B34-B35</f>
        <v/>
      </c>
      <c r="C36" s="44">
        <f>C34-C35</f>
        <v/>
      </c>
      <c r="D36" s="28" t="n"/>
      <c r="E36" s="28" t="n"/>
      <c r="F36" s="13" t="n"/>
    </row>
    <row r="37">
      <c r="A37" s="28" t="n"/>
      <c r="D37" s="28" t="n"/>
      <c r="E37" s="28" t="n"/>
      <c r="F37" s="13" t="n"/>
    </row>
    <row r="38">
      <c r="A38" s="13" t="n"/>
      <c r="B38" s="28" t="n"/>
      <c r="C38" s="28" t="n"/>
      <c r="D38" s="28" t="n"/>
      <c r="E38" s="28" t="n"/>
      <c r="F38" s="13" t="n"/>
    </row>
    <row r="39">
      <c r="A39" s="27" t="inlineStr">
        <is>
          <t xml:space="preserve">Enterprise Value and Equity Value  Based on Market Price Multiples  </t>
        </is>
      </c>
      <c r="B39" s="91" t="n"/>
      <c r="C39" s="91" t="n"/>
      <c r="D39" s="28" t="n"/>
      <c r="E39" s="28" t="n"/>
      <c r="F39" s="13" t="n"/>
    </row>
    <row r="40">
      <c r="A40" s="35" t="n"/>
      <c r="B40" s="49" t="inlineStr">
        <is>
          <t xml:space="preserve">P/BV Multple </t>
        </is>
      </c>
      <c r="C40" s="49" t="inlineStr">
        <is>
          <t>P/E Multiple</t>
        </is>
      </c>
      <c r="D40" s="28" t="n"/>
      <c r="E40" s="28" t="n"/>
      <c r="F40" s="13" t="n"/>
    </row>
    <row r="41">
      <c r="A41" s="43" t="inlineStr">
        <is>
          <t xml:space="preserve">Target Company Book Value, EPS </t>
        </is>
      </c>
      <c r="B41" s="46">
        <f>B25</f>
        <v/>
      </c>
      <c r="C41" s="46">
        <f>B26</f>
        <v/>
      </c>
      <c r="D41" s="28" t="n"/>
      <c r="E41" s="28" t="n"/>
      <c r="F41" s="13" t="n"/>
    </row>
    <row r="42">
      <c r="A42" s="41" t="inlineStr">
        <is>
          <t>Peer Median P/BV and P/E Multiple</t>
        </is>
      </c>
      <c r="B42" s="90">
        <f>N21</f>
        <v/>
      </c>
      <c r="C42" s="90">
        <f>O21</f>
        <v/>
      </c>
      <c r="D42" s="28" t="n"/>
      <c r="E42" s="28" t="n"/>
      <c r="F42" s="13" t="n"/>
    </row>
    <row r="43">
      <c r="A43" s="42" t="inlineStr">
        <is>
          <t>Implied Equity Value  per share</t>
        </is>
      </c>
      <c r="B43" s="48">
        <f>B41*B42</f>
        <v/>
      </c>
      <c r="C43" s="48">
        <f>C41*C42</f>
        <v/>
      </c>
      <c r="D43" s="28" t="n"/>
      <c r="E43" s="28" t="n"/>
      <c r="F43" s="13" t="n"/>
    </row>
    <row r="44">
      <c r="A44" s="47" t="inlineStr">
        <is>
          <t>Equity Value (total in Rs. Millons</t>
        </is>
      </c>
      <c r="B44" s="48">
        <f>B43*B27</f>
        <v/>
      </c>
      <c r="C44" s="48">
        <f>C43*B27</f>
        <v/>
      </c>
      <c r="D44" s="28" t="n"/>
      <c r="E44" s="28" t="n"/>
      <c r="F44" s="13" t="n"/>
    </row>
    <row r="45">
      <c r="A45" s="47" t="inlineStr">
        <is>
          <t>Net Debt</t>
        </is>
      </c>
      <c r="B45" s="46">
        <f>B22</f>
        <v/>
      </c>
      <c r="C45" s="46">
        <f>B22</f>
        <v/>
      </c>
      <c r="D45" s="28" t="n"/>
    </row>
    <row r="46">
      <c r="A46" s="42" t="inlineStr">
        <is>
          <t xml:space="preserve">Implied Enterprise Value </t>
        </is>
      </c>
      <c r="B46" s="48">
        <f>B44+B45</f>
        <v/>
      </c>
      <c r="C46" s="48">
        <f>C44+C45</f>
        <v/>
      </c>
      <c r="D46" s="28"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B3:D3"/>
    <mergeCell ref="F3:J3"/>
    <mergeCell ref="L4:M4"/>
    <mergeCell ref="L3:O3"/>
    <mergeCell ref="N4:O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Diya Agarwal</dc:creator>
  <dcterms:created xmlns:dcterms="http://purl.org/dc/terms/" xmlns:xsi="http://www.w3.org/2001/XMLSchema-instance" xsi:type="dcterms:W3CDTF">2025-09-21T18:15:27Z</dcterms:created>
  <dcterms:modified xmlns:dcterms="http://purl.org/dc/terms/" xmlns:xsi="http://www.w3.org/2001/XMLSchema-instance" xsi:type="dcterms:W3CDTF">2026-01-02T05:49:52Z</dcterms:modified>
  <cp:lastModifiedBy>srikanthyadav444p</cp:lastModifiedBy>
</cp:coreProperties>
</file>