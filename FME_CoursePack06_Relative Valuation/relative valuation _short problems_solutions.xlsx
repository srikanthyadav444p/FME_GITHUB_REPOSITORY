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Pharma" sheetId="3" state="visible" r:id="rId3"/>
    <sheet xmlns:r="http://schemas.openxmlformats.org/officeDocument/2006/relationships" name="P2_IT" sheetId="4" state="visible" r:id="rId4"/>
    <sheet xmlns:r="http://schemas.openxmlformats.org/officeDocument/2006/relationships" name="P3_Auto" sheetId="5" state="visible" r:id="rId5"/>
    <sheet xmlns:r="http://schemas.openxmlformats.org/officeDocument/2006/relationships" name="P4_FMCG" sheetId="6" state="visible" r:id="rId6"/>
    <sheet xmlns:r="http://schemas.openxmlformats.org/officeDocument/2006/relationships" name="P5_Renew" sheetId="7" state="visible" r:id="rId7"/>
  </sheets>
  <definedNames/>
  <calcPr calcId="191029" fullCalcOnLoad="1"/>
</workbook>
</file>

<file path=xl/styles.xml><?xml version="1.0" encoding="utf-8"?>
<styleSheet xmlns="http://schemas.openxmlformats.org/spreadsheetml/2006/main">
  <numFmts count="2">
    <numFmt numFmtId="164" formatCode="\₹\ ###,##0.00"/>
    <numFmt numFmtId="165" formatCode="###,##0.00"/>
  </numFmts>
  <fonts count="13">
    <font>
      <name val="Calibri"/>
      <family val="2"/>
      <color theme="1"/>
      <sz val="11"/>
      <scheme val="minor"/>
    </font>
    <font>
      <name val="Calibri"/>
      <family val="2"/>
      <b val="1"/>
      <color rgb="FFFFFFFF"/>
      <sz val="16"/>
    </font>
    <font>
      <name val="Calibri"/>
      <family val="2"/>
      <b val="1"/>
      <sz val="11"/>
    </font>
    <font>
      <name val="Calibri"/>
      <family val="2"/>
      <b val="1"/>
      <color rgb="FF0000EE"/>
      <sz val="11"/>
      <u val="single"/>
    </font>
    <font>
      <name val="Calibri"/>
      <family val="2"/>
      <b val="1"/>
      <sz val="16"/>
    </font>
    <font>
      <name val="Calibri"/>
      <family val="2"/>
      <b val="1"/>
      <sz val="13"/>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1">
    <fill>
      <patternFill/>
    </fill>
    <fill>
      <patternFill patternType="gray125"/>
    </fill>
    <fill>
      <patternFill patternType="solid">
        <fgColor rgb="FF1F4E79"/>
      </patternFill>
    </fill>
    <fill>
      <patternFill patternType="solid">
        <fgColor rgb="FFF2F2F2"/>
      </patternFill>
    </fill>
    <fill>
      <patternFill patternType="solid">
        <fgColor rgb="FFD9E1F2"/>
      </patternFill>
    </fill>
    <fill>
      <patternFill patternType="solid">
        <fgColor rgb="FFE2EFDA"/>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2">
    <xf numFmtId="0" fontId="6" fillId="0" borderId="0"/>
    <xf numFmtId="0" fontId="6" fillId="0" borderId="0"/>
  </cellStyleXfs>
  <cellXfs count="37">
    <xf numFmtId="0" fontId="0"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0" fillId="4" borderId="1" applyAlignment="1" pivotButton="0" quotePrefix="0" xfId="0">
      <alignment horizontal="left" vertical="center" wrapText="1"/>
    </xf>
    <xf numFmtId="164" fontId="0" fillId="4" borderId="1" applyAlignment="1" pivotButton="0" quotePrefix="0" xfId="0">
      <alignment horizontal="right" vertical="center"/>
    </xf>
    <xf numFmtId="2" fontId="0" fillId="4" borderId="1" applyAlignment="1" pivotButton="0" quotePrefix="0" xfId="0">
      <alignment horizontal="right" vertical="center"/>
    </xf>
    <xf numFmtId="165" fontId="0" fillId="4" borderId="1" applyAlignment="1" pivotButton="0" quotePrefix="0" xfId="0">
      <alignment horizontal="right" vertical="center"/>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0" fillId="5" borderId="1" applyAlignment="1" pivotButton="0" quotePrefix="0" xfId="0">
      <alignment horizontal="left" vertical="center" wrapText="1"/>
    </xf>
    <xf numFmtId="164" fontId="0" fillId="5" borderId="1" applyAlignment="1" pivotButton="0" quotePrefix="0" xfId="0">
      <alignment horizontal="right" vertical="center"/>
    </xf>
    <xf numFmtId="2" fontId="0" fillId="5" borderId="1" applyAlignment="1" pivotButton="0" quotePrefix="0" xfId="0">
      <alignment horizontal="right" vertical="center"/>
    </xf>
    <xf numFmtId="164" fontId="2" fillId="5" borderId="1" applyAlignment="1" pivotButton="0" quotePrefix="0" xfId="0">
      <alignment horizontal="right" vertical="center"/>
    </xf>
    <xf numFmtId="0" fontId="8" fillId="0" borderId="0" applyAlignment="1" pivotButton="0" quotePrefix="0" xfId="1">
      <alignment vertical="center"/>
    </xf>
    <xf numFmtId="0" fontId="6" fillId="0" borderId="0" pivotButton="0" quotePrefix="0" xfId="1"/>
    <xf numFmtId="0" fontId="9" fillId="0" borderId="0" applyAlignment="1" pivotButton="0" quotePrefix="0" xfId="1">
      <alignment vertical="center"/>
    </xf>
    <xf numFmtId="0" fontId="10" fillId="0" borderId="0" pivotButton="0" quotePrefix="0" xfId="1"/>
    <xf numFmtId="0" fontId="11" fillId="0" borderId="0" applyAlignment="1" pivotButton="0" quotePrefix="0" xfId="1">
      <alignment vertical="center"/>
    </xf>
    <xf numFmtId="0" fontId="12" fillId="7" borderId="0" applyAlignment="1" pivotButton="0" quotePrefix="0" xfId="1">
      <alignment vertical="center"/>
    </xf>
    <xf numFmtId="0" fontId="6" fillId="7" borderId="0" pivotButton="0" quotePrefix="0" xfId="1"/>
    <xf numFmtId="0" fontId="12" fillId="8" borderId="0" applyAlignment="1" pivotButton="0" quotePrefix="0" xfId="1">
      <alignment vertical="center"/>
    </xf>
    <xf numFmtId="0" fontId="7" fillId="9" borderId="0" applyAlignment="1" pivotButton="0" quotePrefix="0" xfId="1">
      <alignment vertical="top" wrapText="1"/>
    </xf>
    <xf numFmtId="0" fontId="6" fillId="0" borderId="0" applyAlignment="1" pivotButton="0" quotePrefix="0" xfId="1">
      <alignment horizontal="left" vertical="center" indent="1"/>
    </xf>
    <xf numFmtId="0" fontId="7" fillId="0" borderId="0" pivotButton="0" quotePrefix="0" xfId="1"/>
    <xf numFmtId="0" fontId="7" fillId="0" borderId="0" applyAlignment="1" pivotButton="0" quotePrefix="0" xfId="1">
      <alignment horizontal="left" vertical="center" indent="1"/>
    </xf>
    <xf numFmtId="0" fontId="6" fillId="6" borderId="0" applyAlignment="1" pivotButton="0" quotePrefix="0" xfId="1">
      <alignment horizontal="justify" vertical="justify" wrapText="1"/>
    </xf>
    <xf numFmtId="0" fontId="6" fillId="6" borderId="0" applyAlignment="1" pivotButton="0" quotePrefix="0" xfId="1">
      <alignment horizontal="left" vertical="top" wrapText="1"/>
    </xf>
    <xf numFmtId="0" fontId="6" fillId="10" borderId="0" applyAlignment="1" pivotButton="0" quotePrefix="0" xfId="1">
      <alignment horizontal="justify" vertical="justify" wrapText="1"/>
    </xf>
    <xf numFmtId="0" fontId="3" fillId="3" borderId="1" applyAlignment="1" pivotButton="0" quotePrefix="0" xfId="0">
      <alignment horizontal="left" vertical="center" wrapText="1"/>
    </xf>
    <xf numFmtId="0" fontId="0" fillId="0" borderId="0" pivotButton="0" quotePrefix="0" xfId="0"/>
    <xf numFmtId="0" fontId="1" fillId="2" borderId="0" applyAlignment="1" pivotButton="0" quotePrefix="0" xfId="0">
      <alignment horizontal="center" vertical="center" wrapText="1"/>
    </xf>
    <xf numFmtId="0" fontId="2" fillId="4" borderId="1" applyAlignment="1" pivotButton="0" quotePrefix="0" xfId="0">
      <alignment horizontal="left" vertical="center" wrapText="1"/>
    </xf>
    <xf numFmtId="0" fontId="5" fillId="5" borderId="1" applyAlignment="1" pivotButton="0" quotePrefix="0" xfId="0">
      <alignment horizontal="left" vertical="center" wrapText="1"/>
    </xf>
    <xf numFmtId="0" fontId="4" fillId="0" borderId="0" applyAlignment="1" pivotButton="0" quotePrefix="0" xfId="0">
      <alignment horizontal="left" vertical="center" wrapText="1"/>
    </xf>
    <xf numFmtId="0" fontId="2" fillId="0" borderId="0" pivotButton="0" quotePrefix="0" xfId="0"/>
    <xf numFmtId="0" fontId="0" fillId="0" borderId="4" pivotButton="0" quotePrefix="0" xfId="0"/>
    <xf numFmtId="0" fontId="0" fillId="0" borderId="5"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6266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J16" sqref="J16"/>
    </sheetView>
  </sheetViews>
  <sheetFormatPr baseColWidth="8" defaultRowHeight="14.5"/>
  <cols>
    <col width="8.7265625" customWidth="1" style="14" min="1" max="6"/>
    <col width="13.90625" customWidth="1" style="14" min="7" max="7"/>
    <col width="5.6328125" customWidth="1" style="14" min="8" max="8"/>
    <col width="71.6328125" customWidth="1" style="14" min="9" max="9"/>
    <col width="7.1796875" customWidth="1" style="14" min="10" max="10"/>
    <col width="8.7265625" customWidth="1" style="14" min="11" max="16384"/>
  </cols>
  <sheetData>
    <row r="1" ht="31" customHeight="1" s="29">
      <c r="A1" s="13" t="inlineStr">
        <is>
          <t>FINANCIAL MODELING USING EXCEL</t>
        </is>
      </c>
    </row>
    <row r="2"/>
    <row r="3" ht="23.5" customHeight="1" s="29">
      <c r="A3" s="15" t="inlineStr">
        <is>
          <t>Relative Valuation – Short Problem Workbook Using Excel</t>
        </is>
      </c>
    </row>
    <row r="4"/>
    <row r="5">
      <c r="A5" s="16" t="inlineStr">
        <is>
          <t>Comparable-Based Valuation and Multiple Interpretation</t>
        </is>
      </c>
    </row>
    <row r="6"/>
    <row r="7" ht="23.5" customHeight="1" s="29">
      <c r="A7" s="17" t="inlineStr">
        <is>
          <t>Workbook Purpose</t>
        </is>
      </c>
    </row>
    <row r="8"/>
    <row r="9" ht="132.5" customHeight="1" s="29">
      <c r="A9" s="25" t="inlineStr">
        <is>
          <t>This workbook is designed to develop practical proficiency in relative valuation through a curated set of short, focused valuation problems. Each problem requires learners to apply valuation multiples to real-world style financial data and interpret valuation outcomes in a concise, decision-oriented manner.
The workbook emphasizes valuation judgment rather than mechanical modeling. By working through multiple short problems, learners understand how valuation multiples are constructed, how peer comparisons are performed, and how valuation conclusions vary with assumptions, peer selection, and denominator definitions. Excel is used as a transparent analytical tool to ensure clarity, consistency, and auditability across all valuation exercises.</t>
        </is>
      </c>
    </row>
    <row r="10"/>
    <row r="11"/>
    <row r="12"/>
    <row r="13"/>
    <row r="14"/>
    <row r="15" ht="23.5" customHeight="1" s="29">
      <c r="A15" s="18" t="inlineStr">
        <is>
          <t>Key Concepts Covered</t>
        </is>
      </c>
      <c r="B15" s="19" t="n"/>
      <c r="C15" s="19" t="n"/>
      <c r="D15" s="19" t="n"/>
      <c r="E15" s="19" t="n"/>
      <c r="F15" s="19" t="n"/>
      <c r="G15" s="19" t="n"/>
      <c r="I15" s="20" t="inlineStr">
        <is>
          <t>Excel Functions Used</t>
        </is>
      </c>
    </row>
    <row r="16" ht="311.5" customHeight="1" s="29">
      <c r="A16" s="26" t="inlineStr">
        <is>
          <t>Fundamentals of relative valuation
Enterprise value vs equity value distinction
Price multiples vs value multiples
Earnings-based, book-based, and revenue-based multiples
Peer group selection and comparability assessment
Normalization of financial metrics for valuation
Interpretation of overvaluation and undervaluation signals
Limitations and appropriate use of multiples in practice</t>
        </is>
      </c>
      <c r="I16" s="21" t="inlineStr">
        <is>
          <t>The following Excel functions are used accurately and completely across the short relative valuation problems in this workbook:
SUM – Aggregates financial statement figures and valuation components
AVERAGE – Computes peer-group average multiples
MEDIAN – Identifies central tendency in peer multiples to reduce outlier bias
MAX / MIN – Evaluates valuation ranges and dispersion
IF – Applies conditional logic in multiple selection and valuation rules
IFERROR – Handles division-by-zero and missing data gracefully
ROUND – Ensures valuation outputs are presented with numerical clarity
ABS – Maintains sign discipline in valuation calculations
INDEX – Retrieves company-specific financial data dynamically
MATCH – Locates peer or metric positions within structured tables
INDEX–MATCH – Enables flexible, auditable referencing across datasets
SUMPRODUCT – Computes weighted average multiples where required
PERCENTAGE CALCULATIONS – Used for premium/discount analysis
HYPERLINK – Facilitates navigation across multiple short problems
The workbook places strong emphasis on denominator consistency, peer comparability, and disciplined interpretation of valuation multiples.</t>
        </is>
      </c>
    </row>
    <row r="17">
      <c r="A17" s="22" t="n"/>
    </row>
    <row r="18">
      <c r="A18" s="22" t="n"/>
      <c r="E18" s="27"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3" t="n"/>
    </row>
    <row r="19">
      <c r="A19" s="22" t="n"/>
    </row>
    <row r="20">
      <c r="A20" s="22" t="n"/>
      <c r="I20" s="23" t="n"/>
    </row>
    <row r="21">
      <c r="A21" s="22" t="n"/>
    </row>
    <row r="22">
      <c r="A22" s="22" t="n"/>
      <c r="I22" s="23" t="n"/>
    </row>
    <row r="23">
      <c r="A23" s="22" t="n"/>
    </row>
    <row r="24">
      <c r="A24" s="22" t="n"/>
      <c r="I24" s="23" t="n"/>
    </row>
    <row r="25">
      <c r="A25" s="22" t="n"/>
    </row>
    <row r="26">
      <c r="A26" s="22" t="n"/>
      <c r="I26" s="23" t="n"/>
    </row>
    <row r="27">
      <c r="A27" s="22" t="n"/>
    </row>
    <row r="28">
      <c r="A28" s="22" t="n"/>
      <c r="I28" s="23" t="n"/>
    </row>
    <row r="29">
      <c r="A29" s="22" t="n"/>
    </row>
    <row r="30">
      <c r="A30" s="22" t="n"/>
      <c r="I30" s="23" t="n"/>
    </row>
    <row r="31">
      <c r="A31" s="22" t="n"/>
      <c r="I31" s="22" t="n"/>
    </row>
    <row r="32">
      <c r="A32" s="22" t="n"/>
      <c r="I32" s="24" t="n"/>
    </row>
    <row r="33">
      <c r="A33" s="22"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3" sqref="A13:F13"/>
    </sheetView>
  </sheetViews>
  <sheetFormatPr baseColWidth="8" defaultRowHeight="14.5"/>
  <cols>
    <col width="46" customWidth="1" style="29" min="1" max="1"/>
    <col width="20" customWidth="1" style="29" min="2" max="6"/>
  </cols>
  <sheetData>
    <row r="1" ht="28" customHeight="1" s="29">
      <c r="A1" s="30" t="inlineStr">
        <is>
          <t>Relative Valuation Models (Exact Template Steps) – Index</t>
        </is>
      </c>
    </row>
    <row r="2"/>
    <row r="3">
      <c r="A3" s="34" t="inlineStr">
        <is>
          <t>Click a link to open the problem sheet:</t>
        </is>
      </c>
    </row>
    <row r="4"/>
    <row r="5">
      <c r="A5" s="28" t="inlineStr">
        <is>
          <t>1. Problem 1 – Pharmaceutical Industry</t>
        </is>
      </c>
      <c r="B5" s="35" t="n"/>
      <c r="C5" s="35" t="n"/>
      <c r="D5" s="35" t="n"/>
      <c r="E5" s="35" t="n"/>
      <c r="F5" s="36" t="n"/>
    </row>
    <row r="6"/>
    <row r="7">
      <c r="A7" s="28" t="inlineStr">
        <is>
          <t>2. Problem 2 – IT Services Industry</t>
        </is>
      </c>
      <c r="B7" s="35" t="n"/>
      <c r="C7" s="35" t="n"/>
      <c r="D7" s="35" t="n"/>
      <c r="E7" s="35" t="n"/>
      <c r="F7" s="36" t="n"/>
    </row>
    <row r="8"/>
    <row r="9">
      <c r="A9" s="28" t="inlineStr">
        <is>
          <t>3. Problem 3 – Automobile Manufacturing</t>
        </is>
      </c>
      <c r="B9" s="35" t="n"/>
      <c r="C9" s="35" t="n"/>
      <c r="D9" s="35" t="n"/>
      <c r="E9" s="35" t="n"/>
      <c r="F9" s="36" t="n"/>
    </row>
    <row r="10"/>
    <row r="11">
      <c r="A11" s="28" t="inlineStr">
        <is>
          <t>4. Problem 4 – FMCG Industry</t>
        </is>
      </c>
      <c r="B11" s="35" t="n"/>
      <c r="C11" s="35" t="n"/>
      <c r="D11" s="35" t="n"/>
      <c r="E11" s="35" t="n"/>
      <c r="F11" s="36" t="n"/>
    </row>
    <row r="12"/>
    <row r="13">
      <c r="A13" s="28" t="inlineStr">
        <is>
          <t>5. Problem 5 – Renewable Energy</t>
        </is>
      </c>
      <c r="B13" s="35" t="n"/>
      <c r="C13" s="35" t="n"/>
      <c r="D13" s="35" t="n"/>
      <c r="E13" s="35" t="n"/>
      <c r="F13" s="3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F11"/>
    <mergeCell ref="A13:F13"/>
    <mergeCell ref="A1:F1"/>
    <mergeCell ref="A5:F5"/>
    <mergeCell ref="A9:F9"/>
    <mergeCell ref="A7:F7"/>
  </mergeCells>
  <hyperlinks>
    <hyperlink ref="A5" location="P1_Pharma!A1" display="1. Problem 1 – Pharmaceutical Industry"/>
    <hyperlink ref="A7" location="P2_IT!A1" display="2. Problem 2 – IT Services Industry"/>
    <hyperlink ref="A9" location="P3_Auto!A1" display="3. Problem 3 – Automobile Manufacturing"/>
    <hyperlink ref="A11" location="P4_FMCG!A1" display="4. Problem 4 – FMCG Industry"/>
    <hyperlink ref="A13" location="P5_Renew!A1" display="5. Problem 5 – Renewable Energy"/>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zoomScaleNormal="100" workbookViewId="0">
      <pane ySplit="4" topLeftCell="A18" activePane="bottomLeft" state="frozen"/>
      <selection pane="bottomLeft" activeCell="I31" sqref="I31"/>
    </sheetView>
  </sheetViews>
  <sheetFormatPr baseColWidth="8" defaultRowHeight="14.5"/>
  <cols>
    <col width="44.08984375" customWidth="1" style="29" min="1" max="1"/>
    <col width="16.6328125" customWidth="1" style="29" min="2" max="2"/>
    <col width="20" customWidth="1" style="29" min="3" max="6"/>
  </cols>
  <sheetData>
    <row r="1">
      <c r="A1" s="33" t="inlineStr">
        <is>
          <t>Problem 1 – Pharmaceutical Industry</t>
        </is>
      </c>
    </row>
    <row r="2">
      <c r="A2" s="2" t="inlineStr">
        <is>
          <t>← Back to Index</t>
        </is>
      </c>
    </row>
    <row r="3"/>
    <row r="4">
      <c r="A4" s="34" t="inlineStr">
        <is>
          <t>Given Inputs (₹ Crore; Shares in Crore)</t>
        </is>
      </c>
    </row>
    <row r="5">
      <c r="A5" s="3" t="inlineStr">
        <is>
          <t>Revenue</t>
        </is>
      </c>
      <c r="B5" s="4" t="n">
        <v>8900</v>
      </c>
      <c r="D5" s="31" t="inlineStr">
        <is>
          <t>Derived Per-Share Inputs</t>
        </is>
      </c>
      <c r="E5" s="35" t="n"/>
      <c r="F5" s="36" t="n"/>
    </row>
    <row r="6" ht="29" customHeight="1" s="29">
      <c r="A6" s="3" t="inlineStr">
        <is>
          <t>EBITDA</t>
        </is>
      </c>
      <c r="B6" s="4" t="n">
        <v>1250</v>
      </c>
      <c r="D6" s="3" t="inlineStr">
        <is>
          <t>Book Value per Share (BVPS)</t>
        </is>
      </c>
      <c r="E6" s="4">
        <f>B8/B10</f>
        <v/>
      </c>
    </row>
    <row r="7" ht="29" customHeight="1" s="29">
      <c r="A7" s="3" t="inlineStr">
        <is>
          <t>Net Profit</t>
        </is>
      </c>
      <c r="B7" s="4" t="n">
        <v>820</v>
      </c>
      <c r="D7" s="3" t="inlineStr">
        <is>
          <t>Earnings per Share (EPS)</t>
        </is>
      </c>
      <c r="E7" s="4">
        <f>B7/B10</f>
        <v/>
      </c>
    </row>
    <row r="8">
      <c r="A8" s="3" t="inlineStr">
        <is>
          <t>Book Value of Equity</t>
        </is>
      </c>
      <c r="B8" s="4" t="n">
        <v>4600</v>
      </c>
      <c r="D8" s="34" t="inlineStr">
        <is>
          <t>Peer Median Multiples</t>
        </is>
      </c>
    </row>
    <row r="9">
      <c r="A9" s="3" t="inlineStr">
        <is>
          <t>Net Debt (negative = Net Cash)</t>
        </is>
      </c>
      <c r="B9" s="4" t="n">
        <v>900</v>
      </c>
      <c r="D9" s="3" t="inlineStr">
        <is>
          <t>EV/Revenue</t>
        </is>
      </c>
      <c r="E9" s="5" t="n">
        <v>5.9</v>
      </c>
    </row>
    <row r="10">
      <c r="A10" s="3" t="inlineStr">
        <is>
          <t>Shares Outstanding (Crore)</t>
        </is>
      </c>
      <c r="B10" s="6" t="n">
        <v>62</v>
      </c>
      <c r="D10" s="3" t="inlineStr">
        <is>
          <t>EV/EBITDA</t>
        </is>
      </c>
      <c r="E10" s="5" t="n">
        <v>17.8</v>
      </c>
    </row>
    <row r="11">
      <c r="D11" s="3" t="inlineStr">
        <is>
          <t>P/BV</t>
        </is>
      </c>
      <c r="E11" s="5" t="n">
        <v>4.5</v>
      </c>
    </row>
    <row r="12">
      <c r="D12" s="3" t="inlineStr">
        <is>
          <t>P/E</t>
        </is>
      </c>
      <c r="E12" s="5" t="n">
        <v>26.5</v>
      </c>
    </row>
    <row r="13"/>
    <row r="14" ht="17" customHeight="1" s="29">
      <c r="A14" s="32" t="inlineStr">
        <is>
          <t>Enterprise Value and Equity Value of Target Company Based on Enterprise Value Multiples</t>
        </is>
      </c>
      <c r="B14" s="35" t="n"/>
      <c r="C14" s="35" t="n"/>
      <c r="D14" s="35" t="n"/>
      <c r="E14" s="35" t="n"/>
      <c r="F14" s="36" t="n"/>
    </row>
    <row r="15" ht="29" customHeight="1" s="29">
      <c r="A15" s="7" t="n"/>
      <c r="B15" s="8" t="n"/>
      <c r="C15" s="8" t="n"/>
      <c r="D15" s="8" t="inlineStr">
        <is>
          <t>EV/Revenue -
Multiple</t>
        </is>
      </c>
      <c r="E15" s="8" t="inlineStr">
        <is>
          <t>EV/EBITDA</t>
        </is>
      </c>
      <c r="F15" s="8" t="n"/>
    </row>
    <row r="16">
      <c r="A16" s="9" t="inlineStr">
        <is>
          <t>Target Company Revenue, EBITDA</t>
        </is>
      </c>
      <c r="D16" s="10">
        <f>B5</f>
        <v/>
      </c>
      <c r="E16" s="10">
        <f>B6</f>
        <v/>
      </c>
    </row>
    <row r="17">
      <c r="A17" s="9" t="inlineStr">
        <is>
          <t>Peer Median</t>
        </is>
      </c>
      <c r="D17" s="11">
        <f>E9</f>
        <v/>
      </c>
      <c r="E17" s="11">
        <f>E10</f>
        <v/>
      </c>
    </row>
    <row r="18">
      <c r="A18" s="9" t="inlineStr">
        <is>
          <t>Implied Enterprise Value</t>
        </is>
      </c>
      <c r="D18" s="12">
        <f>D16*D17</f>
        <v/>
      </c>
      <c r="E18" s="12">
        <f>E16*E17</f>
        <v/>
      </c>
    </row>
    <row r="19">
      <c r="A19" s="9" t="inlineStr">
        <is>
          <t>Target Company Debt</t>
        </is>
      </c>
      <c r="D19" s="10">
        <f>B9</f>
        <v/>
      </c>
      <c r="E19" s="10">
        <f>B9</f>
        <v/>
      </c>
    </row>
    <row r="20">
      <c r="A20" s="9" t="inlineStr">
        <is>
          <t>Implied Equity Value</t>
        </is>
      </c>
      <c r="D20" s="12">
        <f>D18-D19</f>
        <v/>
      </c>
      <c r="E20" s="12">
        <f>E18-E19</f>
        <v/>
      </c>
    </row>
    <row r="21">
      <c r="A21" s="9" t="inlineStr">
        <is>
          <t>Intrinsic Value Per share</t>
        </is>
      </c>
      <c r="D21" s="12">
        <f>D20/$B$10</f>
        <v/>
      </c>
      <c r="E21" s="12">
        <f>E20/$B$10</f>
        <v/>
      </c>
    </row>
    <row r="22" ht="17" customHeight="1" s="29">
      <c r="A22" s="32" t="inlineStr">
        <is>
          <t>Enterprise Value and Equity Value  Based on Market Price Multiples</t>
        </is>
      </c>
      <c r="B22" s="35" t="n"/>
      <c r="C22" s="35" t="n"/>
      <c r="D22" s="35" t="n"/>
      <c r="E22" s="35" t="n"/>
      <c r="F22" s="36" t="n"/>
    </row>
    <row r="23">
      <c r="A23" s="7" t="n"/>
      <c r="B23" s="8" t="n"/>
      <c r="C23" s="8" t="n"/>
      <c r="D23" s="8" t="inlineStr">
        <is>
          <t>P/BV Multiple</t>
        </is>
      </c>
      <c r="E23" s="8" t="inlineStr">
        <is>
          <t>P/E Multiple</t>
        </is>
      </c>
      <c r="F23" s="8" t="n"/>
    </row>
    <row r="24">
      <c r="A24" s="9" t="inlineStr">
        <is>
          <t>Target Company Book Value, EPS</t>
        </is>
      </c>
      <c r="D24" s="10">
        <f>E6</f>
        <v/>
      </c>
      <c r="E24" s="10">
        <f>E7</f>
        <v/>
      </c>
    </row>
    <row r="25">
      <c r="A25" s="7" t="inlineStr">
        <is>
          <t>Peer Median P/BV and P/E Multiple</t>
        </is>
      </c>
      <c r="D25" s="11">
        <f>E11</f>
        <v/>
      </c>
      <c r="E25" s="11">
        <f>E12</f>
        <v/>
      </c>
    </row>
    <row r="26">
      <c r="A26" s="7" t="inlineStr">
        <is>
          <t>Implied Equity Value  per share</t>
        </is>
      </c>
      <c r="D26" s="12">
        <f>D24*D25</f>
        <v/>
      </c>
      <c r="E26" s="12">
        <f>E24*E25</f>
        <v/>
      </c>
    </row>
    <row r="27">
      <c r="A27" s="9" t="inlineStr">
        <is>
          <t>Total Equity Value (total in Rs. Cr)</t>
        </is>
      </c>
      <c r="D27" s="10">
        <f>D26*$B$10</f>
        <v/>
      </c>
      <c r="E27" s="10">
        <f>E26*$B$10</f>
        <v/>
      </c>
    </row>
    <row r="28">
      <c r="A28" s="9" t="inlineStr">
        <is>
          <t>Net Debt</t>
        </is>
      </c>
      <c r="D28" s="10">
        <f>B9</f>
        <v/>
      </c>
      <c r="E28" s="10">
        <f>B9</f>
        <v/>
      </c>
    </row>
    <row r="29">
      <c r="A29" s="7" t="inlineStr">
        <is>
          <t>Implied Enterprise Value</t>
        </is>
      </c>
      <c r="D29" s="12">
        <f>D27+D28</f>
        <v/>
      </c>
      <c r="E29" s="12">
        <f>E27+E28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D5:F5"/>
    <mergeCell ref="A14:F14"/>
    <mergeCell ref="A1:F1"/>
    <mergeCell ref="A22:F22"/>
    <mergeCell ref="A4:F4"/>
    <mergeCell ref="D8:F8"/>
  </mergeCells>
  <hyperlinks>
    <hyperlink ref="A2"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F1"/>
    </sheetView>
  </sheetViews>
  <sheetFormatPr baseColWidth="8" defaultRowHeight="14.5"/>
  <cols>
    <col width="46" customWidth="1" style="29" min="1" max="1"/>
    <col width="20" customWidth="1" style="29" min="2" max="6"/>
  </cols>
  <sheetData>
    <row r="1">
      <c r="A1" s="33" t="inlineStr">
        <is>
          <t>Problem 2 – IT Services Industry</t>
        </is>
      </c>
    </row>
    <row r="2">
      <c r="A2" s="2" t="inlineStr">
        <is>
          <t>← Back to Index</t>
        </is>
      </c>
    </row>
    <row r="3"/>
    <row r="4">
      <c r="A4" s="34" t="inlineStr">
        <is>
          <t>Given Inputs (₹ Crore; Shares in Crore)</t>
        </is>
      </c>
    </row>
    <row r="5">
      <c r="A5" s="3" t="inlineStr">
        <is>
          <t>Revenue</t>
        </is>
      </c>
      <c r="B5" s="4" t="n">
        <v>7400</v>
      </c>
      <c r="D5" s="31" t="inlineStr">
        <is>
          <t>Derived Per-Share Inputs</t>
        </is>
      </c>
      <c r="E5" s="35" t="n"/>
      <c r="F5" s="36" t="n"/>
    </row>
    <row r="6" ht="29" customHeight="1" s="29">
      <c r="A6" s="3" t="inlineStr">
        <is>
          <t>EBITDA</t>
        </is>
      </c>
      <c r="B6" s="4" t="n">
        <v>980</v>
      </c>
      <c r="D6" s="3" t="inlineStr">
        <is>
          <t>Book Value per Share (BVPS)</t>
        </is>
      </c>
      <c r="E6" s="4">
        <f>B8/B10</f>
        <v/>
      </c>
    </row>
    <row r="7" ht="29" customHeight="1" s="29">
      <c r="A7" s="3" t="inlineStr">
        <is>
          <t>Net Profit</t>
        </is>
      </c>
      <c r="B7" s="4" t="n">
        <v>720</v>
      </c>
      <c r="D7" s="3" t="inlineStr">
        <is>
          <t>Earnings per Share (EPS)</t>
        </is>
      </c>
      <c r="E7" s="4">
        <f>B7/B10</f>
        <v/>
      </c>
    </row>
    <row r="8">
      <c r="A8" s="3" t="inlineStr">
        <is>
          <t>Book Value of Equity</t>
        </is>
      </c>
      <c r="B8" s="4" t="n">
        <v>3200</v>
      </c>
      <c r="D8" s="34" t="inlineStr">
        <is>
          <t>Peer Median Multiples</t>
        </is>
      </c>
    </row>
    <row r="9">
      <c r="A9" s="3" t="inlineStr">
        <is>
          <t>Net Debt (negative = Net Cash)</t>
        </is>
      </c>
      <c r="B9" s="4" t="n">
        <v>-300</v>
      </c>
      <c r="D9" s="3" t="inlineStr">
        <is>
          <t>EV/Revenue</t>
        </is>
      </c>
      <c r="E9" s="5" t="n">
        <v>4.6</v>
      </c>
    </row>
    <row r="10">
      <c r="A10" s="3" t="inlineStr">
        <is>
          <t>Shares Outstanding (Crore)</t>
        </is>
      </c>
      <c r="B10" s="6" t="n">
        <v>48</v>
      </c>
      <c r="D10" s="3" t="inlineStr">
        <is>
          <t>EV/EBITDA</t>
        </is>
      </c>
      <c r="E10" s="5" t="n">
        <v>15.6</v>
      </c>
    </row>
    <row r="11">
      <c r="D11" s="3" t="inlineStr">
        <is>
          <t>P/BV</t>
        </is>
      </c>
      <c r="E11" s="5" t="n">
        <v>6.1</v>
      </c>
    </row>
    <row r="12">
      <c r="D12" s="3" t="inlineStr">
        <is>
          <t>P/E</t>
        </is>
      </c>
      <c r="E12" s="5" t="n">
        <v>22.5</v>
      </c>
    </row>
    <row r="13"/>
    <row r="14" ht="17" customHeight="1" s="29">
      <c r="A14" s="32" t="inlineStr">
        <is>
          <t>Enterprise Value and Equity Value of Target Company Based on Enterprise Value Multiples</t>
        </is>
      </c>
      <c r="B14" s="35" t="n"/>
      <c r="C14" s="35" t="n"/>
      <c r="D14" s="35" t="n"/>
      <c r="E14" s="35" t="n"/>
      <c r="F14" s="36" t="n"/>
    </row>
    <row r="15" ht="29" customHeight="1" s="29">
      <c r="A15" s="7" t="n"/>
      <c r="B15" s="8" t="n"/>
      <c r="C15" s="8" t="n"/>
      <c r="D15" s="8" t="inlineStr">
        <is>
          <t>EV/Revenue -
Multiple</t>
        </is>
      </c>
      <c r="E15" s="8" t="inlineStr">
        <is>
          <t>EV/EBITDA</t>
        </is>
      </c>
      <c r="F15" s="8" t="n"/>
    </row>
    <row r="16">
      <c r="A16" s="9" t="inlineStr">
        <is>
          <t>Target Company Revenue, EBITDA</t>
        </is>
      </c>
      <c r="D16" s="10">
        <f>B5</f>
        <v/>
      </c>
      <c r="E16" s="10">
        <f>B6</f>
        <v/>
      </c>
    </row>
    <row r="17">
      <c r="A17" s="9" t="inlineStr">
        <is>
          <t>Peer Median</t>
        </is>
      </c>
      <c r="D17" s="11">
        <f>E9</f>
        <v/>
      </c>
      <c r="E17" s="11">
        <f>E10</f>
        <v/>
      </c>
    </row>
    <row r="18">
      <c r="A18" s="9" t="inlineStr">
        <is>
          <t>Implied Enterprise Value</t>
        </is>
      </c>
      <c r="D18" s="12">
        <f>D16*D17</f>
        <v/>
      </c>
      <c r="E18" s="12">
        <f>E16*E17</f>
        <v/>
      </c>
    </row>
    <row r="19">
      <c r="A19" s="9" t="inlineStr">
        <is>
          <t>Target Company Debt</t>
        </is>
      </c>
      <c r="D19" s="10">
        <f>B9</f>
        <v/>
      </c>
      <c r="E19" s="10">
        <f>B9</f>
        <v/>
      </c>
    </row>
    <row r="20">
      <c r="A20" s="9" t="inlineStr">
        <is>
          <t>Implied Equity Value</t>
        </is>
      </c>
      <c r="D20" s="12">
        <f>D18-D19</f>
        <v/>
      </c>
      <c r="E20" s="12">
        <f>E18-E19</f>
        <v/>
      </c>
    </row>
    <row r="21">
      <c r="A21" s="9" t="inlineStr">
        <is>
          <t>Intrinsic Value Per share</t>
        </is>
      </c>
      <c r="D21" s="12">
        <f>D20/$B$10</f>
        <v/>
      </c>
      <c r="E21" s="12">
        <f>E20/$B$10</f>
        <v/>
      </c>
    </row>
    <row r="22" ht="17" customHeight="1" s="29">
      <c r="A22" s="32" t="inlineStr">
        <is>
          <t>Enterprise Value and Equity Value  Based on Market Price Multiples</t>
        </is>
      </c>
      <c r="B22" s="35" t="n"/>
      <c r="C22" s="35" t="n"/>
      <c r="D22" s="35" t="n"/>
      <c r="E22" s="35" t="n"/>
      <c r="F22" s="36" t="n"/>
    </row>
    <row r="23">
      <c r="A23" s="7" t="n"/>
      <c r="B23" s="8" t="n"/>
      <c r="C23" s="8" t="n"/>
      <c r="D23" s="8" t="inlineStr">
        <is>
          <t>P/BV Multiple</t>
        </is>
      </c>
      <c r="E23" s="8" t="inlineStr">
        <is>
          <t>P/E Multiple</t>
        </is>
      </c>
      <c r="F23" s="8" t="n"/>
    </row>
    <row r="24">
      <c r="A24" s="9" t="inlineStr">
        <is>
          <t>Target Company Book Value, EPS</t>
        </is>
      </c>
      <c r="D24" s="10">
        <f>E6</f>
        <v/>
      </c>
      <c r="E24" s="10">
        <f>E7</f>
        <v/>
      </c>
    </row>
    <row r="25">
      <c r="A25" s="7" t="inlineStr">
        <is>
          <t>Peer Median P/BV and P/E Multiple</t>
        </is>
      </c>
      <c r="D25" s="11">
        <f>E11</f>
        <v/>
      </c>
      <c r="E25" s="11">
        <f>E12</f>
        <v/>
      </c>
    </row>
    <row r="26">
      <c r="A26" s="7" t="inlineStr">
        <is>
          <t>Implied Equity Value  per share</t>
        </is>
      </c>
      <c r="D26" s="12">
        <f>D24*D25</f>
        <v/>
      </c>
      <c r="E26" s="12">
        <f>E24*E25</f>
        <v/>
      </c>
    </row>
    <row r="27">
      <c r="A27" s="9" t="inlineStr">
        <is>
          <t>Total Equity Value (total in Rs. Cr)</t>
        </is>
      </c>
      <c r="D27" s="10">
        <f>D26*$B$10</f>
        <v/>
      </c>
      <c r="E27" s="10">
        <f>E26*$B$10</f>
        <v/>
      </c>
    </row>
    <row r="28">
      <c r="A28" s="9" t="inlineStr">
        <is>
          <t>Net Debt</t>
        </is>
      </c>
      <c r="D28" s="10">
        <f>B9</f>
        <v/>
      </c>
      <c r="E28" s="10">
        <f>B9</f>
        <v/>
      </c>
    </row>
    <row r="29">
      <c r="A29" s="7" t="inlineStr">
        <is>
          <t>Implied Enterprise Value</t>
        </is>
      </c>
      <c r="D29" s="12">
        <f>D27+D28</f>
        <v/>
      </c>
      <c r="E29" s="12">
        <f>E27+E28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D5:F5"/>
    <mergeCell ref="A14:F14"/>
    <mergeCell ref="A1:F1"/>
    <mergeCell ref="A22:F22"/>
    <mergeCell ref="A4:F4"/>
    <mergeCell ref="D8:F8"/>
  </mergeCells>
  <hyperlinks>
    <hyperlink ref="A2"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F1"/>
    </sheetView>
  </sheetViews>
  <sheetFormatPr baseColWidth="8" defaultRowHeight="14.5"/>
  <cols>
    <col width="46" customWidth="1" style="29" min="1" max="1"/>
    <col width="20" customWidth="1" style="29" min="2" max="6"/>
  </cols>
  <sheetData>
    <row r="1">
      <c r="A1" s="33" t="inlineStr">
        <is>
          <t>Problem 3 – Automobile Manufacturing</t>
        </is>
      </c>
    </row>
    <row r="2">
      <c r="A2" s="2" t="inlineStr">
        <is>
          <t>← Back to Index</t>
        </is>
      </c>
    </row>
    <row r="3"/>
    <row r="4">
      <c r="A4" s="34" t="inlineStr">
        <is>
          <t>Given Inputs (₹ Crore; Shares in Crore)</t>
        </is>
      </c>
    </row>
    <row r="5">
      <c r="A5" s="3" t="inlineStr">
        <is>
          <t>Revenue</t>
        </is>
      </c>
      <c r="B5" s="4" t="n">
        <v>42000</v>
      </c>
      <c r="D5" s="31" t="inlineStr">
        <is>
          <t>Derived Per-Share Inputs</t>
        </is>
      </c>
      <c r="E5" s="35" t="n"/>
      <c r="F5" s="36" t="n"/>
    </row>
    <row r="6" ht="29" customHeight="1" s="29">
      <c r="A6" s="3" t="inlineStr">
        <is>
          <t>EBITDA</t>
        </is>
      </c>
      <c r="B6" s="4" t="n">
        <v>2400</v>
      </c>
      <c r="D6" s="3" t="inlineStr">
        <is>
          <t>Book Value per Share (BVPS)</t>
        </is>
      </c>
      <c r="E6" s="4">
        <f>B8/B10</f>
        <v/>
      </c>
    </row>
    <row r="7" ht="29" customHeight="1" s="29">
      <c r="A7" s="3" t="inlineStr">
        <is>
          <t>Net Profit</t>
        </is>
      </c>
      <c r="B7" s="4" t="n">
        <v>1300</v>
      </c>
      <c r="D7" s="3" t="inlineStr">
        <is>
          <t>Earnings per Share (EPS)</t>
        </is>
      </c>
      <c r="E7" s="4">
        <f>B7/B10</f>
        <v/>
      </c>
    </row>
    <row r="8">
      <c r="A8" s="3" t="inlineStr">
        <is>
          <t>Book Value of Equity</t>
        </is>
      </c>
      <c r="B8" s="4" t="n">
        <v>11500</v>
      </c>
      <c r="D8" s="34" t="inlineStr">
        <is>
          <t>Peer Median Multiples</t>
        </is>
      </c>
    </row>
    <row r="9">
      <c r="A9" s="3" t="inlineStr">
        <is>
          <t>Net Debt (negative = Net Cash)</t>
        </is>
      </c>
      <c r="B9" s="4" t="n">
        <v>6200</v>
      </c>
      <c r="D9" s="3" t="inlineStr">
        <is>
          <t>EV/Revenue</t>
        </is>
      </c>
      <c r="E9" s="5" t="n">
        <v>1.8</v>
      </c>
    </row>
    <row r="10">
      <c r="A10" s="3" t="inlineStr">
        <is>
          <t>Shares Outstanding (Crore)</t>
        </is>
      </c>
      <c r="B10" s="6" t="n">
        <v>95</v>
      </c>
      <c r="D10" s="3" t="inlineStr">
        <is>
          <t>EV/EBITDA</t>
        </is>
      </c>
      <c r="E10" s="5" t="n">
        <v>12.2</v>
      </c>
    </row>
    <row r="11">
      <c r="D11" s="3" t="inlineStr">
        <is>
          <t>P/BV</t>
        </is>
      </c>
      <c r="E11" s="5" t="n">
        <v>2.4</v>
      </c>
    </row>
    <row r="12">
      <c r="D12" s="3" t="inlineStr">
        <is>
          <t>P/E</t>
        </is>
      </c>
      <c r="E12" s="5" t="n">
        <v>18</v>
      </c>
    </row>
    <row r="13"/>
    <row r="14" ht="17" customHeight="1" s="29">
      <c r="A14" s="32" t="inlineStr">
        <is>
          <t>Enterprise Value and Equity Value of Target Company Based on Enterprise Value Multiples</t>
        </is>
      </c>
      <c r="B14" s="35" t="n"/>
      <c r="C14" s="35" t="n"/>
      <c r="D14" s="35" t="n"/>
      <c r="E14" s="35" t="n"/>
      <c r="F14" s="36" t="n"/>
    </row>
    <row r="15" ht="29" customHeight="1" s="29">
      <c r="A15" s="7" t="n"/>
      <c r="B15" s="8" t="n"/>
      <c r="C15" s="8" t="n"/>
      <c r="D15" s="8" t="inlineStr">
        <is>
          <t>EV/Revenue -
Multiple</t>
        </is>
      </c>
      <c r="E15" s="8" t="inlineStr">
        <is>
          <t>EV/EBITDA</t>
        </is>
      </c>
      <c r="F15" s="8" t="n"/>
    </row>
    <row r="16">
      <c r="A16" s="9" t="inlineStr">
        <is>
          <t>Target Company Revenue, EBITDA</t>
        </is>
      </c>
      <c r="D16" s="10">
        <f>B5</f>
        <v/>
      </c>
      <c r="E16" s="10">
        <f>B6</f>
        <v/>
      </c>
    </row>
    <row r="17">
      <c r="A17" s="9" t="inlineStr">
        <is>
          <t>Peer Median</t>
        </is>
      </c>
      <c r="D17" s="11">
        <f>E9</f>
        <v/>
      </c>
      <c r="E17" s="11">
        <f>E10</f>
        <v/>
      </c>
    </row>
    <row r="18">
      <c r="A18" s="9" t="inlineStr">
        <is>
          <t>Implied Enterprise Value</t>
        </is>
      </c>
      <c r="D18" s="12">
        <f>D16*D17</f>
        <v/>
      </c>
      <c r="E18" s="12">
        <f>E16*E17</f>
        <v/>
      </c>
    </row>
    <row r="19">
      <c r="A19" s="9" t="inlineStr">
        <is>
          <t>Target Company Debt</t>
        </is>
      </c>
      <c r="D19" s="10">
        <f>B9</f>
        <v/>
      </c>
      <c r="E19" s="10">
        <f>B9</f>
        <v/>
      </c>
    </row>
    <row r="20">
      <c r="A20" s="9" t="inlineStr">
        <is>
          <t>Implied Equity Value</t>
        </is>
      </c>
      <c r="D20" s="12">
        <f>D18-D19</f>
        <v/>
      </c>
      <c r="E20" s="12">
        <f>E18-E19</f>
        <v/>
      </c>
    </row>
    <row r="21">
      <c r="A21" s="9" t="inlineStr">
        <is>
          <t>Intrinsic Value Per share</t>
        </is>
      </c>
      <c r="D21" s="12">
        <f>D20/$B$10</f>
        <v/>
      </c>
      <c r="E21" s="12">
        <f>E20/$B$10</f>
        <v/>
      </c>
    </row>
    <row r="22" ht="17" customHeight="1" s="29">
      <c r="A22" s="32" t="inlineStr">
        <is>
          <t>Enterprise Value and Equity Value  Based on Market Price Multiples</t>
        </is>
      </c>
      <c r="B22" s="35" t="n"/>
      <c r="C22" s="35" t="n"/>
      <c r="D22" s="35" t="n"/>
      <c r="E22" s="35" t="n"/>
      <c r="F22" s="36" t="n"/>
    </row>
    <row r="23">
      <c r="A23" s="7" t="n"/>
      <c r="B23" s="8" t="n"/>
      <c r="C23" s="8" t="n"/>
      <c r="D23" s="8" t="inlineStr">
        <is>
          <t>P/BV Multiple</t>
        </is>
      </c>
      <c r="E23" s="8" t="inlineStr">
        <is>
          <t>P/E Multiple</t>
        </is>
      </c>
      <c r="F23" s="8" t="n"/>
    </row>
    <row r="24">
      <c r="A24" s="9" t="inlineStr">
        <is>
          <t>Target Company Book Value, EPS</t>
        </is>
      </c>
      <c r="D24" s="10">
        <f>E6</f>
        <v/>
      </c>
      <c r="E24" s="10">
        <f>E7</f>
        <v/>
      </c>
    </row>
    <row r="25">
      <c r="A25" s="7" t="inlineStr">
        <is>
          <t>Peer Median P/BV and P/E Multiple</t>
        </is>
      </c>
      <c r="D25" s="11">
        <f>E11</f>
        <v/>
      </c>
      <c r="E25" s="11">
        <f>E12</f>
        <v/>
      </c>
    </row>
    <row r="26">
      <c r="A26" s="7" t="inlineStr">
        <is>
          <t>Implied Equity Value  per share</t>
        </is>
      </c>
      <c r="D26" s="12">
        <f>D24*D25</f>
        <v/>
      </c>
      <c r="E26" s="12">
        <f>E24*E25</f>
        <v/>
      </c>
    </row>
    <row r="27">
      <c r="A27" s="9" t="inlineStr">
        <is>
          <t>Total Equity Value (total in Rs. Cr)</t>
        </is>
      </c>
      <c r="D27" s="10">
        <f>D26*$B$10</f>
        <v/>
      </c>
      <c r="E27" s="10">
        <f>E26*$B$10</f>
        <v/>
      </c>
    </row>
    <row r="28">
      <c r="A28" s="9" t="inlineStr">
        <is>
          <t>Net Debt</t>
        </is>
      </c>
      <c r="D28" s="10">
        <f>B9</f>
        <v/>
      </c>
      <c r="E28" s="10">
        <f>B9</f>
        <v/>
      </c>
    </row>
    <row r="29">
      <c r="A29" s="7" t="inlineStr">
        <is>
          <t>Implied Enterprise Value</t>
        </is>
      </c>
      <c r="D29" s="12">
        <f>D27+D28</f>
        <v/>
      </c>
      <c r="E29" s="12">
        <f>E27+E28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D5:F5"/>
    <mergeCell ref="A14:F14"/>
    <mergeCell ref="A1:F1"/>
    <mergeCell ref="A22:F22"/>
    <mergeCell ref="A4:F4"/>
    <mergeCell ref="D8:F8"/>
  </mergeCells>
  <hyperlinks>
    <hyperlink ref="A2"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F1"/>
    </sheetView>
  </sheetViews>
  <sheetFormatPr baseColWidth="8" defaultRowHeight="14.5"/>
  <cols>
    <col width="46" customWidth="1" style="29" min="1" max="1"/>
    <col width="20" customWidth="1" style="29" min="2" max="6"/>
  </cols>
  <sheetData>
    <row r="1">
      <c r="A1" s="33" t="inlineStr">
        <is>
          <t>Problem 4 – FMCG Industry</t>
        </is>
      </c>
    </row>
    <row r="2">
      <c r="A2" s="2" t="inlineStr">
        <is>
          <t>← Back to Index</t>
        </is>
      </c>
    </row>
    <row r="3"/>
    <row r="4">
      <c r="A4" s="34" t="inlineStr">
        <is>
          <t>Given Inputs (₹ Crore; Shares in Crore)</t>
        </is>
      </c>
    </row>
    <row r="5">
      <c r="A5" s="3" t="inlineStr">
        <is>
          <t>Revenue</t>
        </is>
      </c>
      <c r="B5" s="4" t="n">
        <v>12800</v>
      </c>
      <c r="D5" s="31" t="inlineStr">
        <is>
          <t>Derived Per-Share Inputs</t>
        </is>
      </c>
      <c r="E5" s="35" t="n"/>
      <c r="F5" s="36" t="n"/>
    </row>
    <row r="6" ht="29" customHeight="1" s="29">
      <c r="A6" s="3" t="inlineStr">
        <is>
          <t>EBITDA</t>
        </is>
      </c>
      <c r="B6" s="4" t="n">
        <v>1050</v>
      </c>
      <c r="D6" s="3" t="inlineStr">
        <is>
          <t>Book Value per Share (BVPS)</t>
        </is>
      </c>
      <c r="E6" s="4">
        <f>B8/B10</f>
        <v/>
      </c>
    </row>
    <row r="7" ht="29" customHeight="1" s="29">
      <c r="A7" s="3" t="inlineStr">
        <is>
          <t>Net Profit</t>
        </is>
      </c>
      <c r="B7" s="4" t="n">
        <v>720</v>
      </c>
      <c r="D7" s="3" t="inlineStr">
        <is>
          <t>Earnings per Share (EPS)</t>
        </is>
      </c>
      <c r="E7" s="4">
        <f>B7/B10</f>
        <v/>
      </c>
    </row>
    <row r="8">
      <c r="A8" s="3" t="inlineStr">
        <is>
          <t>Book Value of Equity</t>
        </is>
      </c>
      <c r="B8" s="4" t="n">
        <v>3100</v>
      </c>
      <c r="D8" s="34" t="inlineStr">
        <is>
          <t>Peer Median Multiples</t>
        </is>
      </c>
    </row>
    <row r="9">
      <c r="A9" s="3" t="inlineStr">
        <is>
          <t>Net Debt (negative = Net Cash)</t>
        </is>
      </c>
      <c r="B9" s="4" t="n">
        <v>450</v>
      </c>
      <c r="D9" s="3" t="inlineStr">
        <is>
          <t>EV/Revenue</t>
        </is>
      </c>
      <c r="E9" s="5" t="n">
        <v>8</v>
      </c>
    </row>
    <row r="10">
      <c r="A10" s="3" t="inlineStr">
        <is>
          <t>Shares Outstanding (Crore)</t>
        </is>
      </c>
      <c r="B10" s="6" t="n">
        <v>38</v>
      </c>
      <c r="D10" s="3" t="inlineStr">
        <is>
          <t>EV/EBITDA</t>
        </is>
      </c>
      <c r="E10" s="5" t="n">
        <v>25.8</v>
      </c>
    </row>
    <row r="11">
      <c r="D11" s="3" t="inlineStr">
        <is>
          <t>P/BV</t>
        </is>
      </c>
      <c r="E11" s="5" t="n">
        <v>8.800000000000001</v>
      </c>
    </row>
    <row r="12">
      <c r="D12" s="3" t="inlineStr">
        <is>
          <t>P/E</t>
        </is>
      </c>
      <c r="E12" s="5" t="n">
        <v>40.5</v>
      </c>
    </row>
    <row r="13"/>
    <row r="14" ht="17" customHeight="1" s="29">
      <c r="A14" s="32" t="inlineStr">
        <is>
          <t>Enterprise Value and Equity Value of Target Company Based on Enterprise Value Multiples</t>
        </is>
      </c>
      <c r="B14" s="35" t="n"/>
      <c r="C14" s="35" t="n"/>
      <c r="D14" s="35" t="n"/>
      <c r="E14" s="35" t="n"/>
      <c r="F14" s="36" t="n"/>
    </row>
    <row r="15" ht="29" customHeight="1" s="29">
      <c r="A15" s="7" t="n"/>
      <c r="B15" s="8" t="n"/>
      <c r="C15" s="8" t="n"/>
      <c r="D15" s="8" t="inlineStr">
        <is>
          <t>EV/Revenue -
Multiple</t>
        </is>
      </c>
      <c r="E15" s="8" t="inlineStr">
        <is>
          <t>EV/EBITDA</t>
        </is>
      </c>
      <c r="F15" s="8" t="n"/>
    </row>
    <row r="16">
      <c r="A16" s="9" t="inlineStr">
        <is>
          <t>Target Company Revenue, EBITDA</t>
        </is>
      </c>
      <c r="D16" s="10">
        <f>B5</f>
        <v/>
      </c>
      <c r="E16" s="10">
        <f>B6</f>
        <v/>
      </c>
    </row>
    <row r="17">
      <c r="A17" s="9" t="inlineStr">
        <is>
          <t>Peer Median</t>
        </is>
      </c>
      <c r="D17" s="11">
        <f>E9</f>
        <v/>
      </c>
      <c r="E17" s="11">
        <f>E10</f>
        <v/>
      </c>
    </row>
    <row r="18">
      <c r="A18" s="9" t="inlineStr">
        <is>
          <t>Implied Enterprise Value</t>
        </is>
      </c>
      <c r="D18" s="12">
        <f>D16*D17</f>
        <v/>
      </c>
      <c r="E18" s="12">
        <f>E16*E17</f>
        <v/>
      </c>
    </row>
    <row r="19">
      <c r="A19" s="9" t="inlineStr">
        <is>
          <t>Target Company Debt</t>
        </is>
      </c>
      <c r="D19" s="10">
        <f>B9</f>
        <v/>
      </c>
      <c r="E19" s="10">
        <f>B9</f>
        <v/>
      </c>
    </row>
    <row r="20">
      <c r="A20" s="9" t="inlineStr">
        <is>
          <t>Implied Equity Value</t>
        </is>
      </c>
      <c r="D20" s="12">
        <f>D18-D19</f>
        <v/>
      </c>
      <c r="E20" s="12">
        <f>E18-E19</f>
        <v/>
      </c>
    </row>
    <row r="21">
      <c r="A21" s="9" t="inlineStr">
        <is>
          <t>Intrinsic Value Per share</t>
        </is>
      </c>
      <c r="D21" s="12">
        <f>D20/$B$10</f>
        <v/>
      </c>
      <c r="E21" s="12">
        <f>E20/$B$10</f>
        <v/>
      </c>
    </row>
    <row r="22" ht="17" customHeight="1" s="29">
      <c r="A22" s="32" t="inlineStr">
        <is>
          <t>Enterprise Value and Equity Value  Based on Market Price Multiples</t>
        </is>
      </c>
      <c r="B22" s="35" t="n"/>
      <c r="C22" s="35" t="n"/>
      <c r="D22" s="35" t="n"/>
      <c r="E22" s="35" t="n"/>
      <c r="F22" s="36" t="n"/>
    </row>
    <row r="23">
      <c r="A23" s="7" t="n"/>
      <c r="B23" s="8" t="n"/>
      <c r="C23" s="8" t="n"/>
      <c r="D23" s="8" t="inlineStr">
        <is>
          <t>P/BV Multiple</t>
        </is>
      </c>
      <c r="E23" s="8" t="inlineStr">
        <is>
          <t>P/E Multiple</t>
        </is>
      </c>
      <c r="F23" s="8" t="n"/>
    </row>
    <row r="24">
      <c r="A24" s="9" t="inlineStr">
        <is>
          <t>Target Company Book Value, EPS</t>
        </is>
      </c>
      <c r="D24" s="10">
        <f>E6</f>
        <v/>
      </c>
      <c r="E24" s="10">
        <f>E7</f>
        <v/>
      </c>
    </row>
    <row r="25">
      <c r="A25" s="7" t="inlineStr">
        <is>
          <t>Peer Median P/BV and P/E Multiple</t>
        </is>
      </c>
      <c r="D25" s="11">
        <f>E11</f>
        <v/>
      </c>
      <c r="E25" s="11">
        <f>E12</f>
        <v/>
      </c>
    </row>
    <row r="26">
      <c r="A26" s="7" t="inlineStr">
        <is>
          <t>Implied Equity Value  per share</t>
        </is>
      </c>
      <c r="D26" s="12">
        <f>D24*D25</f>
        <v/>
      </c>
      <c r="E26" s="12">
        <f>E24*E25</f>
        <v/>
      </c>
    </row>
    <row r="27">
      <c r="A27" s="9" t="inlineStr">
        <is>
          <t>Total Equity Value (total in Rs. Cr)</t>
        </is>
      </c>
      <c r="D27" s="10">
        <f>D26*$B$10</f>
        <v/>
      </c>
      <c r="E27" s="10">
        <f>E26*$B$10</f>
        <v/>
      </c>
    </row>
    <row r="28">
      <c r="A28" s="9" t="inlineStr">
        <is>
          <t>Net Debt</t>
        </is>
      </c>
      <c r="D28" s="10">
        <f>B9</f>
        <v/>
      </c>
      <c r="E28" s="10">
        <f>B9</f>
        <v/>
      </c>
    </row>
    <row r="29">
      <c r="A29" s="7" t="inlineStr">
        <is>
          <t>Implied Enterprise Value</t>
        </is>
      </c>
      <c r="D29" s="12">
        <f>D27+D28</f>
        <v/>
      </c>
      <c r="E29" s="12">
        <f>E27+E28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D5:F5"/>
    <mergeCell ref="A14:F14"/>
    <mergeCell ref="A1:F1"/>
    <mergeCell ref="A22:F22"/>
    <mergeCell ref="A4:F4"/>
    <mergeCell ref="D8:F8"/>
  </mergeCells>
  <hyperlinks>
    <hyperlink ref="A2"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G8" sqref="G8"/>
    </sheetView>
  </sheetViews>
  <sheetFormatPr baseColWidth="8" defaultRowHeight="14.5"/>
  <cols>
    <col width="46" customWidth="1" style="29" min="1" max="1"/>
    <col width="20" customWidth="1" style="29" min="2" max="6"/>
  </cols>
  <sheetData>
    <row r="1">
      <c r="A1" s="33" t="inlineStr">
        <is>
          <t>Problem 5 – Renewable Energy</t>
        </is>
      </c>
    </row>
    <row r="2">
      <c r="A2" s="2" t="inlineStr">
        <is>
          <t>← Back to Index</t>
        </is>
      </c>
    </row>
    <row r="3"/>
    <row r="4">
      <c r="A4" s="34" t="inlineStr">
        <is>
          <t>Given Inputs (₹ Crore; Shares in Crore)</t>
        </is>
      </c>
    </row>
    <row r="5">
      <c r="A5" s="3" t="inlineStr">
        <is>
          <t>Revenue</t>
        </is>
      </c>
      <c r="B5" s="4" t="n">
        <v>4800</v>
      </c>
      <c r="D5" s="31" t="inlineStr">
        <is>
          <t>Derived Per-Share Inputs</t>
        </is>
      </c>
      <c r="E5" s="35" t="n"/>
      <c r="F5" s="36" t="n"/>
    </row>
    <row r="6" ht="29" customHeight="1" s="29">
      <c r="A6" s="3" t="inlineStr">
        <is>
          <t>EBITDA</t>
        </is>
      </c>
      <c r="B6" s="4" t="n">
        <v>680</v>
      </c>
      <c r="D6" s="3" t="inlineStr">
        <is>
          <t>Book Value per Share (BVPS)</t>
        </is>
      </c>
      <c r="E6" s="4">
        <f>B8/B10</f>
        <v/>
      </c>
    </row>
    <row r="7" ht="29" customHeight="1" s="29">
      <c r="A7" s="3" t="inlineStr">
        <is>
          <t>Net Profit</t>
        </is>
      </c>
      <c r="B7" s="4" t="n">
        <v>410</v>
      </c>
      <c r="D7" s="3" t="inlineStr">
        <is>
          <t>Earnings per Share (EPS)</t>
        </is>
      </c>
      <c r="E7" s="4">
        <f>B7/B10</f>
        <v/>
      </c>
    </row>
    <row r="8">
      <c r="A8" s="3" t="inlineStr">
        <is>
          <t>Book Value of Equity</t>
        </is>
      </c>
      <c r="B8" s="4" t="n">
        <v>5200</v>
      </c>
      <c r="D8" s="34" t="inlineStr">
        <is>
          <t>Peer Median Multiples</t>
        </is>
      </c>
    </row>
    <row r="9">
      <c r="A9" s="3" t="inlineStr">
        <is>
          <t>Net Debt (negative = Net Cash)</t>
        </is>
      </c>
      <c r="B9" s="4" t="n">
        <v>3600</v>
      </c>
      <c r="D9" s="3" t="inlineStr">
        <is>
          <t>EV/Revenue</t>
        </is>
      </c>
      <c r="E9" s="5" t="n">
        <v>6.9</v>
      </c>
    </row>
    <row r="10">
      <c r="A10" s="3" t="inlineStr">
        <is>
          <t>Shares Outstanding (Crore)</t>
        </is>
      </c>
      <c r="B10" s="6" t="n">
        <v>72</v>
      </c>
      <c r="D10" s="3" t="inlineStr">
        <is>
          <t>EV/EBITDA</t>
        </is>
      </c>
      <c r="E10" s="5" t="n">
        <v>13.8</v>
      </c>
    </row>
    <row r="11">
      <c r="D11" s="3" t="inlineStr">
        <is>
          <t>P/BV</t>
        </is>
      </c>
      <c r="E11" s="5" t="n">
        <v>3.2</v>
      </c>
    </row>
    <row r="12">
      <c r="D12" s="3" t="inlineStr">
        <is>
          <t>P/E</t>
        </is>
      </c>
      <c r="E12" s="5" t="n">
        <v>28</v>
      </c>
    </row>
    <row r="13"/>
    <row r="14" ht="17" customHeight="1" s="29">
      <c r="A14" s="32" t="inlineStr">
        <is>
          <t>Enterprise Value and Equity Value of Target Company Based on Enterprise Value Multiples</t>
        </is>
      </c>
      <c r="B14" s="35" t="n"/>
      <c r="C14" s="35" t="n"/>
      <c r="D14" s="35" t="n"/>
      <c r="E14" s="35" t="n"/>
      <c r="F14" s="36" t="n"/>
    </row>
    <row r="15" ht="29" customHeight="1" s="29">
      <c r="A15" s="7" t="n"/>
      <c r="B15" s="8" t="n"/>
      <c r="C15" s="8" t="n"/>
      <c r="D15" s="8" t="inlineStr">
        <is>
          <t>EV/Revenue -
Multiple</t>
        </is>
      </c>
      <c r="E15" s="8" t="inlineStr">
        <is>
          <t>EV/EBITDA</t>
        </is>
      </c>
      <c r="F15" s="8" t="n"/>
    </row>
    <row r="16">
      <c r="A16" s="9" t="inlineStr">
        <is>
          <t>Target Company Revenue, EBITDA</t>
        </is>
      </c>
      <c r="D16" s="10">
        <f>B5</f>
        <v/>
      </c>
      <c r="E16" s="10">
        <f>B6</f>
        <v/>
      </c>
    </row>
    <row r="17">
      <c r="A17" s="9" t="inlineStr">
        <is>
          <t>Peer Median</t>
        </is>
      </c>
      <c r="D17" s="11">
        <f>E9</f>
        <v/>
      </c>
      <c r="E17" s="11">
        <f>E10</f>
        <v/>
      </c>
    </row>
    <row r="18">
      <c r="A18" s="9" t="inlineStr">
        <is>
          <t>Implied Enterprise Value</t>
        </is>
      </c>
      <c r="D18" s="12">
        <f>D16*D17</f>
        <v/>
      </c>
      <c r="E18" s="12">
        <f>E16*E17</f>
        <v/>
      </c>
    </row>
    <row r="19">
      <c r="A19" s="9" t="inlineStr">
        <is>
          <t>Target Company Debt</t>
        </is>
      </c>
      <c r="D19" s="10">
        <f>B9</f>
        <v/>
      </c>
      <c r="E19" s="10">
        <f>B9</f>
        <v/>
      </c>
    </row>
    <row r="20">
      <c r="A20" s="9" t="inlineStr">
        <is>
          <t>Implied Equity Value</t>
        </is>
      </c>
      <c r="D20" s="12">
        <f>D18-D19</f>
        <v/>
      </c>
      <c r="E20" s="12">
        <f>E18-E19</f>
        <v/>
      </c>
    </row>
    <row r="21">
      <c r="A21" s="9" t="inlineStr">
        <is>
          <t>Intrinsic Value Per share</t>
        </is>
      </c>
      <c r="D21" s="12">
        <f>D20/$B$10</f>
        <v/>
      </c>
      <c r="E21" s="12">
        <f>E20/$B$10</f>
        <v/>
      </c>
    </row>
    <row r="22" ht="17" customHeight="1" s="29">
      <c r="A22" s="32" t="inlineStr">
        <is>
          <t>Enterprise Value and Equity Value  Based on Market Price Multiples</t>
        </is>
      </c>
      <c r="B22" s="35" t="n"/>
      <c r="C22" s="35" t="n"/>
      <c r="D22" s="35" t="n"/>
      <c r="E22" s="35" t="n"/>
      <c r="F22" s="36" t="n"/>
    </row>
    <row r="23">
      <c r="A23" s="7" t="n"/>
      <c r="B23" s="8" t="n"/>
      <c r="C23" s="8" t="n"/>
      <c r="D23" s="8" t="inlineStr">
        <is>
          <t>P/BV Multiple</t>
        </is>
      </c>
      <c r="E23" s="8" t="inlineStr">
        <is>
          <t>P/E Multiple</t>
        </is>
      </c>
      <c r="F23" s="8" t="n"/>
    </row>
    <row r="24">
      <c r="A24" s="9" t="inlineStr">
        <is>
          <t>Target Company Book Value, EPS</t>
        </is>
      </c>
      <c r="D24" s="10">
        <f>E6</f>
        <v/>
      </c>
      <c r="E24" s="10">
        <f>E7</f>
        <v/>
      </c>
    </row>
    <row r="25">
      <c r="A25" s="7" t="inlineStr">
        <is>
          <t>Peer Median P/BV and P/E Multiple</t>
        </is>
      </c>
      <c r="D25" s="11">
        <f>E11</f>
        <v/>
      </c>
      <c r="E25" s="11">
        <f>E12</f>
        <v/>
      </c>
    </row>
    <row r="26">
      <c r="A26" s="7" t="inlineStr">
        <is>
          <t>Implied Equity Value  per share</t>
        </is>
      </c>
      <c r="D26" s="12">
        <f>D24*D25</f>
        <v/>
      </c>
      <c r="E26" s="12">
        <f>E24*E25</f>
        <v/>
      </c>
    </row>
    <row r="27">
      <c r="A27" s="9" t="inlineStr">
        <is>
          <t>Total Equity Value (total in Rs. Cr)</t>
        </is>
      </c>
      <c r="D27" s="10">
        <f>D26*$B$10</f>
        <v/>
      </c>
      <c r="E27" s="10">
        <f>E26*$B$10</f>
        <v/>
      </c>
    </row>
    <row r="28">
      <c r="A28" s="9" t="inlineStr">
        <is>
          <t>Net Debt</t>
        </is>
      </c>
      <c r="D28" s="10">
        <f>B9</f>
        <v/>
      </c>
      <c r="E28" s="10">
        <f>B9</f>
        <v/>
      </c>
    </row>
    <row r="29">
      <c r="A29" s="7" t="inlineStr">
        <is>
          <t>Implied Enterprise Value</t>
        </is>
      </c>
      <c r="D29" s="12">
        <f>D27+D28</f>
        <v/>
      </c>
      <c r="E29" s="12">
        <f>E27+E28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D5:F5"/>
    <mergeCell ref="A14:F14"/>
    <mergeCell ref="A1:F1"/>
    <mergeCell ref="A22:F22"/>
    <mergeCell ref="A4:F4"/>
    <mergeCell ref="D8:F8"/>
  </mergeCells>
  <hyperlinks>
    <hyperlink ref="A2"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2025-12-16T06:44:34Z</dcterms:created>
  <dcterms:modified xmlns:dcterms="http://purl.org/dc/terms/" xmlns:xsi="http://www.w3.org/2001/XMLSchema-instance" xsi:type="dcterms:W3CDTF">2026-01-02T05:49:52Z</dcterms:modified>
  <cp:lastModifiedBy>srikanthyadav444p</cp:lastModifiedBy>
</cp:coreProperties>
</file>