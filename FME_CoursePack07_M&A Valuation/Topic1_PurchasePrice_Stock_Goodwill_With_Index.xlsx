
<file path=[Content_Types].xml><?xml version="1.0" encoding="utf-8"?>
<Types xmlns="http://schemas.openxmlformats.org/package/2006/content-types">
  <Default Extension="rels" ContentType="application/vnd.openxmlformats-package.relationships+xml"/>
  <Default Extension="xml" ContentType="application/xml"/>
  <Default Extension="jpeg" ContentType="image/jpe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drawings/drawing1.xml" ContentType="application/vnd.openxmlformats-officedocument.drawing+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workbookPassword="AE3A" lockStructure="1"/>
  <bookViews>
    <workbookView visibility="visible" minimized="0" showHorizontalScroll="1" showVerticalScroll="1" showSheetTabs="1" xWindow="-110" yWindow="-110" windowWidth="19420" windowHeight="10300" tabRatio="600" firstSheet="0" activeTab="0" autoFilterDateGrouping="1"/>
  </bookViews>
  <sheets>
    <sheet xmlns:r="http://schemas.openxmlformats.org/officeDocument/2006/relationships" name="CoverPage" sheetId="1" state="visible" r:id="rId1"/>
    <sheet xmlns:r="http://schemas.openxmlformats.org/officeDocument/2006/relationships" name="Index" sheetId="2" state="visible" r:id="rId2"/>
    <sheet xmlns:r="http://schemas.openxmlformats.org/officeDocument/2006/relationships" name="P1_1_Goodwill_Cash" sheetId="3" state="visible" r:id="rId3"/>
    <sheet xmlns:r="http://schemas.openxmlformats.org/officeDocument/2006/relationships" name="P1_2_AllStock_Goodwill" sheetId="4" state="visible" r:id="rId4"/>
    <sheet xmlns:r="http://schemas.openxmlformats.org/officeDocument/2006/relationships" name="P1_3_Mixed_PPA_Goodwill" sheetId="5" state="visible" r:id="rId5"/>
    <sheet xmlns:r="http://schemas.openxmlformats.org/officeDocument/2006/relationships" name="P1_4_Partial_NCI" sheetId="6" state="visible" r:id="rId6"/>
    <sheet xmlns:r="http://schemas.openxmlformats.org/officeDocument/2006/relationships" name="P1_5_Goodwill_Impairment" sheetId="7" state="visible" r:id="rId7"/>
  </sheets>
  <definedNames/>
  <calcPr calcId="191029" fullCalcOnLoad="1"/>
</workbook>
</file>

<file path=xl/styles.xml><?xml version="1.0" encoding="utf-8"?>
<styleSheet xmlns="http://schemas.openxmlformats.org/spreadsheetml/2006/main">
  <numFmts count="2">
    <numFmt numFmtId="164" formatCode="&quot;₹&quot;\ #,##0.00"/>
    <numFmt numFmtId="165" formatCode="#,##0.0000"/>
  </numFmts>
  <fonts count="15">
    <font>
      <name val="Calibri"/>
      <family val="2"/>
      <color theme="1"/>
      <sz val="11"/>
      <scheme val="minor"/>
    </font>
    <font>
      <name val="Calibri"/>
      <family val="2"/>
      <b val="1"/>
      <color rgb="FFFFFFFF"/>
      <sz val="14"/>
    </font>
    <font>
      <name val="Calibri"/>
      <family val="2"/>
      <b val="1"/>
      <color rgb="FFFFFFFF"/>
      <sz val="11"/>
    </font>
    <font>
      <name val="Calibri"/>
      <family val="2"/>
      <b val="1"/>
      <sz val="11"/>
    </font>
    <font>
      <name val="Calibri"/>
      <family val="2"/>
      <b val="1"/>
      <color rgb="FF000000"/>
      <sz val="11"/>
    </font>
    <font>
      <name val="Calibri"/>
      <family val="2"/>
      <b val="1"/>
      <sz val="14"/>
    </font>
    <font>
      <name val="Calibri"/>
      <family val="2"/>
      <color rgb="FF0563C1"/>
      <sz val="11"/>
      <u val="single"/>
    </font>
    <font>
      <name val="Calibri"/>
      <family val="2"/>
      <b val="1"/>
      <color rgb="FF0563C1"/>
      <sz val="11"/>
      <u val="single"/>
    </font>
    <font>
      <name val="Calibri"/>
      <family val="2"/>
      <color theme="1"/>
      <sz val="11"/>
      <scheme val="minor"/>
    </font>
    <font>
      <name val="Calibri"/>
      <family val="2"/>
      <b val="1"/>
      <color theme="1"/>
      <sz val="11"/>
      <scheme val="minor"/>
    </font>
    <font>
      <name val="Calibri"/>
      <family val="2"/>
      <b val="1"/>
      <color rgb="FF0070C0"/>
      <sz val="24"/>
      <scheme val="minor"/>
    </font>
    <font>
      <name val="Calibri"/>
      <family val="2"/>
      <b val="1"/>
      <color theme="8" tint="-0.249977111117893"/>
      <sz val="18"/>
      <scheme val="minor"/>
    </font>
    <font>
      <name val="Calibri"/>
      <family val="2"/>
      <i val="1"/>
      <color theme="9" tint="-0.499984740745262"/>
      <sz val="11"/>
      <scheme val="minor"/>
    </font>
    <font>
      <name val="Calibri"/>
      <family val="2"/>
      <b val="1"/>
      <color theme="7" tint="-0.249977111117893"/>
      <sz val="18"/>
      <scheme val="minor"/>
    </font>
    <font>
      <name val="Calibri"/>
      <family val="2"/>
      <b val="1"/>
      <color theme="1"/>
      <sz val="18"/>
      <scheme val="minor"/>
    </font>
  </fonts>
  <fills count="11">
    <fill>
      <patternFill/>
    </fill>
    <fill>
      <patternFill patternType="gray125"/>
    </fill>
    <fill>
      <patternFill patternType="solid">
        <fgColor rgb="FF1F4E79"/>
      </patternFill>
    </fill>
    <fill>
      <patternFill patternType="solid">
        <fgColor rgb="FFD9E1F2"/>
      </patternFill>
    </fill>
    <fill>
      <patternFill patternType="solid">
        <fgColor rgb="FFFFF2CC"/>
      </patternFill>
    </fill>
    <fill>
      <patternFill patternType="solid">
        <fgColor rgb="FFC6EFCE"/>
      </patternFill>
    </fill>
    <fill>
      <patternFill patternType="solid">
        <fgColor theme="4" tint="0.7999816888943144"/>
        <bgColor indexed="64"/>
      </patternFill>
    </fill>
    <fill>
      <patternFill patternType="solid">
        <fgColor rgb="FF0070C0"/>
        <bgColor indexed="64"/>
      </patternFill>
    </fill>
    <fill>
      <patternFill patternType="solid">
        <fgColor theme="5" tint="0.3999755851924192"/>
        <bgColor indexed="64"/>
      </patternFill>
    </fill>
    <fill>
      <patternFill patternType="solid">
        <fgColor theme="5" tint="0.7999816888943144"/>
        <bgColor indexed="64"/>
      </patternFill>
    </fill>
    <fill>
      <patternFill patternType="solid">
        <fgColor theme="6" tint="0.7999816888943144"/>
        <bgColor indexed="64"/>
      </patternFill>
    </fill>
  </fills>
  <borders count="6">
    <border>
      <left/>
      <right/>
      <top/>
      <bottom/>
      <diagonal/>
    </border>
    <border>
      <left style="thin">
        <color rgb="FF666666"/>
      </left>
      <right style="thin">
        <color rgb="FF666666"/>
      </right>
      <top style="thin">
        <color rgb="FF666666"/>
      </top>
      <bottom style="thin">
        <color rgb="FF666666"/>
      </bottom>
      <diagonal/>
    </border>
    <border>
      <left/>
      <right/>
      <top style="thin">
        <color rgb="FF666666"/>
      </top>
      <bottom style="thin">
        <color rgb="FF666666"/>
      </bottom>
      <diagonal/>
    </border>
    <border>
      <left/>
      <right style="thin">
        <color rgb="FF666666"/>
      </right>
      <top style="thin">
        <color rgb="FF666666"/>
      </top>
      <bottom style="thin">
        <color rgb="FF666666"/>
      </bottom>
      <diagonal/>
    </border>
    <border>
      <left/>
      <right/>
      <top style="thin">
        <color rgb="FF666666"/>
      </top>
      <bottom/>
      <diagonal/>
    </border>
    <border>
      <left/>
      <right style="thin">
        <color rgb="FF666666"/>
      </right>
      <top style="thin">
        <color rgb="FF666666"/>
      </top>
      <bottom/>
      <diagonal/>
    </border>
  </borders>
  <cellStyleXfs count="2">
    <xf numFmtId="0" fontId="8" fillId="0" borderId="0"/>
    <xf numFmtId="0" fontId="8" fillId="0" borderId="0"/>
  </cellStyleXfs>
  <cellXfs count="42">
    <xf numFmtId="0" fontId="0" fillId="0" borderId="0" pivotButton="0" quotePrefix="0" xfId="0"/>
    <xf numFmtId="0" fontId="2" fillId="2" borderId="1" applyAlignment="1" pivotButton="0" quotePrefix="0" xfId="0">
      <alignment horizontal="center" vertical="center" wrapText="1"/>
    </xf>
    <xf numFmtId="0" fontId="4" fillId="3" borderId="1" applyAlignment="1" pivotButton="0" quotePrefix="0" xfId="0">
      <alignment horizontal="left" vertical="center" wrapText="1"/>
    </xf>
    <xf numFmtId="0" fontId="0" fillId="0" borderId="1" applyAlignment="1" pivotButton="0" quotePrefix="0" xfId="0">
      <alignment vertical="center" wrapText="1"/>
    </xf>
    <xf numFmtId="164" fontId="0" fillId="4" borderId="1" applyAlignment="1" pivotButton="0" quotePrefix="0" xfId="0">
      <alignment horizontal="right" vertical="center"/>
    </xf>
    <xf numFmtId="164" fontId="0" fillId="5" borderId="1" applyAlignment="1" pivotButton="0" quotePrefix="0" xfId="0">
      <alignment horizontal="right" vertical="center"/>
    </xf>
    <xf numFmtId="0" fontId="4" fillId="3" borderId="1" applyAlignment="1" pivotButton="0" quotePrefix="0" xfId="0">
      <alignment horizontal="left" vertical="center"/>
    </xf>
    <xf numFmtId="0" fontId="0" fillId="0" borderId="2" pivotButton="0" quotePrefix="0" xfId="0"/>
    <xf numFmtId="0" fontId="0" fillId="0" borderId="3" pivotButton="0" quotePrefix="0" xfId="0"/>
    <xf numFmtId="164" fontId="0" fillId="0" borderId="1" applyAlignment="1" pivotButton="0" quotePrefix="0" xfId="0">
      <alignment horizontal="right" vertical="center"/>
    </xf>
    <xf numFmtId="0" fontId="0" fillId="0" borderId="1" applyAlignment="1" pivotButton="0" quotePrefix="0" xfId="0">
      <alignment horizontal="center" vertical="center"/>
    </xf>
    <xf numFmtId="165" fontId="0" fillId="5" borderId="1" applyAlignment="1" pivotButton="0" quotePrefix="0" xfId="0">
      <alignment horizontal="right" vertical="center"/>
    </xf>
    <xf numFmtId="4" fontId="0" fillId="4" borderId="1" applyAlignment="1" pivotButton="0" quotePrefix="0" xfId="0">
      <alignment horizontal="right" vertical="center"/>
    </xf>
    <xf numFmtId="165" fontId="0" fillId="4" borderId="1" applyAlignment="1" pivotButton="0" quotePrefix="0" xfId="0">
      <alignment horizontal="right" vertical="center"/>
    </xf>
    <xf numFmtId="165" fontId="0" fillId="0" borderId="1" applyAlignment="1" pivotButton="0" quotePrefix="0" xfId="0">
      <alignment horizontal="right" vertical="center"/>
    </xf>
    <xf numFmtId="10" fontId="0" fillId="0" borderId="1" applyAlignment="1" pivotButton="0" quotePrefix="0" xfId="0">
      <alignment horizontal="right" vertical="center"/>
    </xf>
    <xf numFmtId="10" fontId="0" fillId="4" borderId="1" applyAlignment="1" pivotButton="0" quotePrefix="0" xfId="0">
      <alignment horizontal="right" vertical="center"/>
    </xf>
    <xf numFmtId="10" fontId="0" fillId="5" borderId="1" applyAlignment="1" pivotButton="0" quotePrefix="0" xfId="0">
      <alignment horizontal="right" vertical="center"/>
    </xf>
    <xf numFmtId="0" fontId="5" fillId="0" borderId="0" pivotButton="0" quotePrefix="0" xfId="0"/>
    <xf numFmtId="0" fontId="3" fillId="0" borderId="0" pivotButton="0" quotePrefix="0" xfId="0"/>
    <xf numFmtId="0" fontId="6" fillId="0" borderId="0" pivotButton="0" quotePrefix="0" xfId="0"/>
    <xf numFmtId="0" fontId="10" fillId="0" borderId="0" applyAlignment="1" pivotButton="0" quotePrefix="0" xfId="1">
      <alignment vertical="center"/>
    </xf>
    <xf numFmtId="0" fontId="8" fillId="0" borderId="0" pivotButton="0" quotePrefix="0" xfId="1"/>
    <xf numFmtId="0" fontId="11" fillId="0" borderId="0" applyAlignment="1" pivotButton="0" quotePrefix="0" xfId="1">
      <alignment vertical="center"/>
    </xf>
    <xf numFmtId="0" fontId="12" fillId="0" borderId="0" pivotButton="0" quotePrefix="0" xfId="1"/>
    <xf numFmtId="0" fontId="13" fillId="0" borderId="0" applyAlignment="1" pivotButton="0" quotePrefix="0" xfId="1">
      <alignment vertical="center"/>
    </xf>
    <xf numFmtId="0" fontId="14" fillId="7" borderId="0" applyAlignment="1" pivotButton="0" quotePrefix="0" xfId="1">
      <alignment vertical="center"/>
    </xf>
    <xf numFmtId="0" fontId="8" fillId="7" borderId="0" pivotButton="0" quotePrefix="0" xfId="1"/>
    <xf numFmtId="0" fontId="14" fillId="8" borderId="0" applyAlignment="1" pivotButton="0" quotePrefix="0" xfId="1">
      <alignment vertical="center"/>
    </xf>
    <xf numFmtId="0" fontId="9" fillId="9" borderId="0" applyAlignment="1" pivotButton="0" quotePrefix="0" xfId="1">
      <alignment vertical="top" wrapText="1"/>
    </xf>
    <xf numFmtId="0" fontId="8" fillId="0" borderId="0" applyAlignment="1" pivotButton="0" quotePrefix="0" xfId="1">
      <alignment horizontal="left" vertical="center" indent="1"/>
    </xf>
    <xf numFmtId="0" fontId="9" fillId="0" borderId="0" pivotButton="0" quotePrefix="0" xfId="1"/>
    <xf numFmtId="0" fontId="9" fillId="0" borderId="0" applyAlignment="1" pivotButton="0" quotePrefix="0" xfId="1">
      <alignment horizontal="left" vertical="center" indent="1"/>
    </xf>
    <xf numFmtId="0" fontId="8" fillId="6" borderId="0" applyAlignment="1" pivotButton="0" quotePrefix="0" xfId="1">
      <alignment horizontal="justify" vertical="justify" wrapText="1"/>
    </xf>
    <xf numFmtId="0" fontId="8" fillId="6" borderId="0" applyAlignment="1" pivotButton="0" quotePrefix="0" xfId="1">
      <alignment horizontal="left" vertical="top" wrapText="1"/>
    </xf>
    <xf numFmtId="0" fontId="8" fillId="10" borderId="0" applyAlignment="1" pivotButton="0" quotePrefix="0" xfId="1">
      <alignment horizontal="justify" vertical="justify" wrapText="1"/>
    </xf>
    <xf numFmtId="0" fontId="0" fillId="0" borderId="0" pivotButton="0" quotePrefix="0" xfId="0"/>
    <xf numFmtId="0" fontId="7" fillId="0" borderId="0" pivotButton="0" quotePrefix="0" xfId="0"/>
    <xf numFmtId="0" fontId="2" fillId="2" borderId="1" applyAlignment="1" pivotButton="0" quotePrefix="0" xfId="0">
      <alignment horizontal="center" vertical="center" wrapText="1"/>
    </xf>
    <xf numFmtId="0" fontId="0" fillId="0" borderId="2" pivotButton="0" quotePrefix="0" xfId="0"/>
    <xf numFmtId="0" fontId="0" fillId="0" borderId="3" pivotButton="0" quotePrefix="0" xfId="0"/>
    <xf numFmtId="0" fontId="1" fillId="2" borderId="1" applyAlignment="1" pivotButton="0" quotePrefix="0" xfId="0">
      <alignment horizontal="center" vertical="center" wrapText="1"/>
    </xf>
  </cellXfs>
  <cellStyles count="2">
    <cellStyle name="Normal" xfId="0" builtinId="0"/>
    <cellStyle name="Normal 2" xfId="1"/>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styles" Target="styles.xml" Id="rId8"/><Relationship Type="http://schemas.openxmlformats.org/officeDocument/2006/relationships/theme" Target="theme/theme1.xml" Id="rId9"/></Relationships>
</file>

<file path=xl/drawings/_rels/drawing1.xml.rels><Relationships xmlns="http://schemas.openxmlformats.org/package/2006/relationships"><Relationship Type="http://schemas.openxmlformats.org/officeDocument/2006/relationships/image" Target="/xl/media/image1.jpeg" Id="rId1"/></Relationships>
</file>

<file path=xl/drawings/drawing1.xml><?xml version="1.0" encoding="utf-8"?>
<wsDr xmlns="http://schemas.openxmlformats.org/drawingml/2006/spreadsheetDrawing">
  <twoCellAnchor editAs="oneCell">
    <from>
      <col>0</col>
      <colOff>0</colOff>
      <row>17</row>
      <rowOff>0</rowOff>
    </from>
    <to>
      <col>2</col>
      <colOff>603250</colOff>
      <row>27</row>
      <rowOff>171450</rowOff>
    </to>
    <pic>
      <nvPicPr>
        <cNvPr id="2" name="Picture 1"/>
        <cNvPicPr>
          <a:picLocks xmlns:a="http://schemas.openxmlformats.org/drawingml/2006/main" noChangeAspect="1"/>
        </cNvPicPr>
      </nvPicPr>
      <blipFill>
        <a:blip xmlns:a="http://schemas.openxmlformats.org/drawingml/2006/main" xmlns:r="http://schemas.openxmlformats.org/officeDocument/2006/relationships" cstate="print" r:embed="rId1"/>
        <a:stretch xmlns:a="http://schemas.openxmlformats.org/drawingml/2006/main">
          <a:fillRect/>
        </a:stretch>
      </blipFill>
      <spPr>
        <a:xfrm xmlns:a="http://schemas.openxmlformats.org/drawingml/2006/main">
          <a:off x="0" y="8953500"/>
          <a:ext cx="1822450" cy="2012950"/>
        </a:xfrm>
        <a:prstGeom xmlns:a="http://schemas.openxmlformats.org/drawingml/2006/main" prst="rect">
          <avLst/>
        </a:prstGeom>
        <a:ln xmlns:a="http://schemas.openxmlformats.org/drawingml/2006/main">
          <a:prstDash val="solid"/>
        </a:ln>
      </spPr>
    </pic>
    <clientData/>
  </two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J33"/>
  <sheetViews>
    <sheetView tabSelected="1" topLeftCell="A16" workbookViewId="0">
      <selection activeCell="I16" sqref="I16"/>
    </sheetView>
  </sheetViews>
  <sheetFormatPr baseColWidth="8" defaultRowHeight="14.5"/>
  <cols>
    <col width="8.7265625" customWidth="1" style="22" min="1" max="6"/>
    <col width="13.90625" customWidth="1" style="22" min="7" max="7"/>
    <col width="5.6328125" customWidth="1" style="22" min="8" max="8"/>
    <col width="71.6328125" customWidth="1" style="22" min="9" max="9"/>
    <col width="7.1796875" customWidth="1" style="22" min="10" max="10"/>
    <col width="8.7265625" customWidth="1" style="22" min="11" max="16384"/>
  </cols>
  <sheetData>
    <row r="1" ht="31" customHeight="1" s="36">
      <c r="A1" s="21" t="inlineStr">
        <is>
          <t>FINANCIAL MODELING USING EXCEL</t>
        </is>
      </c>
    </row>
    <row r="2"/>
    <row r="3" ht="23.5" customHeight="1" s="36">
      <c r="A3" s="23" t="inlineStr">
        <is>
          <t>Purchase Price Allocation and Goodwill Computation Using Excel</t>
        </is>
      </c>
    </row>
    <row r="4"/>
    <row r="5">
      <c r="A5" s="24" t="inlineStr">
        <is>
          <t>Stock Acquisition Accounting and Post-Acquisition Value Analysis</t>
        </is>
      </c>
    </row>
    <row r="6"/>
    <row r="7" ht="23.5" customHeight="1" s="36">
      <c r="A7" s="25" t="inlineStr">
        <is>
          <t>Workbook Purpose</t>
        </is>
      </c>
    </row>
    <row r="8"/>
    <row r="9" ht="132.5" customHeight="1" s="36">
      <c r="A9" s="33" t="inlineStr">
        <is>
          <t>This workbook is designed to analyze purchase price allocation (PPA) in the context of a stock acquisition, with a specific focus on the computation of goodwill arising from the transaction. It translates acquisition consideration and balance-sheet data into a structured Excel framework that explains how the purchase price is allocated between identifiable net assets and goodwill.
The workbook mirrors the logic used in financial reporting, mergers and acquisitions analysis, and consolidation accounting. By working through this model, learners understand how acquisition price, fair value adjustments, and target net assets interact, and how goodwill emerges as a residual reflecting expected future economic benefits.</t>
        </is>
      </c>
    </row>
    <row r="10"/>
    <row r="11"/>
    <row r="12"/>
    <row r="13"/>
    <row r="14"/>
    <row r="15" ht="23.5" customHeight="1" s="36">
      <c r="A15" s="26" t="inlineStr">
        <is>
          <t>Key Concepts Covered</t>
        </is>
      </c>
      <c r="B15" s="27" t="n"/>
      <c r="C15" s="27" t="n"/>
      <c r="D15" s="27" t="n"/>
      <c r="E15" s="27" t="n"/>
      <c r="F15" s="27" t="n"/>
      <c r="G15" s="27" t="n"/>
      <c r="I15" s="28" t="inlineStr">
        <is>
          <t>Excel Functions Used</t>
        </is>
      </c>
    </row>
    <row r="16" ht="311.5" customHeight="1" s="36">
      <c r="A16" s="34" t="inlineStr">
        <is>
          <t>Stock acquisition structure and accounting perspective
Purchase consideration and acquisition cost measurement
Fair value adjustment of identifiable assets and liabilities
Net identifiable assets at acquisition date
Goodwill computation as a residual value
Interpretation of goodwill in financial statements
Linkage between acquisition accounting and post-deal analysis
Analytical relevance of goodwill in valuation and reporting</t>
        </is>
      </c>
      <c r="I16" s="29" t="inlineStr">
        <is>
          <t xml:space="preserve">The following Excel functions are used accurately and completely in this workbook to support acquisition analysis, goodwill computation, and internal consistency:
SUM – Aggregates asset values, liabilities, and purchase consideration
SUBTRACTION (–) – Computes net identifiable assets and goodwill residuals
IF – Handles conditional logic in fair-value adjustments and validation checks
ABS – Maintains sign discipline for assets, liabilities, and consideration
MAX / MIN – Supports boundary checks and validation of computed values
ROUND – Ensures numerical clarity and reporting precision
INDEX – Retrieves specific financial values from structured acquisition tables
MATCH – Locates asset or liability positions dynamically
INDEX–MATCH – Enables flexible, auditable referencing across sheets
SUMPRODUCT – Used where weighted aggregation of values is required
PERCENTAGE CALCULATIONS – Applied in ownership and acquisition share logic
HYPERLINK – Provides structured navigation through index and analysis sheets
The workbook emphasizes clean acquisition logic, balance-sheet consistency, and transparent reconciliation between purchase price and allocated values.
</t>
        </is>
      </c>
    </row>
    <row r="17">
      <c r="A17" s="30" t="n"/>
    </row>
    <row r="18">
      <c r="A18" s="30" t="n"/>
      <c r="E18" s="35" t="inlineStr">
        <is>
          <t>Srikanth Potharla is an accounting and finance educator with over fifteen years of teaching and industry-oriented experience. Currently serving as Assistant Professor at ICFAI Business School, Hyderabad, he specializes in financial modeling using Excel, valuation, and data analytics. His work bridges theory and practice through structured models, real-world applications, and hands-on learning resources designed for MBA, professional, and global learners.</t>
        </is>
      </c>
      <c r="I18" s="31" t="n"/>
    </row>
    <row r="19">
      <c r="A19" s="30" t="n"/>
    </row>
    <row r="20">
      <c r="A20" s="30" t="n"/>
      <c r="I20" s="31" t="n"/>
    </row>
    <row r="21">
      <c r="A21" s="30" t="n"/>
    </row>
    <row r="22">
      <c r="A22" s="30" t="n"/>
      <c r="I22" s="31" t="n"/>
    </row>
    <row r="23">
      <c r="A23" s="30" t="n"/>
    </row>
    <row r="24">
      <c r="A24" s="30" t="n"/>
      <c r="I24" s="31" t="n"/>
    </row>
    <row r="25">
      <c r="A25" s="30" t="n"/>
    </row>
    <row r="26">
      <c r="A26" s="30" t="n"/>
      <c r="I26" s="31" t="n"/>
    </row>
    <row r="27">
      <c r="A27" s="30" t="n"/>
    </row>
    <row r="28">
      <c r="A28" s="30" t="n"/>
      <c r="I28" s="31" t="n"/>
    </row>
    <row r="29">
      <c r="A29" s="30" t="n"/>
    </row>
    <row r="30">
      <c r="A30" s="30" t="n"/>
      <c r="I30" s="31" t="n"/>
    </row>
    <row r="31">
      <c r="A31" s="30" t="n"/>
      <c r="I31" s="30" t="n"/>
    </row>
    <row r="32">
      <c r="A32" s="30" t="n"/>
      <c r="I32" s="32" t="n"/>
    </row>
    <row r="33">
      <c r="A33" s="30" t="n"/>
    </row>
  </sheetData>
  <sheetProtection selectLockedCells="0" selectUnlockedCells="0" sheet="1" objects="1" insertRows="0" insertHyperlinks="1" autoFilter="0" scenarios="1" formatColumns="0" deleteColumns="0" insertColumns="0" pivotTables="0" deleteRows="0" formatCells="0" formatRows="0" sort="0" password="AE3A"/>
  <mergeCells count="3">
    <mergeCell ref="A16:G16"/>
    <mergeCell ref="A9:J9"/>
    <mergeCell ref="E18:H28"/>
  </mergeCells>
  <pageMargins left="0.7" right="0.7" top="0.75" bottom="0.75" header="0.3" footer="0.3"/>
  <drawing xmlns:r="http://schemas.openxmlformats.org/officeDocument/2006/relationships" r:id="rId1"/>
</worksheet>
</file>

<file path=xl/worksheets/sheet2.xml><?xml version="1.0" encoding="utf-8"?>
<worksheet xmlns="http://schemas.openxmlformats.org/spreadsheetml/2006/main">
  <sheetPr>
    <outlinePr summaryBelow="1" summaryRight="1"/>
    <pageSetUpPr/>
  </sheetPr>
  <dimension ref="A1:A9"/>
  <sheetViews>
    <sheetView workbookViewId="0">
      <selection activeCell="I9" sqref="I9"/>
    </sheetView>
  </sheetViews>
  <sheetFormatPr baseColWidth="8" defaultRowHeight="14.5"/>
  <sheetData>
    <row r="1" ht="18.5" customHeight="1" s="36">
      <c r="A1" s="18" t="inlineStr">
        <is>
          <t>INDEX</t>
        </is>
      </c>
    </row>
    <row r="2"/>
    <row r="3">
      <c r="A3" s="19" t="inlineStr">
        <is>
          <t>Click on a problem to navigate to the model sheet:</t>
        </is>
      </c>
    </row>
    <row r="4"/>
    <row r="5">
      <c r="A5" s="20" t="inlineStr">
        <is>
          <t>P1_1_Goodwill_Cash</t>
        </is>
      </c>
    </row>
    <row r="6">
      <c r="A6" s="20" t="inlineStr">
        <is>
          <t>P1_2_AllStock_Goodwill</t>
        </is>
      </c>
    </row>
    <row r="7">
      <c r="A7" s="20" t="inlineStr">
        <is>
          <t>P1_3_Mixed_PPA_Goodwill</t>
        </is>
      </c>
    </row>
    <row r="8">
      <c r="A8" s="20" t="inlineStr">
        <is>
          <t>P1_4_Partial_NCI</t>
        </is>
      </c>
    </row>
    <row r="9">
      <c r="A9" s="20" t="inlineStr">
        <is>
          <t>P1_5_Goodwill_Impairment</t>
        </is>
      </c>
    </row>
  </sheetData>
  <sheetProtection selectLockedCells="0" selectUnlockedCells="0" sheet="1" objects="1" insertRows="0" insertHyperlinks="1" autoFilter="0" scenarios="1" formatColumns="0" deleteColumns="0" insertColumns="0" pivotTables="0" deleteRows="0" formatCells="0" formatRows="0" sort="0" password="AE3A"/>
  <hyperlinks>
    <hyperlink ref="A5" location="'P1_1_Goodwill_Cash'!A1" display="P1_1_Goodwill_Cash"/>
    <hyperlink ref="A6" location="'P1_2_AllStock_Goodwill'!A1" display="P1_2_AllStock_Goodwill"/>
    <hyperlink ref="A7" location="'P1_3_Mixed_PPA_Goodwill'!A1" display="P1_3_Mixed_PPA_Goodwill"/>
    <hyperlink ref="A8" location="'P1_4_Partial_NCI'!A1" display="P1_4_Partial_NCI"/>
    <hyperlink ref="A9" location="'P1_5_Goodwill_Impairment'!A1" display="P1_5_Goodwill_Impairment"/>
  </hyperlink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18"/>
  <sheetViews>
    <sheetView topLeftCell="C1" workbookViewId="0">
      <pane ySplit="5" topLeftCell="A26" activePane="bottomLeft" state="frozen"/>
      <selection pane="bottomLeft" activeCell="C10" sqref="C10"/>
    </sheetView>
  </sheetViews>
  <sheetFormatPr baseColWidth="8" defaultRowHeight="14.5"/>
  <cols>
    <col width="42" customWidth="1" style="36" min="1" max="1"/>
    <col width="22" customWidth="1" style="36" min="2" max="2"/>
    <col width="45" customWidth="1" style="36" min="3" max="3"/>
    <col width="3" customWidth="1" style="36" min="4" max="4"/>
    <col width="40" customWidth="1" style="36" min="5" max="5"/>
    <col width="22" customWidth="1" style="36" min="6" max="6"/>
    <col width="45" customWidth="1" style="36" min="7" max="7"/>
  </cols>
  <sheetData>
    <row r="1" ht="26" customHeight="1" s="36">
      <c r="A1" s="37" t="inlineStr">
        <is>
          <t>← Back to Index</t>
        </is>
      </c>
    </row>
    <row r="2" ht="20" customHeight="1" s="36">
      <c r="A2" s="41" t="inlineStr">
        <is>
          <t>Problem 1.1 — Cash Acquisition &amp; Goodwill</t>
        </is>
      </c>
      <c r="B2" s="39" t="n"/>
      <c r="C2" s="39" t="n"/>
      <c r="D2" s="39" t="n"/>
      <c r="E2" s="39" t="n"/>
      <c r="F2" s="39" t="n"/>
      <c r="G2" s="40" t="n"/>
    </row>
    <row r="3" ht="20" customHeight="1" s="36">
      <c r="A3" s="38" t="inlineStr">
        <is>
          <t>Role: Junior Financial Analyst (Buy-Side)</t>
        </is>
      </c>
      <c r="B3" s="39" t="n"/>
      <c r="C3" s="39" t="n"/>
      <c r="D3" s="39" t="n"/>
      <c r="E3" s="39" t="n"/>
      <c r="F3" s="39" t="n"/>
      <c r="G3" s="40" t="n"/>
    </row>
    <row r="4" ht="18" customHeight="1" s="36">
      <c r="A4" s="38" t="inlineStr">
        <is>
          <t>Objective: Compute net identifiable assets and goodwill for a 100% cash acquisition.</t>
        </is>
      </c>
      <c r="B4" s="39" t="n"/>
      <c r="C4" s="39" t="n"/>
      <c r="D4" s="39" t="n"/>
      <c r="E4" s="39" t="n"/>
      <c r="F4" s="39" t="n"/>
      <c r="G4" s="40" t="n"/>
    </row>
    <row r="5">
      <c r="A5" s="38" t="inlineStr">
        <is>
          <t>All amounts in ₹ crore unless stated</t>
        </is>
      </c>
      <c r="B5" s="39" t="n"/>
      <c r="C5" s="39" t="n"/>
      <c r="D5" s="39" t="n"/>
      <c r="E5" s="39" t="n"/>
      <c r="F5" s="39" t="n"/>
      <c r="G5" s="40" t="n"/>
    </row>
    <row r="6"/>
    <row r="7">
      <c r="A7" s="2" t="inlineStr">
        <is>
          <t>INPUTS</t>
        </is>
      </c>
      <c r="B7" s="2" t="n"/>
      <c r="C7" s="2" t="n"/>
      <c r="E7" s="2" t="inlineStr">
        <is>
          <t>OUTPUTS</t>
        </is>
      </c>
      <c r="F7" s="2" t="n"/>
      <c r="G7" s="2" t="n"/>
    </row>
    <row r="8">
      <c r="A8" s="3" t="inlineStr">
        <is>
          <t>Purchase consideration (cash)</t>
        </is>
      </c>
      <c r="B8" s="4" t="n">
        <v>480</v>
      </c>
      <c r="C8" s="3" t="inlineStr">
        <is>
          <t>Total cash paid for 100% acquisition</t>
        </is>
      </c>
      <c r="E8" s="3" t="inlineStr">
        <is>
          <t>Net identifiable assets</t>
        </is>
      </c>
      <c r="F8" s="5">
        <f>B14</f>
        <v/>
      </c>
      <c r="G8" s="3" t="inlineStr">
        <is>
          <t>Used for purchase price allocation</t>
        </is>
      </c>
    </row>
    <row r="9">
      <c r="A9" s="3" t="inlineStr">
        <is>
          <t>Identifiable assets (book/fair)</t>
        </is>
      </c>
      <c r="B9" s="4" t="n">
        <v>620</v>
      </c>
      <c r="C9" s="3" t="inlineStr">
        <is>
          <t>No FV adjustments assumed</t>
        </is>
      </c>
      <c r="E9" s="3" t="inlineStr">
        <is>
          <t>Goodwill</t>
        </is>
      </c>
      <c r="F9" s="5">
        <f>B15</f>
        <v/>
      </c>
      <c r="G9" s="3" t="inlineStr">
        <is>
          <t>Residual value on consolidation</t>
        </is>
      </c>
    </row>
    <row r="10">
      <c r="A10" s="3" t="inlineStr">
        <is>
          <t>Identifiable liabilities (book/fair)</t>
        </is>
      </c>
      <c r="B10" s="4" t="n">
        <v>260</v>
      </c>
      <c r="C10" s="3" t="inlineStr">
        <is>
          <t>No FV adjustments assumed</t>
        </is>
      </c>
    </row>
    <row r="11"/>
    <row r="12">
      <c r="A12" s="6" t="inlineStr">
        <is>
          <t>CALCULATIONS</t>
        </is>
      </c>
      <c r="B12" s="39" t="n"/>
      <c r="C12" s="40" t="n"/>
    </row>
    <row r="13">
      <c r="A13" s="3" t="inlineStr">
        <is>
          <t>Net identifiable assets acquired</t>
        </is>
      </c>
      <c r="B13" s="9">
        <f>B8-B9</f>
        <v/>
      </c>
      <c r="C13" s="3" t="inlineStr">
        <is>
          <t>Assets − Liabilities</t>
        </is>
      </c>
    </row>
    <row r="14">
      <c r="A14" s="3" t="inlineStr">
        <is>
          <t>Goodwill</t>
        </is>
      </c>
      <c r="B14" s="9">
        <f>B7-B14</f>
        <v/>
      </c>
      <c r="C14" s="3" t="inlineStr">
        <is>
          <t>Consideration − Net identifiable assets</t>
        </is>
      </c>
    </row>
    <row r="15"/>
    <row r="16">
      <c r="A16" s="6" t="inlineStr">
        <is>
          <t>CHECKS</t>
        </is>
      </c>
      <c r="B16" s="39" t="n"/>
      <c r="C16" s="40" t="n"/>
    </row>
    <row r="17" ht="29" customHeight="1" s="36">
      <c r="A17" s="3" t="inlineStr">
        <is>
          <t>Goodwill non-negative?</t>
        </is>
      </c>
      <c r="B17" s="10">
        <f>IF(B15&gt;=0,"PASS","FAIL")</f>
        <v/>
      </c>
      <c r="C17" s="3" t="inlineStr">
        <is>
          <t>If FAIL, indicates bargain purchase / negative goodwill.</t>
        </is>
      </c>
    </row>
    <row r="18">
      <c r="A18" s="3" t="inlineStr">
        <is>
          <t>Consideration equals cash input?</t>
        </is>
      </c>
      <c r="B18" s="10">
        <f>IF(B7=B7,"PASS","FAIL")</f>
        <v/>
      </c>
      <c r="C18" s="3" t="inlineStr">
        <is>
          <t>Sanity check (always PASS unless edited).</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1:C11"/>
    <mergeCell ref="A1:G1"/>
    <mergeCell ref="A3:G3"/>
    <mergeCell ref="A4:G4"/>
    <mergeCell ref="A2:G2"/>
    <mergeCell ref="A15:C15"/>
  </mergeCells>
  <hyperlinks>
    <hyperlink ref="A1" location="Index!A1" display="← Back to Index"/>
  </hyperlink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G23"/>
  <sheetViews>
    <sheetView workbookViewId="0">
      <pane ySplit="5" topLeftCell="A16" activePane="bottomLeft" state="frozen"/>
      <selection pane="bottomLeft" activeCell="A1" sqref="A1:G1"/>
    </sheetView>
  </sheetViews>
  <sheetFormatPr baseColWidth="8" defaultRowHeight="14.5"/>
  <cols>
    <col width="42" customWidth="1" style="36" min="1" max="1"/>
    <col width="22" customWidth="1" style="36" min="2" max="2"/>
    <col width="45" customWidth="1" style="36" min="3" max="3"/>
    <col width="3" customWidth="1" style="36" min="4" max="4"/>
    <col width="40" customWidth="1" style="36" min="5" max="5"/>
    <col width="22" customWidth="1" style="36" min="6" max="6"/>
    <col width="45" customWidth="1" style="36" min="7" max="7"/>
  </cols>
  <sheetData>
    <row r="1" ht="26" customHeight="1" s="36">
      <c r="A1" s="37" t="inlineStr">
        <is>
          <t>← Back to Index</t>
        </is>
      </c>
    </row>
    <row r="2" ht="20" customHeight="1" s="36">
      <c r="A2" s="41" t="inlineStr">
        <is>
          <t>Problem 1.2 — All-Stock Acquisition &amp; Goodwill</t>
        </is>
      </c>
      <c r="B2" s="39" t="n"/>
      <c r="C2" s="39" t="n"/>
      <c r="D2" s="39" t="n"/>
      <c r="E2" s="39" t="n"/>
      <c r="F2" s="39" t="n"/>
      <c r="G2" s="40" t="n"/>
    </row>
    <row r="3" ht="20" customHeight="1" s="36">
      <c r="A3" s="38" t="inlineStr">
        <is>
          <t>Role: Equity Research Analyst</t>
        </is>
      </c>
      <c r="B3" s="39" t="n"/>
      <c r="C3" s="39" t="n"/>
      <c r="D3" s="39" t="n"/>
      <c r="E3" s="39" t="n"/>
      <c r="F3" s="39" t="n"/>
      <c r="G3" s="40" t="n"/>
    </row>
    <row r="4" ht="18" customHeight="1" s="36">
      <c r="A4" s="38" t="inlineStr">
        <is>
          <t>Objective: Compute shares issued, implied consideration, post-deal shares, and goodwill.</t>
        </is>
      </c>
      <c r="B4" s="39" t="n"/>
      <c r="C4" s="39" t="n"/>
      <c r="D4" s="39" t="n"/>
      <c r="E4" s="39" t="n"/>
      <c r="F4" s="39" t="n"/>
      <c r="G4" s="40" t="n"/>
    </row>
    <row r="5" ht="29" customHeight="1" s="36">
      <c r="A5" s="38" t="inlineStr">
        <is>
          <t>Share counts in crore shares; money in ₹ crore unless stated.</t>
        </is>
      </c>
      <c r="B5" s="39" t="n"/>
      <c r="C5" s="39" t="n"/>
      <c r="D5" s="39" t="n"/>
      <c r="E5" s="39" t="n"/>
      <c r="F5" s="39" t="n"/>
      <c r="G5" s="40" t="n"/>
    </row>
    <row r="6"/>
    <row r="7">
      <c r="A7" s="2" t="inlineStr">
        <is>
          <t>INPUTS</t>
        </is>
      </c>
      <c r="B7" s="2" t="n"/>
      <c r="C7" s="2" t="n"/>
      <c r="E7" s="2" t="inlineStr">
        <is>
          <t>OUTPUTS</t>
        </is>
      </c>
      <c r="F7" s="2" t="n"/>
      <c r="G7" s="2" t="n"/>
    </row>
    <row r="8">
      <c r="A8" s="3" t="inlineStr">
        <is>
          <t>Acquirer share price (₹/share)</t>
        </is>
      </c>
      <c r="B8" s="4" t="n">
        <v>240</v>
      </c>
      <c r="C8" s="3" t="inlineStr">
        <is>
          <t>Gamma current market price</t>
        </is>
      </c>
      <c r="E8" s="3" t="inlineStr">
        <is>
          <t>Shares issued (crore)</t>
        </is>
      </c>
      <c r="F8" s="11">
        <f>B14</f>
        <v/>
      </c>
      <c r="G8" s="3" t="inlineStr">
        <is>
          <t>Issued to target shareholders</t>
        </is>
      </c>
    </row>
    <row r="9">
      <c r="A9" s="3" t="inlineStr">
        <is>
          <t>Acquirer shares outstanding (crore)</t>
        </is>
      </c>
      <c r="B9" s="12" t="n">
        <v>8</v>
      </c>
      <c r="C9" s="3" t="inlineStr">
        <is>
          <t>Pre-deal shares outstanding</t>
        </is>
      </c>
      <c r="E9" s="3" t="inlineStr">
        <is>
          <t>Implied consideration (₹ crore)</t>
        </is>
      </c>
      <c r="F9" s="5">
        <f>B15</f>
        <v/>
      </c>
      <c r="G9" s="3" t="inlineStr">
        <is>
          <t>Stock deal value at acquirer market price</t>
        </is>
      </c>
    </row>
    <row r="10" ht="29" customHeight="1" s="36">
      <c r="A10" s="3" t="inlineStr">
        <is>
          <t>Exchange ratio (Acquirer shares per 1 Target share)</t>
        </is>
      </c>
      <c r="B10" s="13" t="n">
        <v>0.25</v>
      </c>
      <c r="C10" s="3" t="inlineStr">
        <is>
          <t>1 new share for every 4 Delta shares</t>
        </is>
      </c>
      <c r="E10" s="3" t="inlineStr">
        <is>
          <t>Post-deal shares (crore)</t>
        </is>
      </c>
      <c r="F10" s="11">
        <f>B16</f>
        <v/>
      </c>
      <c r="G10" s="3" t="inlineStr">
        <is>
          <t>Used for EPS/dilution analysis</t>
        </is>
      </c>
    </row>
    <row r="11">
      <c r="A11" s="3" t="inlineStr">
        <is>
          <t>Target shares outstanding (crore)</t>
        </is>
      </c>
      <c r="B11" s="12" t="n">
        <v>3</v>
      </c>
      <c r="C11" s="3" t="inlineStr">
        <is>
          <t>Delta shares outstanding</t>
        </is>
      </c>
      <c r="E11" s="3" t="inlineStr">
        <is>
          <t>Goodwill (₹ crore)</t>
        </is>
      </c>
      <c r="F11" s="5">
        <f>B17</f>
        <v/>
      </c>
      <c r="G11" s="3" t="inlineStr">
        <is>
          <t>Residual on consolidation</t>
        </is>
      </c>
    </row>
    <row r="12">
      <c r="A12" s="3" t="inlineStr">
        <is>
          <t>Target net identifiable assets (₹ crore)</t>
        </is>
      </c>
      <c r="B12" s="4" t="n">
        <v>360</v>
      </c>
      <c r="C12" s="3" t="inlineStr">
        <is>
          <t>Fair value estimate of net identifiable assets</t>
        </is>
      </c>
    </row>
    <row r="13"/>
    <row r="14">
      <c r="A14" s="6" t="inlineStr">
        <is>
          <t>CALCULATIONS</t>
        </is>
      </c>
      <c r="B14" s="39" t="n"/>
      <c r="C14" s="40" t="n"/>
    </row>
    <row r="15">
      <c r="A15" s="3" t="inlineStr">
        <is>
          <t>New shares issued (crore)</t>
        </is>
      </c>
      <c r="B15" s="14">
        <f>B9*B10</f>
        <v/>
      </c>
      <c r="C15" s="3" t="inlineStr">
        <is>
          <t>Exchange ratio × Target shares outstanding</t>
        </is>
      </c>
    </row>
    <row r="16" ht="29" customHeight="1" s="36">
      <c r="A16" s="3" t="inlineStr">
        <is>
          <t>Implied purchase consideration (₹ crore)</t>
        </is>
      </c>
      <c r="B16" s="9">
        <f>B14*B7</f>
        <v/>
      </c>
      <c r="C16" s="3" t="inlineStr">
        <is>
          <t>Shares issued (crore) × Acquirer share price (₹/share)</t>
        </is>
      </c>
    </row>
    <row r="17">
      <c r="A17" s="3" t="inlineStr">
        <is>
          <t>Post-acquisition shares (crore)</t>
        </is>
      </c>
      <c r="B17" s="14">
        <f>B8+B14</f>
        <v/>
      </c>
      <c r="C17" s="3" t="inlineStr">
        <is>
          <t>Pre-deal shares + New shares issued</t>
        </is>
      </c>
    </row>
    <row r="18">
      <c r="A18" s="3" t="inlineStr">
        <is>
          <t>Goodwill (₹ crore)</t>
        </is>
      </c>
      <c r="B18" s="9">
        <f>B15-B11</f>
        <v/>
      </c>
      <c r="C18" s="3" t="inlineStr">
        <is>
          <t>Consideration − Net identifiable assets</t>
        </is>
      </c>
    </row>
    <row r="19">
      <c r="A19" s="3" t="inlineStr">
        <is>
          <t>Dilution (% increase in shares)</t>
        </is>
      </c>
      <c r="B19" s="15">
        <f>B14/B8</f>
        <v/>
      </c>
      <c r="C19" s="3" t="inlineStr">
        <is>
          <t>New shares ÷ Pre-deal shares</t>
        </is>
      </c>
    </row>
    <row r="20"/>
    <row r="21">
      <c r="A21" s="6" t="inlineStr">
        <is>
          <t>CHECKS</t>
        </is>
      </c>
      <c r="B21" s="39" t="n"/>
      <c r="C21" s="40" t="n"/>
    </row>
    <row r="22">
      <c r="A22" s="3" t="inlineStr">
        <is>
          <t>Goodwill non-negative?</t>
        </is>
      </c>
      <c r="B22" s="10">
        <f>IF(B17&gt;=0,"PASS","FAIL")</f>
        <v/>
      </c>
      <c r="C22" s="3" t="inlineStr">
        <is>
          <t>If negative, indicates bargain purchase.</t>
        </is>
      </c>
    </row>
    <row r="23">
      <c r="A23" s="3" t="inlineStr">
        <is>
          <t>Shares issued computed?</t>
        </is>
      </c>
      <c r="B23" s="10">
        <f>IF(B14&gt;0,"PASS","FAIL")</f>
        <v/>
      </c>
      <c r="C23" s="3" t="inlineStr">
        <is>
          <t>Must be &gt;0 for a stock deal.</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3:C13"/>
    <mergeCell ref="A1:G1"/>
    <mergeCell ref="A3:G3"/>
    <mergeCell ref="A4:G4"/>
    <mergeCell ref="A2:G2"/>
    <mergeCell ref="A20:C20"/>
  </mergeCells>
  <hyperlinks>
    <hyperlink ref="A1" location="Index!A1" display="← Back to Index"/>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G22"/>
  <sheetViews>
    <sheetView workbookViewId="0">
      <pane ySplit="5" topLeftCell="A18" activePane="bottomLeft" state="frozen"/>
      <selection pane="bottomLeft" activeCell="A1" sqref="A1:G1"/>
    </sheetView>
  </sheetViews>
  <sheetFormatPr baseColWidth="8" defaultRowHeight="14.5"/>
  <cols>
    <col width="42" customWidth="1" style="36" min="1" max="1"/>
    <col width="22" customWidth="1" style="36" min="2" max="2"/>
    <col width="45" customWidth="1" style="36" min="3" max="3"/>
    <col width="3" customWidth="1" style="36" min="4" max="4"/>
    <col width="40" customWidth="1" style="36" min="5" max="5"/>
    <col width="22" customWidth="1" style="36" min="6" max="6"/>
    <col width="45" customWidth="1" style="36" min="7" max="7"/>
  </cols>
  <sheetData>
    <row r="1" ht="26" customHeight="1" s="36">
      <c r="A1" s="37" t="inlineStr">
        <is>
          <t>← Back to Index</t>
        </is>
      </c>
    </row>
    <row r="2" ht="20" customHeight="1" s="36">
      <c r="A2" s="41" t="inlineStr">
        <is>
          <t>Problem 1.3 — Mixed Consideration &amp; PPA Adjustments</t>
        </is>
      </c>
      <c r="B2" s="39" t="n"/>
      <c r="C2" s="39" t="n"/>
      <c r="D2" s="39" t="n"/>
      <c r="E2" s="39" t="n"/>
      <c r="F2" s="39" t="n"/>
      <c r="G2" s="40" t="n"/>
    </row>
    <row r="3" ht="20" customHeight="1" s="36">
      <c r="A3" s="38" t="inlineStr">
        <is>
          <t>Role: M&amp;A Advisory Associate</t>
        </is>
      </c>
      <c r="B3" s="39" t="n"/>
      <c r="C3" s="39" t="n"/>
      <c r="D3" s="39" t="n"/>
      <c r="E3" s="39" t="n"/>
      <c r="F3" s="39" t="n"/>
      <c r="G3" s="40" t="n"/>
    </row>
    <row r="4" ht="18" customHeight="1" s="36">
      <c r="A4" s="38" t="inlineStr">
        <is>
          <t>Objective: Compute total consideration, fair value net assets after adjustments, and goodwill.</t>
        </is>
      </c>
      <c r="B4" s="39" t="n"/>
      <c r="C4" s="39" t="n"/>
      <c r="D4" s="39" t="n"/>
      <c r="E4" s="39" t="n"/>
      <c r="F4" s="39" t="n"/>
      <c r="G4" s="40" t="n"/>
    </row>
    <row r="5">
      <c r="A5" s="38" t="inlineStr">
        <is>
          <t>All amounts in ₹ crore unless stated</t>
        </is>
      </c>
      <c r="B5" s="39" t="n"/>
      <c r="C5" s="39" t="n"/>
      <c r="D5" s="39" t="n"/>
      <c r="E5" s="39" t="n"/>
      <c r="F5" s="39" t="n"/>
      <c r="G5" s="40" t="n"/>
    </row>
    <row r="6"/>
    <row r="7">
      <c r="A7" s="2" t="inlineStr">
        <is>
          <t>INPUTS</t>
        </is>
      </c>
      <c r="B7" s="2" t="n"/>
      <c r="C7" s="2" t="n"/>
      <c r="E7" s="2" t="inlineStr">
        <is>
          <t>OUTPUTS</t>
        </is>
      </c>
      <c r="F7" s="2" t="n"/>
      <c r="G7" s="2" t="n"/>
    </row>
    <row r="8">
      <c r="A8" s="3" t="inlineStr">
        <is>
          <t>Cash paid (₹ crore)</t>
        </is>
      </c>
      <c r="B8" s="4" t="n">
        <v>300</v>
      </c>
      <c r="C8" s="3" t="inlineStr">
        <is>
          <t>Cash component of consideration</t>
        </is>
      </c>
      <c r="E8" s="3" t="inlineStr">
        <is>
          <t>Total consideration (₹ crore)</t>
        </is>
      </c>
      <c r="F8" s="5">
        <f>B14</f>
        <v/>
      </c>
      <c r="G8" s="3" t="inlineStr">
        <is>
          <t>Used for consolidation entry</t>
        </is>
      </c>
    </row>
    <row r="9">
      <c r="A9" s="3" t="inlineStr">
        <is>
          <t>Stock issued value (₹ crore)</t>
        </is>
      </c>
      <c r="B9" s="4" t="n">
        <v>200</v>
      </c>
      <c r="C9" s="3" t="inlineStr">
        <is>
          <t>Equity component at market value</t>
        </is>
      </c>
      <c r="E9" s="3" t="inlineStr">
        <is>
          <t>FV net assets (₹ crore)</t>
        </is>
      </c>
      <c r="F9" s="5">
        <f>B15</f>
        <v/>
      </c>
      <c r="G9" s="3" t="inlineStr">
        <is>
          <t>Purchase price allocation base</t>
        </is>
      </c>
    </row>
    <row r="10">
      <c r="A10" s="3" t="inlineStr">
        <is>
          <t>Book value of identifiable net assets (₹ crore)</t>
        </is>
      </c>
      <c r="B10" s="4" t="n">
        <v>410</v>
      </c>
      <c r="C10" s="3" t="inlineStr">
        <is>
          <t>Target book net assets</t>
        </is>
      </c>
      <c r="E10" s="3" t="inlineStr">
        <is>
          <t>Goodwill (₹ crore)</t>
        </is>
      </c>
      <c r="F10" s="5">
        <f>B16</f>
        <v/>
      </c>
      <c r="G10" s="3" t="inlineStr">
        <is>
          <t>Residual</t>
        </is>
      </c>
    </row>
    <row r="11">
      <c r="A11" s="3" t="inlineStr">
        <is>
          <t>Unrecorded brand value uplift (₹ crore)</t>
        </is>
      </c>
      <c r="B11" s="4" t="n">
        <v>90</v>
      </c>
      <c r="C11" s="3" t="inlineStr">
        <is>
          <t>FV step-up (intangible)</t>
        </is>
      </c>
    </row>
    <row r="12">
      <c r="A12" s="3" t="inlineStr">
        <is>
          <t>Land undervaluation uplift (₹ crore)</t>
        </is>
      </c>
      <c r="B12" s="4" t="n">
        <v>40</v>
      </c>
      <c r="C12" s="3" t="inlineStr">
        <is>
          <t>FV step-up (land)</t>
        </is>
      </c>
    </row>
    <row r="13">
      <c r="A13" s="3" t="inlineStr">
        <is>
          <t>Contingent liabilities recognized (₹ crore)</t>
        </is>
      </c>
      <c r="B13" s="4" t="n">
        <v>30</v>
      </c>
      <c r="C13" s="3" t="inlineStr">
        <is>
          <t>FV of contingent liabilities to recognize</t>
        </is>
      </c>
    </row>
    <row r="14"/>
    <row r="15">
      <c r="A15" s="6" t="inlineStr">
        <is>
          <t>CALCULATIONS</t>
        </is>
      </c>
      <c r="B15" s="39" t="n"/>
      <c r="C15" s="40" t="n"/>
    </row>
    <row r="16">
      <c r="A16" s="3" t="inlineStr">
        <is>
          <t>Total purchase consideration (₹ crore)</t>
        </is>
      </c>
      <c r="B16" s="9">
        <f>B7+B8</f>
        <v/>
      </c>
      <c r="C16" s="3" t="inlineStr">
        <is>
          <t>Cash + Stock value</t>
        </is>
      </c>
    </row>
    <row r="17">
      <c r="A17" s="3" t="inlineStr">
        <is>
          <t>Fair value of identifiable net assets (₹ crore)</t>
        </is>
      </c>
      <c r="B17" s="9">
        <f>B9+B10+B11-B12</f>
        <v/>
      </c>
      <c r="C17" s="3" t="inlineStr">
        <is>
          <t>Book net assets + uplifts − contingent liabilities</t>
        </is>
      </c>
    </row>
    <row r="18">
      <c r="A18" s="3" t="inlineStr">
        <is>
          <t>Goodwill (₹ crore)</t>
        </is>
      </c>
      <c r="B18" s="9">
        <f>B14-B15</f>
        <v/>
      </c>
      <c r="C18" s="3" t="inlineStr">
        <is>
          <t>Consideration − FV net assets</t>
        </is>
      </c>
    </row>
    <row r="19"/>
    <row r="20">
      <c r="A20" s="6" t="inlineStr">
        <is>
          <t>CHECKS</t>
        </is>
      </c>
      <c r="B20" s="39" t="n"/>
      <c r="C20" s="40" t="n"/>
    </row>
    <row r="21">
      <c r="A21" s="3" t="inlineStr">
        <is>
          <t>FV net assets positive?</t>
        </is>
      </c>
      <c r="B21" s="10">
        <f>IF(B15&gt;0,"PASS","FAIL")</f>
        <v/>
      </c>
      <c r="C21" s="3" t="inlineStr">
        <is>
          <t>Should generally be positive.</t>
        </is>
      </c>
    </row>
    <row r="22">
      <c r="A22" s="3" t="inlineStr">
        <is>
          <t>Goodwill non-negative?</t>
        </is>
      </c>
      <c r="B22" s="10">
        <f>IF(B16&gt;=0,"PASS","FAIL")</f>
        <v/>
      </c>
      <c r="C22" s="3" t="inlineStr">
        <is>
          <t>If negative, indicates bargain purchase.</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9:C19"/>
    <mergeCell ref="A1:G1"/>
    <mergeCell ref="A3:G3"/>
    <mergeCell ref="A14:C14"/>
    <mergeCell ref="A4:G4"/>
    <mergeCell ref="A2:G2"/>
  </mergeCells>
  <hyperlinks>
    <hyperlink ref="A1" location="Index!A1" display="← Back to Index"/>
  </hyperlink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G20"/>
  <sheetViews>
    <sheetView workbookViewId="0">
      <pane ySplit="5" topLeftCell="A6" activePane="bottomLeft" state="frozen"/>
      <selection pane="bottomLeft" activeCell="A1" sqref="A1:G1"/>
    </sheetView>
  </sheetViews>
  <sheetFormatPr baseColWidth="8" defaultRowHeight="14.5"/>
  <cols>
    <col width="42" customWidth="1" style="36" min="1" max="1"/>
    <col width="22" customWidth="1" style="36" min="2" max="2"/>
    <col width="45" customWidth="1" style="36" min="3" max="3"/>
    <col width="3" customWidth="1" style="36" min="4" max="4"/>
    <col width="40" customWidth="1" style="36" min="5" max="5"/>
    <col width="22" customWidth="1" style="36" min="6" max="6"/>
    <col width="45" customWidth="1" style="36" min="7" max="7"/>
  </cols>
  <sheetData>
    <row r="1" ht="26" customHeight="1" s="36">
      <c r="A1" s="37" t="inlineStr">
        <is>
          <t>← Back to Index</t>
        </is>
      </c>
    </row>
    <row r="2" ht="20" customHeight="1" s="36">
      <c r="A2" s="41" t="inlineStr">
        <is>
          <t>Problem 1.4 — Partial Acquisition &amp; NCI</t>
        </is>
      </c>
      <c r="B2" s="39" t="n"/>
      <c r="C2" s="39" t="n"/>
      <c r="D2" s="39" t="n"/>
      <c r="E2" s="39" t="n"/>
      <c r="F2" s="39" t="n"/>
      <c r="G2" s="40" t="n"/>
    </row>
    <row r="3" ht="20" customHeight="1" s="36">
      <c r="A3" s="38" t="inlineStr">
        <is>
          <t>Role: Corporate Finance Manager (Acquirer)</t>
        </is>
      </c>
      <c r="B3" s="39" t="n"/>
      <c r="C3" s="39" t="n"/>
      <c r="D3" s="39" t="n"/>
      <c r="E3" s="39" t="n"/>
      <c r="F3" s="39" t="n"/>
      <c r="G3" s="40" t="n"/>
    </row>
    <row r="4" ht="18" customHeight="1" s="36">
      <c r="A4" s="38" t="inlineStr">
        <is>
          <t>Objective: Compute NCI and goodwill under proportionate share method.</t>
        </is>
      </c>
      <c r="B4" s="39" t="n"/>
      <c r="C4" s="39" t="n"/>
      <c r="D4" s="39" t="n"/>
      <c r="E4" s="39" t="n"/>
      <c r="F4" s="39" t="n"/>
      <c r="G4" s="40" t="n"/>
    </row>
    <row r="5">
      <c r="A5" s="38" t="inlineStr">
        <is>
          <t>All amounts in ₹ crore unless stated</t>
        </is>
      </c>
      <c r="B5" s="39" t="n"/>
      <c r="C5" s="39" t="n"/>
      <c r="D5" s="39" t="n"/>
      <c r="E5" s="39" t="n"/>
      <c r="F5" s="39" t="n"/>
      <c r="G5" s="40" t="n"/>
    </row>
    <row r="6"/>
    <row r="7">
      <c r="A7" s="2" t="inlineStr">
        <is>
          <t>INPUTS</t>
        </is>
      </c>
      <c r="B7" s="2" t="n"/>
      <c r="C7" s="2" t="n"/>
      <c r="E7" s="2" t="inlineStr">
        <is>
          <t>OUTPUTS</t>
        </is>
      </c>
      <c r="F7" s="2" t="n"/>
      <c r="G7" s="2" t="n"/>
    </row>
    <row r="8">
      <c r="A8" s="3" t="inlineStr">
        <is>
          <t>Stake acquired (%)</t>
        </is>
      </c>
      <c r="B8" s="16" t="n">
        <v>0.75</v>
      </c>
      <c r="C8" s="3" t="inlineStr">
        <is>
          <t>Zenith acquires 75% of Spark</t>
        </is>
      </c>
      <c r="E8" s="3" t="inlineStr">
        <is>
          <t>NCI %</t>
        </is>
      </c>
      <c r="F8" s="17">
        <f>B11</f>
        <v/>
      </c>
      <c r="G8" s="3" t="inlineStr">
        <is>
          <t>Non-controlling interest percentage</t>
        </is>
      </c>
    </row>
    <row r="9">
      <c r="A9" s="3" t="inlineStr">
        <is>
          <t>Cash consideration for acquired stake (₹ crore)</t>
        </is>
      </c>
      <c r="B9" s="4" t="n">
        <v>900</v>
      </c>
      <c r="C9" s="3" t="inlineStr">
        <is>
          <t>Cash paid for 75% stake</t>
        </is>
      </c>
      <c r="E9" s="3" t="inlineStr">
        <is>
          <t>NCI value (₹ crore)</t>
        </is>
      </c>
      <c r="F9" s="5">
        <f>B12</f>
        <v/>
      </c>
      <c r="G9" s="3" t="inlineStr">
        <is>
          <t>Measured at proportionate share of net assets</t>
        </is>
      </c>
    </row>
    <row r="10">
      <c r="A10" s="3" t="inlineStr">
        <is>
          <t>Implied 100% equity value (₹ crore)</t>
        </is>
      </c>
      <c r="B10" s="4" t="n">
        <v>1200</v>
      </c>
      <c r="C10" s="3" t="inlineStr">
        <is>
          <t>Given implied total equity value</t>
        </is>
      </c>
      <c r="E10" s="3" t="inlineStr">
        <is>
          <t>Goodwill (₹ crore)</t>
        </is>
      </c>
      <c r="F10" s="5">
        <f>B13</f>
        <v/>
      </c>
      <c r="G10" s="3" t="inlineStr">
        <is>
          <t>Goodwill attributable to parent under this policy</t>
        </is>
      </c>
    </row>
    <row r="11">
      <c r="A11" s="3" t="inlineStr">
        <is>
          <t>FV identifiable net assets (₹ crore)</t>
        </is>
      </c>
      <c r="B11" s="4" t="n">
        <v>820</v>
      </c>
      <c r="C11" s="3" t="inlineStr">
        <is>
          <t>Fair value of net identifiable assets</t>
        </is>
      </c>
    </row>
    <row r="12"/>
    <row r="13">
      <c r="A13" s="6" t="inlineStr">
        <is>
          <t>CALCULATIONS</t>
        </is>
      </c>
      <c r="B13" s="39" t="n"/>
      <c r="C13" s="40" t="n"/>
    </row>
    <row r="14">
      <c r="A14" s="3" t="inlineStr">
        <is>
          <t>Non-controlling interest (NCI) %</t>
        </is>
      </c>
      <c r="B14" s="15">
        <f>1-B7</f>
        <v/>
      </c>
      <c r="C14" s="3" t="inlineStr">
        <is>
          <t>1 − acquired stake</t>
        </is>
      </c>
    </row>
    <row r="15">
      <c r="A15" s="3" t="inlineStr">
        <is>
          <t>NCI value (₹ crore)</t>
        </is>
      </c>
      <c r="B15" s="9">
        <f>B11*B10</f>
        <v/>
      </c>
      <c r="C15" s="3" t="inlineStr">
        <is>
          <t>Proportionate share of net assets (policy choice)</t>
        </is>
      </c>
    </row>
    <row r="16">
      <c r="A16" s="3" t="inlineStr">
        <is>
          <t>Goodwill (₹ crore)</t>
        </is>
      </c>
      <c r="B16" s="9">
        <f>B9-(B7*B10)</f>
        <v/>
      </c>
      <c r="C16" s="3" t="inlineStr">
        <is>
          <t>Consideration − (parent share of FV net assets)</t>
        </is>
      </c>
    </row>
    <row r="17"/>
    <row r="18">
      <c r="A18" s="6" t="inlineStr">
        <is>
          <t>CHECKS</t>
        </is>
      </c>
      <c r="B18" s="39" t="n"/>
      <c r="C18" s="40" t="n"/>
    </row>
    <row r="19">
      <c r="A19" s="3" t="inlineStr">
        <is>
          <t>Stake % valid (&lt;=100%)?</t>
        </is>
      </c>
      <c r="B19" s="10">
        <f>IF(B7&lt;=1,"PASS","FAIL")</f>
        <v/>
      </c>
      <c r="C19" s="3" t="inlineStr">
        <is>
          <t>Acquired stake must be ≤ 100%.</t>
        </is>
      </c>
    </row>
    <row r="20">
      <c r="A20" s="3" t="inlineStr">
        <is>
          <t>NCI % + stake = 100%?</t>
        </is>
      </c>
      <c r="B20" s="10">
        <f>IF(ABS((B11+B7)-1)&lt;0.000001,"PASS","FAIL")</f>
        <v/>
      </c>
      <c r="C20" s="3" t="inlineStr">
        <is>
          <t>Percentages must sum to 100%.</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G1"/>
    <mergeCell ref="A3:G3"/>
    <mergeCell ref="A4:G4"/>
    <mergeCell ref="A17:C17"/>
    <mergeCell ref="A2:G2"/>
    <mergeCell ref="A12:C12"/>
  </mergeCells>
  <hyperlinks>
    <hyperlink ref="A1" location="Index!A1" display="← Back to Index"/>
  </hyperlink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G20"/>
  <sheetViews>
    <sheetView workbookViewId="0">
      <pane ySplit="5" topLeftCell="A6" activePane="bottomLeft" state="frozen"/>
      <selection pane="bottomLeft" activeCell="A8" sqref="A8"/>
    </sheetView>
  </sheetViews>
  <sheetFormatPr baseColWidth="8" defaultRowHeight="14.5"/>
  <cols>
    <col width="42" customWidth="1" style="36" min="1" max="1"/>
    <col width="22" customWidth="1" style="36" min="2" max="2"/>
    <col width="44.453125" customWidth="1" style="36" min="3" max="3"/>
    <col width="16.7265625" customWidth="1" style="36" min="4" max="4"/>
    <col width="40" customWidth="1" style="36" min="5" max="5"/>
    <col width="22" customWidth="1" style="36" min="6" max="6"/>
    <col width="45" customWidth="1" style="36" min="7" max="7"/>
  </cols>
  <sheetData>
    <row r="1" ht="26" customHeight="1" s="36">
      <c r="A1" s="37" t="inlineStr">
        <is>
          <t>← Back to Index</t>
        </is>
      </c>
    </row>
    <row r="2" ht="20" customHeight="1" s="36">
      <c r="A2" s="41" t="inlineStr">
        <is>
          <t>Problem 1.5 — Goodwill Impairment</t>
        </is>
      </c>
      <c r="B2" s="39" t="n"/>
      <c r="C2" s="39" t="n"/>
      <c r="D2" s="39" t="n"/>
      <c r="E2" s="39" t="n"/>
      <c r="F2" s="39" t="n"/>
      <c r="G2" s="40" t="n"/>
    </row>
    <row r="3" ht="20" customHeight="1" s="36">
      <c r="A3" s="38" t="inlineStr">
        <is>
          <t>Role: Financial Reporting Consultant</t>
        </is>
      </c>
      <c r="B3" s="39" t="n"/>
      <c r="C3" s="39" t="n"/>
      <c r="D3" s="39" t="n"/>
      <c r="E3" s="39" t="n"/>
      <c r="F3" s="39" t="n"/>
      <c r="G3" s="40" t="n"/>
    </row>
    <row r="4" ht="18" customHeight="1" s="36">
      <c r="A4" s="38" t="inlineStr">
        <is>
          <t>Objective: Determine whether goodwill impairment is required and quantify impairment loss.</t>
        </is>
      </c>
      <c r="B4" s="39" t="n"/>
      <c r="C4" s="39" t="n"/>
      <c r="D4" s="39" t="n"/>
      <c r="E4" s="39" t="n"/>
      <c r="F4" s="39" t="n"/>
      <c r="G4" s="40" t="n"/>
    </row>
    <row r="5">
      <c r="A5" s="38" t="inlineStr">
        <is>
          <t>All amounts in ₹ crore unless stated</t>
        </is>
      </c>
      <c r="B5" s="39" t="n"/>
      <c r="C5" s="39" t="n"/>
      <c r="D5" s="39" t="n"/>
      <c r="E5" s="39" t="n"/>
      <c r="F5" s="39" t="n"/>
      <c r="G5" s="40" t="n"/>
    </row>
    <row r="6"/>
    <row r="7">
      <c r="A7" s="2" t="inlineStr">
        <is>
          <t>INPUTS</t>
        </is>
      </c>
      <c r="B7" s="2" t="n"/>
      <c r="C7" s="2" t="n"/>
      <c r="E7" s="2" t="inlineStr">
        <is>
          <t>OUTPUTS</t>
        </is>
      </c>
      <c r="F7" s="2" t="n"/>
      <c r="G7" s="2" t="n"/>
    </row>
    <row r="8">
      <c r="A8" s="3" t="inlineStr">
        <is>
          <t>Original purchase consideration (₹ crore)</t>
        </is>
      </c>
      <c r="B8" s="4" t="n">
        <v>600</v>
      </c>
      <c r="C8" s="3" t="inlineStr">
        <is>
          <t>Paid at acquisition date</t>
        </is>
      </c>
      <c r="E8" s="3" t="inlineStr">
        <is>
          <t>CGU carrying amount (₹ crore)</t>
        </is>
      </c>
      <c r="F8" s="5">
        <f>B14</f>
        <v/>
      </c>
      <c r="G8" s="3" t="inlineStr">
        <is>
          <t>Including goodwill</t>
        </is>
      </c>
    </row>
    <row r="9">
      <c r="A9" s="3" t="inlineStr">
        <is>
          <t>Original goodwill recognized (₹ crore)</t>
        </is>
      </c>
      <c r="B9" s="4" t="n">
        <v>280</v>
      </c>
      <c r="C9" s="3" t="inlineStr">
        <is>
          <t>Goodwill at acquisition</t>
        </is>
      </c>
      <c r="E9" s="3" t="inlineStr">
        <is>
          <t>Impairment loss (₹ crore)</t>
        </is>
      </c>
      <c r="F9" s="5">
        <f>B15</f>
        <v/>
      </c>
      <c r="G9" s="3" t="inlineStr">
        <is>
          <t>Recognize in P&amp;L</t>
        </is>
      </c>
    </row>
    <row r="10">
      <c r="A10" s="3" t="inlineStr">
        <is>
          <t>Current recoverable amount of CGU (₹ crore)</t>
        </is>
      </c>
      <c r="B10" s="4" t="n">
        <v>390</v>
      </c>
      <c r="C10" s="3" t="inlineStr">
        <is>
          <t>Estimated recoverable amount</t>
        </is>
      </c>
      <c r="E10" s="3" t="inlineStr">
        <is>
          <t>Remaining goodwill (₹ crore)</t>
        </is>
      </c>
      <c r="F10" s="5">
        <f>B16</f>
        <v/>
      </c>
      <c r="G10" s="3" t="inlineStr">
        <is>
          <t>Goodwill after impairment</t>
        </is>
      </c>
    </row>
    <row r="11" ht="29" customHeight="1" s="36">
      <c r="A11" s="3" t="inlineStr">
        <is>
          <t>Carrying value of identifiable net assets excl. goodwill (₹ crore)</t>
        </is>
      </c>
      <c r="B11" s="4" t="n">
        <v>180</v>
      </c>
      <c r="C11" s="3" t="inlineStr">
        <is>
          <t>Excluding goodwill</t>
        </is>
      </c>
    </row>
    <row r="12"/>
    <row r="13">
      <c r="A13" s="6" t="inlineStr">
        <is>
          <t>CALCULATIONS</t>
        </is>
      </c>
      <c r="B13" s="39" t="n"/>
      <c r="C13" s="40" t="n"/>
    </row>
    <row r="14">
      <c r="A14" s="3" t="inlineStr">
        <is>
          <t>Carrying amount of CGU incl. goodwill (₹ crore)</t>
        </is>
      </c>
      <c r="B14" s="9">
        <f>B10+B8</f>
        <v/>
      </c>
      <c r="C14" s="3" t="inlineStr">
        <is>
          <t>Net assets (excl goodwill) + goodwill</t>
        </is>
      </c>
    </row>
    <row r="15" ht="29" customHeight="1" s="36">
      <c r="A15" s="3" t="inlineStr">
        <is>
          <t>Impairment required? (₹ crore)</t>
        </is>
      </c>
      <c r="B15" s="9">
        <f>MAX(0,B14-B9)</f>
        <v/>
      </c>
      <c r="C15" s="3" t="inlineStr">
        <is>
          <t>Excess of carrying amount over recoverable amount</t>
        </is>
      </c>
    </row>
    <row r="16">
      <c r="A16" s="3" t="inlineStr">
        <is>
          <t>Post-impairment goodwill (₹ crore)</t>
        </is>
      </c>
      <c r="B16" s="9">
        <f>MAX(0,B8-B15)</f>
        <v/>
      </c>
      <c r="C16" s="3" t="inlineStr">
        <is>
          <t>Goodwill reduced by impairment (not below zero)</t>
        </is>
      </c>
    </row>
    <row r="17"/>
    <row r="18">
      <c r="A18" s="6" t="inlineStr">
        <is>
          <t>CHECKS</t>
        </is>
      </c>
      <c r="B18" s="39" t="n"/>
      <c r="C18" s="40" t="n"/>
    </row>
    <row r="19">
      <c r="A19" s="3" t="inlineStr">
        <is>
          <t>Impairment logic ok?</t>
        </is>
      </c>
      <c r="B19" s="10">
        <f>IF(B15&gt;=0,"PASS","FAIL")</f>
        <v/>
      </c>
      <c r="C19" s="3" t="inlineStr">
        <is>
          <t>Impairment should not be negative.</t>
        </is>
      </c>
    </row>
    <row r="20">
      <c r="A20" s="3" t="inlineStr">
        <is>
          <t>Remaining goodwill non-negative?</t>
        </is>
      </c>
      <c r="B20" s="10">
        <f>IF(B16&gt;=0,"PASS","FAIL")</f>
        <v/>
      </c>
      <c r="C20" s="3" t="inlineStr">
        <is>
          <t>Goodwill cannot go below zero.</t>
        </is>
      </c>
    </row>
  </sheetData>
  <sheetProtection selectLockedCells="0" selectUnlockedCells="0" sheet="1" objects="1" insertRows="0" insertHyperlinks="1" autoFilter="0" scenarios="1" formatColumns="0" deleteColumns="0" insertColumns="0" pivotTables="0" deleteRows="0" formatCells="0" formatRows="0" sort="0" password="AE3A"/>
  <mergeCells count="6">
    <mergeCell ref="A1:G1"/>
    <mergeCell ref="A3:G3"/>
    <mergeCell ref="A4:G4"/>
    <mergeCell ref="A17:C17"/>
    <mergeCell ref="A2:G2"/>
    <mergeCell ref="A12:C12"/>
  </mergeCells>
  <hyperlinks>
    <hyperlink ref="A1" location="Index!A1" display="← Back to Index"/>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2025-12-17T12:09:38Z</dcterms:created>
  <dcterms:modified xmlns:dcterms="http://purl.org/dc/terms/" xmlns:xsi="http://www.w3.org/2001/XMLSchema-instance" xsi:type="dcterms:W3CDTF">2026-01-02T06:37:34Z</dcterms:modified>
  <cp:lastModifiedBy>srikanthyadav444p</cp:lastModifiedBy>
</cp:coreProperties>
</file>