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Index" sheetId="2" state="visible" r:id="rId2"/>
    <sheet xmlns:r="http://schemas.openxmlformats.org/officeDocument/2006/relationships" name="P2_1_Single_Multiple" sheetId="3" state="visible" r:id="rId3"/>
    <sheet xmlns:r="http://schemas.openxmlformats.org/officeDocument/2006/relationships" name="P2_2_Peer_Multiple" sheetId="4" state="visible" r:id="rId4"/>
    <sheet xmlns:r="http://schemas.openxmlformats.org/officeDocument/2006/relationships" name="P2_3_Reconcile_Multiples" sheetId="5" state="visible" r:id="rId5"/>
    <sheet xmlns:r="http://schemas.openxmlformats.org/officeDocument/2006/relationships" name="P2_4_Normalize_EBITDA" sheetId="6" state="visible" r:id="rId6"/>
    <sheet xmlns:r="http://schemas.openxmlformats.org/officeDocument/2006/relationships" name="P2_5_Strategic_Premium" sheetId="7" state="visible" r:id="rId7"/>
  </sheets>
  <definedNames/>
  <calcPr calcId="191029" fullCalcOnLoad="1"/>
</workbook>
</file>

<file path=xl/styles.xml><?xml version="1.0" encoding="utf-8"?>
<styleSheet xmlns="http://schemas.openxmlformats.org/spreadsheetml/2006/main">
  <numFmts count="1">
    <numFmt numFmtId="164" formatCode="&quot;₹&quot;\ #,##0.00"/>
  </numFmts>
  <fonts count="15">
    <font>
      <name val="Calibri"/>
      <family val="2"/>
      <color theme="1"/>
      <sz val="11"/>
      <scheme val="minor"/>
    </font>
    <font>
      <name val="Calibri"/>
      <family val="2"/>
      <b val="1"/>
      <color rgb="FFFFFFFF"/>
      <sz val="14"/>
    </font>
    <font>
      <name val="Calibri"/>
      <family val="2"/>
      <b val="1"/>
      <color rgb="FFFFFFFF"/>
      <sz val="11"/>
    </font>
    <font>
      <name val="Calibri"/>
      <family val="2"/>
      <b val="1"/>
      <sz val="11"/>
    </font>
    <font>
      <name val="Calibri"/>
      <family val="2"/>
      <b val="1"/>
      <color rgb="FF000000"/>
      <sz val="11"/>
    </font>
    <font>
      <name val="Calibri"/>
      <family val="2"/>
      <b val="1"/>
      <sz val="14"/>
    </font>
    <font>
      <name val="Calibri"/>
      <family val="2"/>
      <color rgb="FF0563C1"/>
      <sz val="11"/>
      <u val="single"/>
    </font>
    <font>
      <name val="Calibri"/>
      <family val="2"/>
      <b val="1"/>
      <color rgb="FF0563C1"/>
      <sz val="11"/>
      <u val="single"/>
    </font>
    <font>
      <name val="Calibri"/>
      <family val="2"/>
      <color theme="1"/>
      <sz val="11"/>
      <scheme val="minor"/>
    </font>
    <font>
      <name val="Calibri"/>
      <family val="2"/>
      <b val="1"/>
      <color theme="1"/>
      <sz val="11"/>
      <scheme val="minor"/>
    </font>
    <font>
      <name val="Calibri"/>
      <family val="2"/>
      <b val="1"/>
      <color rgb="FF0070C0"/>
      <sz val="24"/>
      <scheme val="minor"/>
    </font>
    <font>
      <name val="Calibri"/>
      <family val="2"/>
      <b val="1"/>
      <color theme="8" tint="-0.249977111117893"/>
      <sz val="18"/>
      <scheme val="minor"/>
    </font>
    <font>
      <name val="Calibri"/>
      <family val="2"/>
      <i val="1"/>
      <color theme="9" tint="-0.499984740745262"/>
      <sz val="11"/>
      <scheme val="minor"/>
    </font>
    <font>
      <name val="Calibri"/>
      <family val="2"/>
      <b val="1"/>
      <color theme="7" tint="-0.249977111117893"/>
      <sz val="18"/>
      <scheme val="minor"/>
    </font>
    <font>
      <name val="Calibri"/>
      <family val="2"/>
      <b val="1"/>
      <color theme="1"/>
      <sz val="18"/>
      <scheme val="minor"/>
    </font>
  </fonts>
  <fills count="11">
    <fill>
      <patternFill/>
    </fill>
    <fill>
      <patternFill patternType="gray125"/>
    </fill>
    <fill>
      <patternFill patternType="solid">
        <fgColor rgb="FF1F4E79"/>
      </patternFill>
    </fill>
    <fill>
      <patternFill patternType="solid">
        <fgColor rgb="FFD9E1F2"/>
      </patternFill>
    </fill>
    <fill>
      <patternFill patternType="solid">
        <fgColor rgb="FFFFF2CC"/>
      </patternFill>
    </fill>
    <fill>
      <patternFill patternType="solid">
        <fgColor rgb="FFC6EFCE"/>
      </patternFill>
    </fill>
    <fill>
      <patternFill patternType="solid">
        <fgColor theme="4" tint="0.7999816888943144"/>
        <bgColor indexed="64"/>
      </patternFill>
    </fill>
    <fill>
      <patternFill patternType="solid">
        <fgColor rgb="FF0070C0"/>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6" tint="0.7999816888943144"/>
        <bgColor indexed="64"/>
      </patternFill>
    </fill>
  </fills>
  <borders count="6">
    <border>
      <left/>
      <right/>
      <top/>
      <bottom/>
      <diagonal/>
    </border>
    <border>
      <left style="thin">
        <color rgb="FF666666"/>
      </left>
      <right style="thin">
        <color rgb="FF666666"/>
      </right>
      <top style="thin">
        <color rgb="FF666666"/>
      </top>
      <bottom style="thin">
        <color rgb="FF666666"/>
      </bottom>
      <diagonal/>
    </border>
    <border>
      <left/>
      <right/>
      <top style="thin">
        <color rgb="FF666666"/>
      </top>
      <bottom style="thin">
        <color rgb="FF666666"/>
      </bottom>
      <diagonal/>
    </border>
    <border>
      <left/>
      <right style="thin">
        <color rgb="FF666666"/>
      </right>
      <top style="thin">
        <color rgb="FF666666"/>
      </top>
      <bottom style="thin">
        <color rgb="FF666666"/>
      </bottom>
      <diagonal/>
    </border>
    <border>
      <left/>
      <right/>
      <top style="thin">
        <color rgb="FF666666"/>
      </top>
      <bottom/>
      <diagonal/>
    </border>
    <border>
      <left/>
      <right style="thin">
        <color rgb="FF666666"/>
      </right>
      <top style="thin">
        <color rgb="FF666666"/>
      </top>
      <bottom/>
      <diagonal/>
    </border>
  </borders>
  <cellStyleXfs count="2">
    <xf numFmtId="0" fontId="8" fillId="0" borderId="0"/>
    <xf numFmtId="0" fontId="8" fillId="0" borderId="0"/>
  </cellStyleXfs>
  <cellXfs count="39">
    <xf numFmtId="0" fontId="0" fillId="0" borderId="0" pivotButton="0" quotePrefix="0" xfId="0"/>
    <xf numFmtId="0" fontId="2"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0" fillId="0" borderId="1" applyAlignment="1" pivotButton="0" quotePrefix="0" xfId="0">
      <alignment vertical="center" wrapText="1"/>
    </xf>
    <xf numFmtId="4" fontId="0" fillId="4" borderId="1" applyAlignment="1" pivotButton="0" quotePrefix="0" xfId="0">
      <alignment horizontal="right" vertical="center"/>
    </xf>
    <xf numFmtId="164" fontId="0" fillId="5" borderId="1" applyAlignment="1" pivotButton="0" quotePrefix="0" xfId="0">
      <alignment horizontal="right" vertical="center"/>
    </xf>
    <xf numFmtId="164" fontId="0" fillId="4" borderId="1" applyAlignment="1" pivotButton="0" quotePrefix="0" xfId="0">
      <alignment horizontal="right" vertical="center"/>
    </xf>
    <xf numFmtId="0" fontId="4" fillId="3" borderId="1" applyAlignment="1" pivotButton="0" quotePrefix="0" xfId="0">
      <alignment horizontal="left" vertical="center"/>
    </xf>
    <xf numFmtId="0" fontId="0" fillId="0" borderId="2" pivotButton="0" quotePrefix="0" xfId="0"/>
    <xf numFmtId="0" fontId="0" fillId="0" borderId="3" pivotButton="0" quotePrefix="0" xfId="0"/>
    <xf numFmtId="164" fontId="0" fillId="0" borderId="1" applyAlignment="1" pivotButton="0" quotePrefix="0" xfId="0">
      <alignment horizontal="right" vertical="center"/>
    </xf>
    <xf numFmtId="0" fontId="0" fillId="0" borderId="1" applyAlignment="1" pivotButton="0" quotePrefix="0" xfId="0">
      <alignment horizontal="center" vertical="center"/>
    </xf>
    <xf numFmtId="4" fontId="0" fillId="5" borderId="1" applyAlignment="1" pivotButton="0" quotePrefix="0" xfId="0">
      <alignment horizontal="right" vertical="center"/>
    </xf>
    <xf numFmtId="4" fontId="0" fillId="0" borderId="1" applyAlignment="1" pivotButton="0" quotePrefix="0" xfId="0">
      <alignment horizontal="right" vertical="center"/>
    </xf>
    <xf numFmtId="10" fontId="0" fillId="4" borderId="1" applyAlignment="1" pivotButton="0" quotePrefix="0" xfId="0">
      <alignment horizontal="right" vertical="center"/>
    </xf>
    <xf numFmtId="0" fontId="5" fillId="0" borderId="0" pivotButton="0" quotePrefix="0" xfId="0"/>
    <xf numFmtId="0" fontId="3" fillId="0" borderId="0" pivotButton="0" quotePrefix="0" xfId="0"/>
    <xf numFmtId="0" fontId="6" fillId="0" borderId="0" pivotButton="0" quotePrefix="0" xfId="0"/>
    <xf numFmtId="0" fontId="10" fillId="0" borderId="0" applyAlignment="1" pivotButton="0" quotePrefix="0" xfId="1">
      <alignment vertical="center"/>
    </xf>
    <xf numFmtId="0" fontId="8" fillId="0" borderId="0" pivotButton="0" quotePrefix="0" xfId="1"/>
    <xf numFmtId="0" fontId="11" fillId="0" borderId="0" applyAlignment="1" pivotButton="0" quotePrefix="0" xfId="1">
      <alignment vertical="center"/>
    </xf>
    <xf numFmtId="0" fontId="12" fillId="0" borderId="0" pivotButton="0" quotePrefix="0" xfId="1"/>
    <xf numFmtId="0" fontId="13" fillId="0" borderId="0" applyAlignment="1" pivotButton="0" quotePrefix="0" xfId="1">
      <alignment vertical="center"/>
    </xf>
    <xf numFmtId="0" fontId="14" fillId="7" borderId="0" applyAlignment="1" pivotButton="0" quotePrefix="0" xfId="1">
      <alignment vertical="center"/>
    </xf>
    <xf numFmtId="0" fontId="8" fillId="7" borderId="0" pivotButton="0" quotePrefix="0" xfId="1"/>
    <xf numFmtId="0" fontId="14" fillId="8" borderId="0" applyAlignment="1" pivotButton="0" quotePrefix="0" xfId="1">
      <alignment vertical="center"/>
    </xf>
    <xf numFmtId="0" fontId="9" fillId="9" borderId="0" applyAlignment="1" pivotButton="0" quotePrefix="0" xfId="1">
      <alignment vertical="top" wrapText="1"/>
    </xf>
    <xf numFmtId="0" fontId="8" fillId="0" borderId="0" applyAlignment="1" pivotButton="0" quotePrefix="0" xfId="1">
      <alignment horizontal="left" vertical="center" indent="1"/>
    </xf>
    <xf numFmtId="0" fontId="9" fillId="0" borderId="0" pivotButton="0" quotePrefix="0" xfId="1"/>
    <xf numFmtId="0" fontId="9" fillId="0" borderId="0" applyAlignment="1" pivotButton="0" quotePrefix="0" xfId="1">
      <alignment horizontal="left" vertical="center" indent="1"/>
    </xf>
    <xf numFmtId="0" fontId="8" fillId="6" borderId="0" applyAlignment="1" pivotButton="0" quotePrefix="0" xfId="1">
      <alignment horizontal="justify" vertical="justify" wrapText="1"/>
    </xf>
    <xf numFmtId="0" fontId="8" fillId="6" borderId="0" applyAlignment="1" pivotButton="0" quotePrefix="0" xfId="1">
      <alignment horizontal="left" vertical="top" wrapText="1"/>
    </xf>
    <xf numFmtId="0" fontId="8" fillId="10" borderId="0" applyAlignment="1" pivotButton="0" quotePrefix="0" xfId="1">
      <alignment horizontal="justify" vertical="justify" wrapText="1"/>
    </xf>
    <xf numFmtId="0" fontId="0" fillId="0" borderId="0" pivotButton="0" quotePrefix="0" xfId="0"/>
    <xf numFmtId="0" fontId="7" fillId="0" borderId="0" pivotButton="0" quotePrefix="0" xfId="0"/>
    <xf numFmtId="0" fontId="2"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1" fillId="2" borderId="1" applyAlignment="1" pivotButton="0" quotePrefix="0" xfId="0">
      <alignment horizontal="center" vertical="center" wrapText="1"/>
    </xf>
  </cellXfs>
  <cellStyles count="2">
    <cellStyle name="Normal" xfId="0" builtinId="0"/>
    <cellStyle name="Normal 2"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895350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33"/>
  <sheetViews>
    <sheetView tabSelected="1" topLeftCell="A29" workbookViewId="0">
      <selection activeCell="I16" sqref="I16"/>
    </sheetView>
  </sheetViews>
  <sheetFormatPr baseColWidth="8" defaultRowHeight="14.5"/>
  <cols>
    <col width="8.7265625" customWidth="1" style="19" min="1" max="6"/>
    <col width="13.90625" customWidth="1" style="19" min="7" max="7"/>
    <col width="5.6328125" customWidth="1" style="19" min="8" max="8"/>
    <col width="71.6328125" customWidth="1" style="19" min="9" max="9"/>
    <col width="7.1796875" customWidth="1" style="19" min="10" max="10"/>
    <col width="8.7265625" customWidth="1" style="19" min="11" max="16384"/>
  </cols>
  <sheetData>
    <row r="1" ht="31" customHeight="1" s="33">
      <c r="A1" s="18" t="inlineStr">
        <is>
          <t>FINANCIAL MODELING USING EXCEL</t>
        </is>
      </c>
    </row>
    <row r="2"/>
    <row r="3" ht="23.5" customHeight="1" s="33">
      <c r="A3" s="20" t="inlineStr">
        <is>
          <t>Synergy Valuation Model Using Excel</t>
        </is>
      </c>
    </row>
    <row r="4"/>
    <row r="5">
      <c r="A5" s="21" t="inlineStr">
        <is>
          <t>Quantifying Merger Synergies and Incremental Value Creation</t>
        </is>
      </c>
    </row>
    <row r="6"/>
    <row r="7" ht="23.5" customHeight="1" s="33">
      <c r="A7" s="22" t="inlineStr">
        <is>
          <t>Workbook Purpose</t>
        </is>
      </c>
    </row>
    <row r="8"/>
    <row r="9" ht="132.5" customHeight="1" s="33">
      <c r="A9" s="30" t="inlineStr">
        <is>
          <t>This workbook is designed to measure and value synergies arising from mergers and acquisitions using a structured Excel-based framework. It focuses exclusively on synergy valuation, separating the standalone values of the acquiring and target firms from the incremental cash flows generated due to the transaction.
The workbook helps learners understand how operational and financial synergies—such as cost savings, revenue enhancements, and efficiency gains—are translated into incremental cash flows, discounted appropriately, and interpreted as synergy value. The model reflects analytical practices followed in M&amp;A valuation, investment banking, and corporate strategy, where deal justification critically depends on the credibility and valuation of synergies.</t>
        </is>
      </c>
    </row>
    <row r="10"/>
    <row r="11"/>
    <row r="12"/>
    <row r="13"/>
    <row r="14"/>
    <row r="15" ht="23.5" customHeight="1" s="33">
      <c r="A15" s="23" t="inlineStr">
        <is>
          <t>Key Concepts Covered</t>
        </is>
      </c>
      <c r="B15" s="24" t="n"/>
      <c r="C15" s="24" t="n"/>
      <c r="D15" s="24" t="n"/>
      <c r="E15" s="24" t="n"/>
      <c r="F15" s="24" t="n"/>
      <c r="G15" s="24" t="n"/>
      <c r="I15" s="25" t="inlineStr">
        <is>
          <t>Excel Functions Used</t>
        </is>
      </c>
    </row>
    <row r="16" ht="311.5" customHeight="1" s="33">
      <c r="A16" s="31" t="inlineStr">
        <is>
          <t>Concept of synergies in mergers and acquisitions
Standalone firm value versus combined firm value
Operating synergies and cost-saving mechanisms
Revenue synergies and growth enhancement logic
Incremental cash flow identification
Time value of money applied to synergy cash flows
Present value of synergies as deal justification
Interpretation of synergy value relative to acquisition premium
Limitations and risks associated with synergy assumptions</t>
        </is>
      </c>
      <c r="I16" s="26" t="inlineStr">
        <is>
          <t xml:space="preserve">The following Excel functions are used accurately and completely in this workbook to support synergy estimation, valuation, and consistency checks:
NPV – Discounts periodic incremental synergy cash flows during the explicit forecast period
PV – Computes present value of individual synergy-related cash flows where required
SUM – Aggregates operating cash flows, synergies, and valuation components
SUMPRODUCT – Computes weighted or structured aggregation of synergy components
IF – Applies conditional logic to distinguish standalone and post-merger scenarios
IFERROR – Handles numerical edge cases and ensures model robustness
ROUND – Ensures numerical clarity and reporting precision
ABS – Maintains disciplined cash-flow sign conventions
AVERAGE – Computes representative assumptions where multiple inputs are involved
MAX / MIN – Supports boundary checks and reasonableness validation
INDEX – Retrieves scenario-specific or period-specific values dynamically
MATCH – Locates corresponding rows or columns within structured synergy tables
INDEX–MATCH – Enables flexible and auditable cross-sheet referencing
PERCENTAGE CALCULATIONS – Used for synergy growth rates, margins, and allocation logic
HYPERLINK – Facilitates navigation across index, inputs, and valuation output sheets
The workbook emphasizes clean separation of standalone and incremental cash flows, disciplined discounting, and transparent reconciliation between synergy value and deal economics.
</t>
        </is>
      </c>
    </row>
    <row r="17">
      <c r="A17" s="27" t="n"/>
    </row>
    <row r="18">
      <c r="A18" s="27" t="n"/>
      <c r="E18" s="32"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28" t="n"/>
    </row>
    <row r="19">
      <c r="A19" s="27" t="n"/>
    </row>
    <row r="20">
      <c r="A20" s="27" t="n"/>
      <c r="I20" s="28" t="n"/>
    </row>
    <row r="21">
      <c r="A21" s="27" t="n"/>
    </row>
    <row r="22">
      <c r="A22" s="27" t="n"/>
      <c r="I22" s="28" t="n"/>
    </row>
    <row r="23">
      <c r="A23" s="27" t="n"/>
    </row>
    <row r="24">
      <c r="A24" s="27" t="n"/>
      <c r="I24" s="28" t="n"/>
    </row>
    <row r="25">
      <c r="A25" s="27" t="n"/>
    </row>
    <row r="26">
      <c r="A26" s="27" t="n"/>
      <c r="I26" s="28" t="n"/>
    </row>
    <row r="27">
      <c r="A27" s="27" t="n"/>
    </row>
    <row r="28">
      <c r="A28" s="27" t="n"/>
      <c r="I28" s="28" t="n"/>
    </row>
    <row r="29">
      <c r="A29" s="27" t="n"/>
    </row>
    <row r="30">
      <c r="A30" s="27" t="n"/>
      <c r="I30" s="28" t="n"/>
    </row>
    <row r="31">
      <c r="A31" s="27" t="n"/>
      <c r="I31" s="27" t="n"/>
    </row>
    <row r="32">
      <c r="A32" s="27" t="n"/>
      <c r="I32" s="29" t="n"/>
    </row>
    <row r="33">
      <c r="A33" s="27"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4.5"/>
  <sheetData>
    <row r="1" ht="18.5" customHeight="1" s="33">
      <c r="A1" s="15" t="inlineStr">
        <is>
          <t>INDEX</t>
        </is>
      </c>
    </row>
    <row r="2"/>
    <row r="3">
      <c r="A3" s="16" t="inlineStr">
        <is>
          <t>Click on a problem to navigate to the model sheet:</t>
        </is>
      </c>
    </row>
    <row r="4"/>
    <row r="5">
      <c r="A5" s="17" t="inlineStr">
        <is>
          <t>P2_1_Single_Multiple</t>
        </is>
      </c>
    </row>
    <row r="6">
      <c r="A6" s="17" t="inlineStr">
        <is>
          <t>P2_2_Peer_Multiple</t>
        </is>
      </c>
    </row>
    <row r="7">
      <c r="A7" s="17" t="inlineStr">
        <is>
          <t>P2_3_Reconcile_Multiples</t>
        </is>
      </c>
    </row>
    <row r="8">
      <c r="A8" s="17" t="inlineStr">
        <is>
          <t>P2_4_Normalize_EBITDA</t>
        </is>
      </c>
    </row>
    <row r="9">
      <c r="A9" s="17" t="inlineStr">
        <is>
          <t>P2_5_Strategic_Premium</t>
        </is>
      </c>
    </row>
  </sheetData>
  <sheetProtection selectLockedCells="0" selectUnlockedCells="0" sheet="1" objects="1" insertRows="0" insertHyperlinks="1" autoFilter="0" scenarios="1" formatColumns="0" deleteColumns="0" insertColumns="0" pivotTables="0" deleteRows="0" formatCells="0" formatRows="0" sort="0" password="AE3A"/>
  <hyperlinks>
    <hyperlink ref="A5" location="'P2_1_Single_Multiple'!A1" display="P2_1_Single_Multiple"/>
    <hyperlink ref="A6" location="'P2_2_Peer_Multiple'!A1" display="P2_2_Peer_Multiple"/>
    <hyperlink ref="A7" location="'P2_3_Reconcile_Multiples'!A1" display="P2_3_Reconcile_Multiples"/>
    <hyperlink ref="A8" location="'P2_4_Normalize_EBITDA'!A1" display="P2_4_Normalize_EBITDA"/>
    <hyperlink ref="A9" location="'P2_5_Strategic_Premium'!A1" display="P2_5_Strategic_Premium"/>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5" topLeftCell="A6" activePane="bottomLeft" state="frozen"/>
      <selection pane="bottomLeft" activeCell="A1" sqref="A1"/>
    </sheetView>
  </sheetViews>
  <sheetFormatPr baseColWidth="8" defaultRowHeight="14.5"/>
  <cols>
    <col width="42" customWidth="1" style="33" min="1" max="1"/>
    <col width="22" customWidth="1" style="33" min="2" max="2"/>
    <col width="45" customWidth="1" style="33" min="3" max="3"/>
    <col width="3" customWidth="1" style="33" min="4" max="4"/>
    <col width="40" customWidth="1" style="33" min="5" max="5"/>
    <col width="22" customWidth="1" style="33" min="6" max="6"/>
    <col width="45" customWidth="1" style="33" min="7" max="7"/>
  </cols>
  <sheetData>
    <row r="1" ht="26" customHeight="1" s="33">
      <c r="A1" s="34" t="inlineStr">
        <is>
          <t>← Back to Index</t>
        </is>
      </c>
    </row>
    <row r="2" ht="20" customHeight="1" s="33">
      <c r="A2" s="38" t="inlineStr">
        <is>
          <t>Problem 2.1 — Valuation Using Single Multiple</t>
        </is>
      </c>
      <c r="B2" s="36" t="n"/>
      <c r="C2" s="36" t="n"/>
      <c r="D2" s="36" t="n"/>
      <c r="E2" s="36" t="n"/>
      <c r="F2" s="36" t="n"/>
      <c r="G2" s="37" t="n"/>
    </row>
    <row r="3" ht="20" customHeight="1" s="33">
      <c r="A3" s="35" t="inlineStr">
        <is>
          <t>Role: Valuation Analyst</t>
        </is>
      </c>
      <c r="B3" s="36" t="n"/>
      <c r="C3" s="36" t="n"/>
      <c r="D3" s="36" t="n"/>
      <c r="E3" s="36" t="n"/>
      <c r="F3" s="36" t="n"/>
      <c r="G3" s="37" t="n"/>
    </row>
    <row r="4" ht="18" customHeight="1" s="33">
      <c r="A4" s="35" t="inlineStr">
        <is>
          <t>Objective: Estimate EV, equity value and price per share using EV/EBITDA.</t>
        </is>
      </c>
      <c r="B4" s="36" t="n"/>
      <c r="C4" s="36" t="n"/>
      <c r="D4" s="36" t="n"/>
      <c r="E4" s="36" t="n"/>
      <c r="F4" s="36" t="n"/>
      <c r="G4" s="37" t="n"/>
    </row>
    <row r="5">
      <c r="A5" s="35" t="inlineStr">
        <is>
          <t>Money in ₹ crore; shares in crore shares.</t>
        </is>
      </c>
      <c r="B5" s="36" t="n"/>
      <c r="C5" s="36" t="n"/>
      <c r="D5" s="36" t="n"/>
      <c r="E5" s="36" t="n"/>
      <c r="F5" s="36" t="n"/>
      <c r="G5" s="37" t="n"/>
    </row>
    <row r="6"/>
    <row r="7">
      <c r="A7" s="2" t="inlineStr">
        <is>
          <t>INPUTS</t>
        </is>
      </c>
      <c r="B7" s="2" t="n"/>
      <c r="C7" s="2" t="n"/>
      <c r="E7" s="2" t="inlineStr">
        <is>
          <t>OUTPUTS</t>
        </is>
      </c>
      <c r="F7" s="2" t="n"/>
      <c r="G7" s="2" t="n"/>
    </row>
    <row r="8">
      <c r="A8" s="3" t="inlineStr">
        <is>
          <t>EV/EBITDA multiple (x)</t>
        </is>
      </c>
      <c r="B8" s="4" t="n">
        <v>8.5</v>
      </c>
      <c r="C8" s="3" t="inlineStr">
        <is>
          <t>Comparable company multiple</t>
        </is>
      </c>
      <c r="E8" s="3" t="inlineStr">
        <is>
          <t>Enterprise value (₹ crore)</t>
        </is>
      </c>
      <c r="F8" s="5">
        <f>B13</f>
        <v/>
      </c>
      <c r="G8" s="3" t="inlineStr">
        <is>
          <t>Implied EV from multiple</t>
        </is>
      </c>
    </row>
    <row r="9">
      <c r="A9" s="3" t="inlineStr">
        <is>
          <t>Target EBITDA (₹ crore)</t>
        </is>
      </c>
      <c r="B9" s="6" t="n">
        <v>75</v>
      </c>
      <c r="C9" s="3" t="inlineStr">
        <is>
          <t>Latest year EBITDA</t>
        </is>
      </c>
      <c r="E9" s="3" t="inlineStr">
        <is>
          <t>Equity value (₹ crore)</t>
        </is>
      </c>
      <c r="F9" s="5">
        <f>B15</f>
        <v/>
      </c>
      <c r="G9" s="3" t="inlineStr">
        <is>
          <t>Implied equity value</t>
        </is>
      </c>
    </row>
    <row r="10">
      <c r="A10" s="3" t="inlineStr">
        <is>
          <t>Debt outstanding (₹ crore)</t>
        </is>
      </c>
      <c r="B10" s="6" t="n">
        <v>140</v>
      </c>
      <c r="C10" s="3" t="inlineStr">
        <is>
          <t>Total debt</t>
        </is>
      </c>
      <c r="E10" s="3" t="inlineStr">
        <is>
          <t>Price per share (₹)</t>
        </is>
      </c>
      <c r="F10" s="5">
        <f>B16</f>
        <v/>
      </c>
      <c r="G10" s="3" t="inlineStr">
        <is>
          <t>Implied price/share</t>
        </is>
      </c>
    </row>
    <row r="11">
      <c r="A11" s="3" t="inlineStr">
        <is>
          <t>Excess cash (₹ crore)</t>
        </is>
      </c>
      <c r="B11" s="6" t="n">
        <v>20</v>
      </c>
      <c r="C11" s="3" t="inlineStr">
        <is>
          <t>Cash in excess of operating needs</t>
        </is>
      </c>
    </row>
    <row r="12">
      <c r="A12" s="3" t="inlineStr">
        <is>
          <t>Shares outstanding (crore)</t>
        </is>
      </c>
      <c r="B12" s="4" t="n">
        <v>5</v>
      </c>
      <c r="C12" s="3" t="inlineStr">
        <is>
          <t>Target shares outstanding</t>
        </is>
      </c>
    </row>
    <row r="13"/>
    <row r="14">
      <c r="A14" s="7" t="inlineStr">
        <is>
          <t>CALCULATIONS</t>
        </is>
      </c>
      <c r="B14" s="36" t="n"/>
      <c r="C14" s="37" t="n"/>
    </row>
    <row r="15">
      <c r="A15" s="3" t="inlineStr">
        <is>
          <t>Enterprise value (EV) (₹ crore)</t>
        </is>
      </c>
      <c r="B15" s="10">
        <f>B7*B8</f>
        <v/>
      </c>
      <c r="C15" s="3" t="inlineStr">
        <is>
          <t>Multiple × EBITDA</t>
        </is>
      </c>
    </row>
    <row r="16">
      <c r="A16" s="3" t="inlineStr">
        <is>
          <t>Net debt (₹ crore)</t>
        </is>
      </c>
      <c r="B16" s="10">
        <f>B9-B10</f>
        <v/>
      </c>
      <c r="C16" s="3" t="inlineStr">
        <is>
          <t>Debt − Excess cash</t>
        </is>
      </c>
    </row>
    <row r="17">
      <c r="A17" s="3" t="inlineStr">
        <is>
          <t>Equity value (₹ crore)</t>
        </is>
      </c>
      <c r="B17" s="10">
        <f>B13-B14</f>
        <v/>
      </c>
      <c r="C17" s="3" t="inlineStr">
        <is>
          <t>EV − Net debt</t>
        </is>
      </c>
    </row>
    <row r="18">
      <c r="A18" s="3" t="inlineStr">
        <is>
          <t>Implied price per share (₹)</t>
        </is>
      </c>
      <c r="B18" s="10">
        <f>(B15*10000000)/(B11*10000000)</f>
        <v/>
      </c>
      <c r="C18" s="3" t="inlineStr">
        <is>
          <t>Equity value (₹ crore) ÷ shares (crore) = ₹/share</t>
        </is>
      </c>
    </row>
    <row r="19"/>
    <row r="20">
      <c r="A20" s="7" t="inlineStr">
        <is>
          <t>CHECKS</t>
        </is>
      </c>
      <c r="B20" s="36" t="n"/>
      <c r="C20" s="37" t="n"/>
    </row>
    <row r="21">
      <c r="A21" s="3" t="inlineStr">
        <is>
          <t>Equity = EV − Net debt?</t>
        </is>
      </c>
      <c r="B21" s="11">
        <f>IF(ABS(B15-(B13-B14))&lt;0.0001,"PASS","FAIL")</f>
        <v/>
      </c>
      <c r="C21" s="3" t="inlineStr">
        <is>
          <t>Consistency check.</t>
        </is>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3:C13"/>
    <mergeCell ref="A19:C19"/>
    <mergeCell ref="A1:G1"/>
    <mergeCell ref="A3:G3"/>
    <mergeCell ref="A4:G4"/>
    <mergeCell ref="A2:G2"/>
  </mergeCells>
  <hyperlinks>
    <hyperlink ref="A1" location="Index!A1" display="← Back to Index"/>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pane ySplit="5" topLeftCell="A6" activePane="bottomLeft" state="frozen"/>
      <selection pane="bottomLeft" activeCell="A1" sqref="A1"/>
    </sheetView>
  </sheetViews>
  <sheetFormatPr baseColWidth="8" defaultRowHeight="14.5"/>
  <cols>
    <col width="42" customWidth="1" style="33" min="1" max="1"/>
    <col width="22" customWidth="1" style="33" min="2" max="2"/>
    <col width="45" customWidth="1" style="33" min="3" max="3"/>
    <col width="3" customWidth="1" style="33" min="4" max="4"/>
    <col width="40" customWidth="1" style="33" min="5" max="5"/>
    <col width="22" customWidth="1" style="33" min="6" max="6"/>
    <col width="45" customWidth="1" style="33" min="7" max="7"/>
  </cols>
  <sheetData>
    <row r="1" ht="26" customHeight="1" s="33">
      <c r="A1" s="34" t="inlineStr">
        <is>
          <t>← Back to Index</t>
        </is>
      </c>
    </row>
    <row r="2" ht="20" customHeight="1" s="33">
      <c r="A2" s="38" t="inlineStr">
        <is>
          <t>Problem 2.2 — Peer Group Multiple Valuation</t>
        </is>
      </c>
      <c r="B2" s="36" t="n"/>
      <c r="C2" s="36" t="n"/>
      <c r="D2" s="36" t="n"/>
      <c r="E2" s="36" t="n"/>
      <c r="F2" s="36" t="n"/>
      <c r="G2" s="37" t="n"/>
    </row>
    <row r="3" ht="20" customHeight="1" s="33">
      <c r="A3" s="35" t="inlineStr">
        <is>
          <t>Role: Investment Banking Analyst</t>
        </is>
      </c>
      <c r="B3" s="36" t="n"/>
      <c r="C3" s="36" t="n"/>
      <c r="D3" s="36" t="n"/>
      <c r="E3" s="36" t="n"/>
      <c r="F3" s="36" t="n"/>
      <c r="G3" s="37" t="n"/>
    </row>
    <row r="4" ht="18" customHeight="1" s="33">
      <c r="A4" s="35" t="inlineStr">
        <is>
          <t>Objective: Estimate valuation using peer group EV/EBITDA multiples.</t>
        </is>
      </c>
      <c r="B4" s="36" t="n"/>
      <c r="C4" s="36" t="n"/>
      <c r="D4" s="36" t="n"/>
      <c r="E4" s="36" t="n"/>
      <c r="F4" s="36" t="n"/>
      <c r="G4" s="37" t="n"/>
    </row>
    <row r="5">
      <c r="A5" s="35" t="inlineStr">
        <is>
          <t>All amounts in ₹ crore unless stated</t>
        </is>
      </c>
      <c r="B5" s="36" t="n"/>
      <c r="C5" s="36" t="n"/>
      <c r="D5" s="36" t="n"/>
      <c r="E5" s="36" t="n"/>
      <c r="F5" s="36" t="n"/>
      <c r="G5" s="37" t="n"/>
    </row>
    <row r="6"/>
    <row r="7">
      <c r="A7" s="2" t="inlineStr">
        <is>
          <t>INPUTS</t>
        </is>
      </c>
      <c r="B7" s="2" t="n"/>
      <c r="C7" s="2" t="n"/>
      <c r="E7" s="2" t="inlineStr">
        <is>
          <t>OUTPUTS</t>
        </is>
      </c>
      <c r="F7" s="2" t="n"/>
      <c r="G7" s="2" t="n"/>
    </row>
    <row r="8">
      <c r="A8" s="3" t="inlineStr">
        <is>
          <t>Peer multiple 1 (x)</t>
        </is>
      </c>
      <c r="B8" s="4" t="n">
        <v>7.8</v>
      </c>
      <c r="C8" s="3" t="inlineStr">
        <is>
          <t>EV/EBITDA</t>
        </is>
      </c>
      <c r="E8" s="3" t="inlineStr">
        <is>
          <t>Chosen multiple (x)</t>
        </is>
      </c>
      <c r="F8" s="12">
        <f>B13</f>
        <v/>
      </c>
      <c r="G8" s="3" t="inlineStr">
        <is>
          <t>Using average; can switch to median if desired</t>
        </is>
      </c>
    </row>
    <row r="9">
      <c r="A9" s="3" t="inlineStr">
        <is>
          <t>Peer multiple 2 (x)</t>
        </is>
      </c>
      <c r="B9" s="4" t="n">
        <v>8.199999999999999</v>
      </c>
      <c r="C9" s="3" t="inlineStr">
        <is>
          <t>EV/EBITDA</t>
        </is>
      </c>
      <c r="E9" s="3" t="inlineStr">
        <is>
          <t>Enterprise value (₹ crore)</t>
        </is>
      </c>
      <c r="F9" s="5">
        <f>B14</f>
        <v/>
      </c>
      <c r="G9" s="3" t="inlineStr">
        <is>
          <t>Implied EV</t>
        </is>
      </c>
    </row>
    <row r="10">
      <c r="A10" s="3" t="inlineStr">
        <is>
          <t>Peer multiple 3 (x)</t>
        </is>
      </c>
      <c r="B10" s="4" t="n">
        <v>8.5</v>
      </c>
      <c r="C10" s="3" t="inlineStr">
        <is>
          <t>EV/EBITDA</t>
        </is>
      </c>
      <c r="E10" s="3" t="inlineStr">
        <is>
          <t>Equity value (₹ crore)</t>
        </is>
      </c>
      <c r="F10" s="5">
        <f>B15</f>
        <v/>
      </c>
      <c r="G10" s="3" t="inlineStr">
        <is>
          <t>Implied equity value</t>
        </is>
      </c>
    </row>
    <row r="11">
      <c r="A11" s="3" t="inlineStr">
        <is>
          <t>Peer multiple 4 (x)</t>
        </is>
      </c>
      <c r="B11" s="4" t="n">
        <v>9</v>
      </c>
      <c r="C11" s="3" t="inlineStr">
        <is>
          <t>EV/EBITDA</t>
        </is>
      </c>
    </row>
    <row r="12">
      <c r="A12" s="3" t="inlineStr">
        <is>
          <t>Target normalized EBITDA (₹ crore)</t>
        </is>
      </c>
      <c r="B12" s="6" t="n">
        <v>210</v>
      </c>
      <c r="C12" s="3" t="inlineStr">
        <is>
          <t>Normalized EBITDA</t>
        </is>
      </c>
    </row>
    <row r="13">
      <c r="A13" s="3" t="inlineStr">
        <is>
          <t>Net debt (₹ crore)</t>
        </is>
      </c>
      <c r="B13" s="6" t="n">
        <v>520</v>
      </c>
      <c r="C13" s="3" t="inlineStr">
        <is>
          <t>Debt minus cash (given)</t>
        </is>
      </c>
    </row>
    <row r="14"/>
    <row r="15">
      <c r="A15" s="7" t="inlineStr">
        <is>
          <t>CALCULATIONS</t>
        </is>
      </c>
      <c r="B15" s="36" t="n"/>
      <c r="C15" s="37" t="n"/>
    </row>
    <row r="16">
      <c r="A16" s="3" t="inlineStr">
        <is>
          <t>Average peer multiple (x)</t>
        </is>
      </c>
      <c r="B16" s="13">
        <f>AVERAGE(B7:B10)</f>
        <v/>
      </c>
      <c r="C16" s="3" t="inlineStr">
        <is>
          <t>Simple average of peer multiples</t>
        </is>
      </c>
    </row>
    <row r="17">
      <c r="A17" s="3" t="inlineStr">
        <is>
          <t>Enterprise value (₹ crore)</t>
        </is>
      </c>
      <c r="B17" s="10">
        <f>B13*B11</f>
        <v/>
      </c>
      <c r="C17" s="3" t="inlineStr">
        <is>
          <t>Chosen multiple × EBITDA (using average)</t>
        </is>
      </c>
    </row>
    <row r="18">
      <c r="A18" s="3" t="inlineStr">
        <is>
          <t>Equity value (₹ crore)</t>
        </is>
      </c>
      <c r="B18" s="10">
        <f>B14-B12</f>
        <v/>
      </c>
      <c r="C18" s="3" t="inlineStr">
        <is>
          <t>EV − Net debt</t>
        </is>
      </c>
    </row>
    <row r="19"/>
    <row r="20">
      <c r="A20" s="7" t="inlineStr">
        <is>
          <t>CHECKS</t>
        </is>
      </c>
      <c r="B20" s="36" t="n"/>
      <c r="C20" s="37" t="n"/>
    </row>
    <row r="21">
      <c r="A21" s="3" t="inlineStr">
        <is>
          <t>Equity positive?</t>
        </is>
      </c>
      <c r="B21" s="11">
        <f>IF(B15&gt;0,"PASS","FAIL")</f>
        <v/>
      </c>
      <c r="C21" s="3" t="inlineStr">
        <is>
          <t>If FAIL, net debt may exceed EV.</t>
        </is>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9:C19"/>
    <mergeCell ref="A1:G1"/>
    <mergeCell ref="A3:G3"/>
    <mergeCell ref="A14:C14"/>
    <mergeCell ref="A4:G4"/>
    <mergeCell ref="A2:G2"/>
  </mergeCells>
  <hyperlinks>
    <hyperlink ref="A1" location="Index!A1" display="← Back to Index"/>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
  <sheetViews>
    <sheetView workbookViewId="0">
      <pane ySplit="5" topLeftCell="A6" activePane="bottomLeft" state="frozen"/>
      <selection pane="bottomLeft" activeCell="A1" sqref="A1"/>
    </sheetView>
  </sheetViews>
  <sheetFormatPr baseColWidth="8" defaultRowHeight="14.5"/>
  <cols>
    <col width="42" customWidth="1" style="33" min="1" max="1"/>
    <col width="22" customWidth="1" style="33" min="2" max="2"/>
    <col width="45" customWidth="1" style="33" min="3" max="3"/>
    <col width="3" customWidth="1" style="33" min="4" max="4"/>
    <col width="40" customWidth="1" style="33" min="5" max="5"/>
    <col width="22" customWidth="1" style="33" min="6" max="6"/>
    <col width="45" customWidth="1" style="33" min="7" max="7"/>
  </cols>
  <sheetData>
    <row r="1" ht="26" customHeight="1" s="33">
      <c r="A1" s="34" t="inlineStr">
        <is>
          <t>← Back to Index</t>
        </is>
      </c>
    </row>
    <row r="2" ht="20" customHeight="1" s="33">
      <c r="A2" s="38" t="inlineStr">
        <is>
          <t>Problem 2.3 — Reconciling Multiple-Based Values</t>
        </is>
      </c>
      <c r="B2" s="36" t="n"/>
      <c r="C2" s="36" t="n"/>
      <c r="D2" s="36" t="n"/>
      <c r="E2" s="36" t="n"/>
      <c r="F2" s="36" t="n"/>
      <c r="G2" s="37" t="n"/>
    </row>
    <row r="3" ht="20" customHeight="1" s="33">
      <c r="A3" s="35" t="inlineStr">
        <is>
          <t>Role: Deal Advisory Manager</t>
        </is>
      </c>
      <c r="B3" s="36" t="n"/>
      <c r="C3" s="36" t="n"/>
      <c r="D3" s="36" t="n"/>
      <c r="E3" s="36" t="n"/>
      <c r="F3" s="36" t="n"/>
      <c r="G3" s="37" t="n"/>
    </row>
    <row r="4" ht="18" customHeight="1" s="33">
      <c r="A4" s="35" t="inlineStr">
        <is>
          <t>Objective: Reconcile differences between EV-based and equity-based valuation indications.</t>
        </is>
      </c>
      <c r="B4" s="36" t="n"/>
      <c r="C4" s="36" t="n"/>
      <c r="D4" s="36" t="n"/>
      <c r="E4" s="36" t="n"/>
      <c r="F4" s="36" t="n"/>
      <c r="G4" s="37" t="n"/>
    </row>
    <row r="5">
      <c r="A5" s="35" t="inlineStr">
        <is>
          <t>All amounts in ₹ crore unless stated</t>
        </is>
      </c>
      <c r="B5" s="36" t="n"/>
      <c r="C5" s="36" t="n"/>
      <c r="D5" s="36" t="n"/>
      <c r="E5" s="36" t="n"/>
      <c r="F5" s="36" t="n"/>
      <c r="G5" s="37" t="n"/>
    </row>
    <row r="6"/>
    <row r="7">
      <c r="A7" s="2" t="inlineStr">
        <is>
          <t>INPUTS</t>
        </is>
      </c>
      <c r="B7" s="2" t="n"/>
      <c r="C7" s="2" t="n"/>
      <c r="E7" s="2" t="inlineStr">
        <is>
          <t>OUTPUTS</t>
        </is>
      </c>
      <c r="F7" s="2" t="n"/>
      <c r="G7" s="2" t="n"/>
    </row>
    <row r="8">
      <c r="A8" s="3" t="inlineStr">
        <is>
          <t>EV implied from EV/EBITDA (₹ crore)</t>
        </is>
      </c>
      <c r="B8" s="6" t="n">
        <v>1800</v>
      </c>
      <c r="C8" s="3" t="inlineStr">
        <is>
          <t>From EV multiple approach</t>
        </is>
      </c>
      <c r="E8" s="3" t="inlineStr">
        <is>
          <t>Equity (from EV approach) (₹ crore)</t>
        </is>
      </c>
      <c r="F8" s="5">
        <f>B12</f>
        <v/>
      </c>
      <c r="G8" s="3" t="inlineStr">
        <is>
          <t>Comparable equity implied</t>
        </is>
      </c>
    </row>
    <row r="9">
      <c r="A9" s="3" t="inlineStr">
        <is>
          <t>Equity implied from P/E (₹ crore)</t>
        </is>
      </c>
      <c r="B9" s="6" t="n">
        <v>1400</v>
      </c>
      <c r="C9" s="3" t="inlineStr">
        <is>
          <t>From P/E approach</t>
        </is>
      </c>
      <c r="E9" s="3" t="inlineStr">
        <is>
          <t>EV (from P/E approach) (₹ crore)</t>
        </is>
      </c>
      <c r="F9" s="5">
        <f>B13</f>
        <v/>
      </c>
      <c r="G9" s="3" t="inlineStr">
        <is>
          <t>Comparable EV implied</t>
        </is>
      </c>
    </row>
    <row r="10" ht="29" customHeight="1" s="33">
      <c r="A10" s="3" t="inlineStr">
        <is>
          <t>Net debt (₹ crore)</t>
        </is>
      </c>
      <c r="B10" s="6" t="n">
        <v>250</v>
      </c>
      <c r="C10" s="3" t="inlineStr">
        <is>
          <t>Given net debt</t>
        </is>
      </c>
      <c r="E10" s="3" t="inlineStr">
        <is>
          <t>Recommended equity range midpoint (₹ crore)</t>
        </is>
      </c>
      <c r="F10" s="5">
        <f>B14</f>
        <v/>
      </c>
      <c r="G10" s="3" t="inlineStr">
        <is>
          <t>Simple midpoint recommendation</t>
        </is>
      </c>
    </row>
    <row r="11"/>
    <row r="12">
      <c r="A12" s="7" t="inlineStr">
        <is>
          <t>CALCULATIONS</t>
        </is>
      </c>
      <c r="B12" s="36" t="n"/>
      <c r="C12" s="37" t="n"/>
    </row>
    <row r="13">
      <c r="A13" s="3" t="inlineStr">
        <is>
          <t>Equity from EV approach (₹ crore)</t>
        </is>
      </c>
      <c r="B13" s="10">
        <f>B7-B9</f>
        <v/>
      </c>
      <c r="C13" s="3" t="inlineStr">
        <is>
          <t>Equity = EV − Net debt</t>
        </is>
      </c>
    </row>
    <row r="14">
      <c r="A14" s="3" t="inlineStr">
        <is>
          <t>EV from P/E approach (₹ crore)</t>
        </is>
      </c>
      <c r="B14" s="10">
        <f>B8+B9</f>
        <v/>
      </c>
      <c r="C14" s="3" t="inlineStr">
        <is>
          <t>EV = Equity + Net debt</t>
        </is>
      </c>
    </row>
    <row r="15">
      <c r="A15" s="3" t="inlineStr">
        <is>
          <t>Midpoint equity value (₹ crore)</t>
        </is>
      </c>
      <c r="B15" s="10">
        <f>AVERAGE(B12,B8)</f>
        <v/>
      </c>
      <c r="C15" s="3" t="inlineStr">
        <is>
          <t>Average of equity indications</t>
        </is>
      </c>
    </row>
    <row r="16"/>
    <row r="17">
      <c r="A17" s="7" t="inlineStr">
        <is>
          <t>CHECKS</t>
        </is>
      </c>
      <c r="B17" s="36" t="n"/>
      <c r="C17" s="37" t="n"/>
    </row>
    <row r="18">
      <c r="A18" s="3" t="inlineStr">
        <is>
          <t>Reconciliation consistent?</t>
        </is>
      </c>
      <c r="B18" s="11">
        <f>IF(ABS((B12+B9)-B7)&lt;0.0001,"PASS","FAIL")</f>
        <v/>
      </c>
      <c r="C18" s="3" t="inlineStr">
        <is>
          <t>EV should equal Equity + Net debt.</t>
        </is>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1:C11"/>
    <mergeCell ref="A1:G1"/>
    <mergeCell ref="A3:G3"/>
    <mergeCell ref="A4:G4"/>
    <mergeCell ref="A2:G2"/>
    <mergeCell ref="A16:C16"/>
  </mergeCells>
  <hyperlinks>
    <hyperlink ref="A1" location="Index!A1" display="← Back to Index"/>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ySplit="5" topLeftCell="A6" activePane="bottomLeft" state="frozen"/>
      <selection pane="bottomLeft" activeCell="A1" sqref="A1"/>
    </sheetView>
  </sheetViews>
  <sheetFormatPr baseColWidth="8" defaultRowHeight="14.5"/>
  <cols>
    <col width="42" customWidth="1" style="33" min="1" max="1"/>
    <col width="22" customWidth="1" style="33" min="2" max="2"/>
    <col width="45" customWidth="1" style="33" min="3" max="3"/>
    <col width="3" customWidth="1" style="33" min="4" max="4"/>
    <col width="40" customWidth="1" style="33" min="5" max="5"/>
    <col width="22" customWidth="1" style="33" min="6" max="6"/>
    <col width="45" customWidth="1" style="33" min="7" max="7"/>
  </cols>
  <sheetData>
    <row r="1" ht="26" customHeight="1" s="33">
      <c r="A1" s="34" t="inlineStr">
        <is>
          <t>← Back to Index</t>
        </is>
      </c>
    </row>
    <row r="2" ht="20" customHeight="1" s="33">
      <c r="A2" s="38" t="inlineStr">
        <is>
          <t>Problem 2.4 — Normalization of Earnings</t>
        </is>
      </c>
      <c r="B2" s="36" t="n"/>
      <c r="C2" s="36" t="n"/>
      <c r="D2" s="36" t="n"/>
      <c r="E2" s="36" t="n"/>
      <c r="F2" s="36" t="n"/>
      <c r="G2" s="37" t="n"/>
    </row>
    <row r="3" ht="20" customHeight="1" s="33">
      <c r="A3" s="35" t="inlineStr">
        <is>
          <t>Role: M&amp;A Consultant</t>
        </is>
      </c>
      <c r="B3" s="36" t="n"/>
      <c r="C3" s="36" t="n"/>
      <c r="D3" s="36" t="n"/>
      <c r="E3" s="36" t="n"/>
      <c r="F3" s="36" t="n"/>
      <c r="G3" s="37" t="n"/>
    </row>
    <row r="4" ht="18" customHeight="1" s="33">
      <c r="A4" s="35" t="inlineStr">
        <is>
          <t>Objective: Normalize EBITDA and estimate EV using sector multiple.</t>
        </is>
      </c>
      <c r="B4" s="36" t="n"/>
      <c r="C4" s="36" t="n"/>
      <c r="D4" s="36" t="n"/>
      <c r="E4" s="36" t="n"/>
      <c r="F4" s="36" t="n"/>
      <c r="G4" s="37" t="n"/>
    </row>
    <row r="5">
      <c r="A5" s="35" t="inlineStr">
        <is>
          <t>All amounts in ₹ crore unless stated</t>
        </is>
      </c>
      <c r="B5" s="36" t="n"/>
      <c r="C5" s="36" t="n"/>
      <c r="D5" s="36" t="n"/>
      <c r="E5" s="36" t="n"/>
      <c r="F5" s="36" t="n"/>
      <c r="G5" s="37" t="n"/>
    </row>
    <row r="6"/>
    <row r="7">
      <c r="A7" s="2" t="inlineStr">
        <is>
          <t>INPUTS</t>
        </is>
      </c>
      <c r="B7" s="2" t="n"/>
      <c r="C7" s="2" t="n"/>
      <c r="E7" s="2" t="inlineStr">
        <is>
          <t>OUTPUTS</t>
        </is>
      </c>
      <c r="F7" s="2" t="n"/>
      <c r="G7" s="2" t="n"/>
    </row>
    <row r="8">
      <c r="A8" s="3" t="inlineStr">
        <is>
          <t>Reported EBITDA (₹ crore)</t>
        </is>
      </c>
      <c r="B8" s="6" t="n">
        <v>320</v>
      </c>
      <c r="C8" s="3" t="inlineStr">
        <is>
          <t>Latest year EBITDA</t>
        </is>
      </c>
      <c r="E8" s="3" t="inlineStr">
        <is>
          <t>Normalized EBITDA (₹ crore)</t>
        </is>
      </c>
      <c r="F8" s="5">
        <f>B13</f>
        <v/>
      </c>
      <c r="G8" s="3" t="inlineStr">
        <is>
          <t>EBITDA used for valuation</t>
        </is>
      </c>
    </row>
    <row r="9">
      <c r="A9" s="3" t="inlineStr">
        <is>
          <t>One-time restructuring costs included (₹ crore)</t>
        </is>
      </c>
      <c r="B9" s="6" t="n">
        <v>70</v>
      </c>
      <c r="C9" s="3" t="inlineStr">
        <is>
          <t>Add back to normalize</t>
        </is>
      </c>
      <c r="E9" s="3" t="inlineStr">
        <is>
          <t>Enterprise value (₹ crore)</t>
        </is>
      </c>
      <c r="F9" s="5">
        <f>B14</f>
        <v/>
      </c>
      <c r="G9" s="3" t="inlineStr">
        <is>
          <t>Implied EV</t>
        </is>
      </c>
    </row>
    <row r="10">
      <c r="A10" s="3" t="inlineStr">
        <is>
          <t>COVID-related losses included (₹ crore)</t>
        </is>
      </c>
      <c r="B10" s="6" t="n">
        <v>40</v>
      </c>
      <c r="C10" s="3" t="inlineStr">
        <is>
          <t>Add back to normalize</t>
        </is>
      </c>
    </row>
    <row r="11">
      <c r="A11" s="3" t="inlineStr">
        <is>
          <t>Peer EV/EBITDA multiple (x)</t>
        </is>
      </c>
      <c r="B11" s="4" t="n">
        <v>6.5</v>
      </c>
      <c r="C11" s="3" t="inlineStr">
        <is>
          <t>Comparable airlines multiple</t>
        </is>
      </c>
    </row>
    <row r="12"/>
    <row r="13">
      <c r="A13" s="7" t="inlineStr">
        <is>
          <t>CALCULATIONS</t>
        </is>
      </c>
      <c r="B13" s="36" t="n"/>
      <c r="C13" s="37" t="n"/>
    </row>
    <row r="14">
      <c r="A14" s="3" t="inlineStr">
        <is>
          <t>Normalized EBITDA (₹ crore)</t>
        </is>
      </c>
      <c r="B14" s="10">
        <f>B7+B8+B9</f>
        <v/>
      </c>
      <c r="C14" s="3" t="inlineStr">
        <is>
          <t>Reported + one-offs added back</t>
        </is>
      </c>
    </row>
    <row r="15">
      <c r="A15" s="3" t="inlineStr">
        <is>
          <t>Enterprise value (₹ crore)</t>
        </is>
      </c>
      <c r="B15" s="10">
        <f>B13*B10</f>
        <v/>
      </c>
      <c r="C15" s="3" t="inlineStr">
        <is>
          <t>Multiple × Normalized EBITDA</t>
        </is>
      </c>
    </row>
    <row r="16"/>
    <row r="17">
      <c r="A17" s="7" t="inlineStr">
        <is>
          <t>CHECKS</t>
        </is>
      </c>
      <c r="B17" s="36" t="n"/>
      <c r="C17" s="37" t="n"/>
    </row>
    <row r="18" ht="29" customHeight="1" s="33">
      <c r="A18" s="3" t="inlineStr">
        <is>
          <t>Normalized &gt;= Reported?</t>
        </is>
      </c>
      <c r="B18" s="11">
        <f>IF(B13&gt;=B7,"PASS","FAIL")</f>
        <v/>
      </c>
      <c r="C18" s="3" t="inlineStr">
        <is>
          <t>Normalization should not reduce EBITDA with add-backs.</t>
        </is>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G1"/>
    <mergeCell ref="A3:G3"/>
    <mergeCell ref="A4:G4"/>
    <mergeCell ref="A2:G2"/>
    <mergeCell ref="A12:C12"/>
    <mergeCell ref="A16:C16"/>
  </mergeCells>
  <hyperlinks>
    <hyperlink ref="A1" location="Index!A1" display="← Back to Index"/>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7"/>
  <sheetViews>
    <sheetView workbookViewId="0">
      <pane ySplit="5" topLeftCell="A6" activePane="bottomLeft" state="frozen"/>
      <selection pane="bottomLeft" activeCell="A1" sqref="A1"/>
    </sheetView>
  </sheetViews>
  <sheetFormatPr baseColWidth="8" defaultRowHeight="14.5"/>
  <cols>
    <col width="42" customWidth="1" style="33" min="1" max="1"/>
    <col width="22" customWidth="1" style="33" min="2" max="2"/>
    <col width="45" customWidth="1" style="33" min="3" max="3"/>
    <col width="3" customWidth="1" style="33" min="4" max="4"/>
    <col width="40" customWidth="1" style="33" min="5" max="5"/>
    <col width="22" customWidth="1" style="33" min="6" max="6"/>
    <col width="45" customWidth="1" style="33" min="7" max="7"/>
  </cols>
  <sheetData>
    <row r="1" ht="26" customHeight="1" s="33">
      <c r="A1" s="34" t="inlineStr">
        <is>
          <t>← Back to Index</t>
        </is>
      </c>
    </row>
    <row r="2" ht="20" customHeight="1" s="33">
      <c r="A2" s="38" t="inlineStr">
        <is>
          <t>Problem 2.5 — Strategic Premium Using Multiples</t>
        </is>
      </c>
      <c r="B2" s="36" t="n"/>
      <c r="C2" s="36" t="n"/>
      <c r="D2" s="36" t="n"/>
      <c r="E2" s="36" t="n"/>
      <c r="F2" s="36" t="n"/>
      <c r="G2" s="37" t="n"/>
    </row>
    <row r="3" ht="20" customHeight="1" s="33">
      <c r="A3" s="35" t="inlineStr">
        <is>
          <t>Role: Strategy &amp; Valuation Lead</t>
        </is>
      </c>
      <c r="B3" s="36" t="n"/>
      <c r="C3" s="36" t="n"/>
      <c r="D3" s="36" t="n"/>
      <c r="E3" s="36" t="n"/>
      <c r="F3" s="36" t="n"/>
      <c r="G3" s="37" t="n"/>
    </row>
    <row r="4" ht="18" customHeight="1" s="33">
      <c r="A4" s="35" t="inlineStr">
        <is>
          <t>Objective: Estimate acquisition price using P/B multiple and strategic premium.</t>
        </is>
      </c>
      <c r="B4" s="36" t="n"/>
      <c r="C4" s="36" t="n"/>
      <c r="D4" s="36" t="n"/>
      <c r="E4" s="36" t="n"/>
      <c r="F4" s="36" t="n"/>
      <c r="G4" s="37" t="n"/>
    </row>
    <row r="5">
      <c r="A5" s="35" t="inlineStr">
        <is>
          <t>All amounts in ₹ crore unless stated</t>
        </is>
      </c>
      <c r="B5" s="36" t="n"/>
      <c r="C5" s="36" t="n"/>
      <c r="D5" s="36" t="n"/>
      <c r="E5" s="36" t="n"/>
      <c r="F5" s="36" t="n"/>
      <c r="G5" s="37" t="n"/>
    </row>
    <row r="6"/>
    <row r="7">
      <c r="A7" s="2" t="inlineStr">
        <is>
          <t>INPUTS</t>
        </is>
      </c>
      <c r="B7" s="2" t="n"/>
      <c r="C7" s="2" t="n"/>
      <c r="E7" s="2" t="inlineStr">
        <is>
          <t>OUTPUTS</t>
        </is>
      </c>
      <c r="F7" s="2" t="n"/>
      <c r="G7" s="2" t="n"/>
    </row>
    <row r="8">
      <c r="A8" s="3" t="inlineStr">
        <is>
          <t>Peer P/B multiple (x)</t>
        </is>
      </c>
      <c r="B8" s="4" t="n">
        <v>1.6</v>
      </c>
      <c r="C8" s="3" t="inlineStr">
        <is>
          <t>Comparable banks P/B</t>
        </is>
      </c>
      <c r="E8" s="3" t="inlineStr">
        <is>
          <t>Base equity value (₹ crore)</t>
        </is>
      </c>
      <c r="F8" s="5">
        <f>B11</f>
        <v/>
      </c>
      <c r="G8" s="3" t="inlineStr">
        <is>
          <t>Before premium</t>
        </is>
      </c>
    </row>
    <row r="9">
      <c r="A9" s="3" t="inlineStr">
        <is>
          <t>Target book value of equity (₹ crore)</t>
        </is>
      </c>
      <c r="B9" s="6" t="n">
        <v>2000</v>
      </c>
      <c r="C9" s="3" t="inlineStr">
        <is>
          <t>Book value</t>
        </is>
      </c>
      <c r="E9" s="3" t="inlineStr">
        <is>
          <t>Final acquisition price (₹ crore)</t>
        </is>
      </c>
      <c r="F9" s="5">
        <f>B12</f>
        <v/>
      </c>
      <c r="G9" s="3" t="inlineStr">
        <is>
          <t>Including strategic premium</t>
        </is>
      </c>
    </row>
    <row r="10">
      <c r="A10" s="3" t="inlineStr">
        <is>
          <t>Strategic premium (%)</t>
        </is>
      </c>
      <c r="B10" s="14" t="n">
        <v>0.25</v>
      </c>
      <c r="C10" s="3" t="inlineStr">
        <is>
          <t>Premium over base valuation</t>
        </is>
      </c>
    </row>
    <row r="11"/>
    <row r="12">
      <c r="A12" s="7" t="inlineStr">
        <is>
          <t>CALCULATIONS</t>
        </is>
      </c>
      <c r="B12" s="36" t="n"/>
      <c r="C12" s="37" t="n"/>
    </row>
    <row r="13">
      <c r="A13" s="3" t="inlineStr">
        <is>
          <t>Base equity value (₹ crore)</t>
        </is>
      </c>
      <c r="B13" s="10">
        <f>B7*B8</f>
        <v/>
      </c>
      <c r="C13" s="3" t="inlineStr">
        <is>
          <t>P/B × Book value</t>
        </is>
      </c>
    </row>
    <row r="14">
      <c r="A14" s="3" t="inlineStr">
        <is>
          <t>Acquisition price (₹ crore)</t>
        </is>
      </c>
      <c r="B14" s="10">
        <f>B11*(1+B9)</f>
        <v/>
      </c>
      <c r="C14" s="3" t="inlineStr">
        <is>
          <t>Base value × (1 + premium)</t>
        </is>
      </c>
    </row>
    <row r="15"/>
    <row r="16">
      <c r="A16" s="7" t="inlineStr">
        <is>
          <t>CHECKS</t>
        </is>
      </c>
      <c r="B16" s="36" t="n"/>
      <c r="C16" s="37" t="n"/>
    </row>
    <row r="17">
      <c r="A17" s="3" t="inlineStr">
        <is>
          <t>Premium applied correctly?</t>
        </is>
      </c>
      <c r="B17" s="11">
        <f>IF(ABS(B12-(B11*(1+B9)))&lt;0.0001,"PASS","FAIL")</f>
        <v/>
      </c>
      <c r="C17" s="3" t="inlineStr">
        <is>
          <t>Consistency check.</t>
        </is>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1:C11"/>
    <mergeCell ref="A1:G1"/>
    <mergeCell ref="A3:G3"/>
    <mergeCell ref="A4:G4"/>
    <mergeCell ref="A2:G2"/>
    <mergeCell ref="A15:C15"/>
  </mergeCells>
  <hyperlinks>
    <hyperlink ref="A1" location="Index!A1" display="← Back to Index"/>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2025-12-17T12:09:38Z</dcterms:created>
  <dcterms:modified xmlns:dcterms="http://purl.org/dc/terms/" xmlns:xsi="http://www.w3.org/2001/XMLSchema-instance" xsi:type="dcterms:W3CDTF">2026-01-02T06:37:35Z</dcterms:modified>
  <cp:lastModifiedBy>srikanthyadav444p</cp:lastModifiedBy>
</cp:coreProperties>
</file>