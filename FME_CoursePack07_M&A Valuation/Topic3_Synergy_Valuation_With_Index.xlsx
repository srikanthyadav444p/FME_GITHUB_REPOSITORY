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3_1_CostSynergy_Perp" sheetId="3" state="visible" r:id="rId3"/>
    <sheet xmlns:r="http://schemas.openxmlformats.org/officeDocument/2006/relationships" name="P3_2_FiniteSynergy_5Y" sheetId="4" state="visible" r:id="rId4"/>
    <sheet xmlns:r="http://schemas.openxmlformats.org/officeDocument/2006/relationships" name="P3_3_RevenueSynergy_Margin" sheetId="5" state="visible" r:id="rId5"/>
    <sheet xmlns:r="http://schemas.openxmlformats.org/officeDocument/2006/relationships" name="P3_4_TaxSynergy_NOL" sheetId="6" state="visible" r:id="rId6"/>
    <sheet xmlns:r="http://schemas.openxmlformats.org/officeDocument/2006/relationships" name="P3_5_Synergy_Sharing" sheetId="7" state="visible" r:id="rId7"/>
  </sheets>
  <definedNames/>
  <calcPr calcId="191029" fullCalcOnLoad="1"/>
</workbook>
</file>

<file path=xl/styles.xml><?xml version="1.0" encoding="utf-8"?>
<styleSheet xmlns="http://schemas.openxmlformats.org/spreadsheetml/2006/main">
  <numFmts count="2">
    <numFmt numFmtId="164" formatCode="&quot;₹&quot;\ #,##0.00"/>
    <numFmt numFmtId="165" formatCode="#,##0.0000"/>
  </numFmts>
  <fonts count="15">
    <font>
      <name val="Calibri"/>
      <family val="2"/>
      <color theme="1"/>
      <sz val="11"/>
      <scheme val="minor"/>
    </font>
    <font>
      <name val="Calibri"/>
      <family val="2"/>
      <b val="1"/>
      <color rgb="FFFFFFFF"/>
      <sz val="14"/>
    </font>
    <font>
      <name val="Calibri"/>
      <family val="2"/>
      <b val="1"/>
      <color rgb="FFFFFFFF"/>
      <sz val="11"/>
    </font>
    <font>
      <name val="Calibri"/>
      <family val="2"/>
      <b val="1"/>
      <sz val="11"/>
    </font>
    <font>
      <name val="Calibri"/>
      <family val="2"/>
      <b val="1"/>
      <color rgb="FF000000"/>
      <sz val="11"/>
    </font>
    <font>
      <name val="Calibri"/>
      <family val="2"/>
      <b val="1"/>
      <sz val="14"/>
    </font>
    <font>
      <name val="Calibri"/>
      <family val="2"/>
      <color rgb="FF0563C1"/>
      <sz val="11"/>
      <u val="single"/>
    </font>
    <font>
      <name val="Calibri"/>
      <family val="2"/>
      <b val="1"/>
      <color rgb="FF0563C1"/>
      <sz val="11"/>
      <u val="single"/>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1">
    <fill>
      <patternFill/>
    </fill>
    <fill>
      <patternFill patternType="gray125"/>
    </fill>
    <fill>
      <patternFill patternType="solid">
        <fgColor rgb="FF1F4E79"/>
      </patternFill>
    </fill>
    <fill>
      <patternFill patternType="solid">
        <fgColor rgb="FFD9E1F2"/>
      </patternFill>
    </fill>
    <fill>
      <patternFill patternType="solid">
        <fgColor rgb="FFFFF2CC"/>
      </patternFill>
    </fill>
    <fill>
      <patternFill patternType="solid">
        <fgColor rgb="FFC6EFCE"/>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666666"/>
      </left>
      <right style="thin">
        <color rgb="FF666666"/>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666666"/>
      </top>
      <bottom/>
      <diagonal/>
    </border>
    <border>
      <left/>
      <right style="thin">
        <color rgb="FF666666"/>
      </right>
      <top style="thin">
        <color rgb="FF666666"/>
      </top>
      <bottom/>
      <diagonal/>
    </border>
  </borders>
  <cellStyleXfs count="2">
    <xf numFmtId="0" fontId="8" fillId="0" borderId="0"/>
    <xf numFmtId="0" fontId="8" fillId="0" borderId="0"/>
  </cellStyleXfs>
  <cellXfs count="38">
    <xf numFmtId="0" fontId="0" fillId="0"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applyAlignment="1" pivotButton="0" quotePrefix="0" xfId="0">
      <alignment vertical="center" wrapText="1"/>
    </xf>
    <xf numFmtId="164" fontId="0" fillId="4" borderId="1" applyAlignment="1" pivotButton="0" quotePrefix="0" xfId="0">
      <alignment horizontal="right" vertical="center"/>
    </xf>
    <xf numFmtId="164" fontId="0" fillId="5" borderId="1" applyAlignment="1" pivotButton="0" quotePrefix="0" xfId="0">
      <alignment horizontal="right" vertical="center"/>
    </xf>
    <xf numFmtId="10" fontId="0" fillId="4" borderId="1" applyAlignment="1" pivotButton="0" quotePrefix="0" xfId="0">
      <alignment horizontal="right" vertical="center"/>
    </xf>
    <xf numFmtId="0" fontId="4" fillId="3" borderId="1" applyAlignment="1" pivotButton="0" quotePrefix="0" xfId="0">
      <alignment horizontal="left" vertical="center"/>
    </xf>
    <xf numFmtId="0" fontId="0" fillId="0" borderId="2" pivotButton="0" quotePrefix="0" xfId="0"/>
    <xf numFmtId="0" fontId="0" fillId="0" borderId="3" pivotButton="0" quotePrefix="0" xfId="0"/>
    <xf numFmtId="164" fontId="0" fillId="0" borderId="1" applyAlignment="1" pivotButton="0" quotePrefix="0" xfId="0">
      <alignment horizontal="right" vertical="center"/>
    </xf>
    <xf numFmtId="0" fontId="0" fillId="0" borderId="1" applyAlignment="1" pivotButton="0" quotePrefix="0" xfId="0">
      <alignment horizontal="center" vertical="center"/>
    </xf>
    <xf numFmtId="1" fontId="0" fillId="4" borderId="1" applyAlignment="1" pivotButton="0" quotePrefix="0" xfId="0">
      <alignment horizontal="right" vertical="center"/>
    </xf>
    <xf numFmtId="165" fontId="0" fillId="0" borderId="1" applyAlignment="1" pivotButton="0" quotePrefix="0" xfId="0">
      <alignment horizontal="right" vertical="center"/>
    </xf>
    <xf numFmtId="0" fontId="5" fillId="0" borderId="0" pivotButton="0" quotePrefix="0" xfId="0"/>
    <xf numFmtId="0" fontId="3" fillId="0" borderId="0" pivotButton="0" quotePrefix="0" xfId="0"/>
    <xf numFmtId="0" fontId="6" fillId="0" borderId="0" pivotButton="0" quotePrefix="0" xfId="0"/>
    <xf numFmtId="0" fontId="10" fillId="0" borderId="0" applyAlignment="1" pivotButton="0" quotePrefix="0" xfId="1">
      <alignment vertical="center"/>
    </xf>
    <xf numFmtId="0" fontId="8" fillId="0" borderId="0" pivotButton="0" quotePrefix="0" xfId="1"/>
    <xf numFmtId="0" fontId="11" fillId="0" borderId="0" applyAlignment="1" pivotButton="0" quotePrefix="0" xfId="1">
      <alignment vertical="center"/>
    </xf>
    <xf numFmtId="0" fontId="12" fillId="0" borderId="0" pivotButton="0" quotePrefix="0" xfId="1"/>
    <xf numFmtId="0" fontId="13" fillId="0" borderId="0" applyAlignment="1" pivotButton="0" quotePrefix="0" xfId="1">
      <alignment vertical="center"/>
    </xf>
    <xf numFmtId="0" fontId="14" fillId="7" borderId="0" applyAlignment="1" pivotButton="0" quotePrefix="0" xfId="1">
      <alignment vertical="center"/>
    </xf>
    <xf numFmtId="0" fontId="8" fillId="7" borderId="0" pivotButton="0" quotePrefix="0" xfId="1"/>
    <xf numFmtId="0" fontId="14" fillId="8" borderId="0" applyAlignment="1" pivotButton="0" quotePrefix="0" xfId="1">
      <alignment vertical="center"/>
    </xf>
    <xf numFmtId="0" fontId="9" fillId="9" borderId="0" applyAlignment="1" pivotButton="0" quotePrefix="0" xfId="1">
      <alignment vertical="top" wrapText="1"/>
    </xf>
    <xf numFmtId="0" fontId="8" fillId="0" borderId="0" applyAlignment="1" pivotButton="0" quotePrefix="0" xfId="1">
      <alignment horizontal="left" vertical="center" indent="1"/>
    </xf>
    <xf numFmtId="0" fontId="9" fillId="0" borderId="0" pivotButton="0" quotePrefix="0" xfId="1"/>
    <xf numFmtId="0" fontId="9" fillId="0" borderId="0" applyAlignment="1" pivotButton="0" quotePrefix="0" xfId="1">
      <alignment horizontal="left" vertical="center" indent="1"/>
    </xf>
    <xf numFmtId="0" fontId="8" fillId="6" borderId="0" applyAlignment="1" pivotButton="0" quotePrefix="0" xfId="1">
      <alignment horizontal="justify" vertical="justify" wrapText="1"/>
    </xf>
    <xf numFmtId="0" fontId="8" fillId="6" borderId="0" applyAlignment="1" pivotButton="0" quotePrefix="0" xfId="1">
      <alignment horizontal="left" vertical="top" wrapText="1"/>
    </xf>
    <xf numFmtId="0" fontId="8" fillId="10" borderId="0" applyAlignment="1" pivotButton="0" quotePrefix="0" xfId="1">
      <alignment horizontal="justify" vertical="justify" wrapText="1"/>
    </xf>
    <xf numFmtId="0" fontId="0" fillId="0" borderId="0" pivotButton="0" quotePrefix="0" xfId="0"/>
    <xf numFmtId="0" fontId="7" fillId="0" borderId="0" pivotButton="0" quotePrefix="0" xfId="0"/>
    <xf numFmtId="0" fontId="2"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1"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23" workbookViewId="0">
      <selection activeCell="I16" sqref="I16"/>
    </sheetView>
  </sheetViews>
  <sheetFormatPr baseColWidth="8" defaultRowHeight="14.5"/>
  <cols>
    <col width="8.7265625" customWidth="1" style="18" min="1" max="6"/>
    <col width="13.90625" customWidth="1" style="18" min="7" max="7"/>
    <col width="5.6328125" customWidth="1" style="18" min="8" max="8"/>
    <col width="71.6328125" customWidth="1" style="18" min="9" max="9"/>
    <col width="7.1796875" customWidth="1" style="18" min="10" max="10"/>
    <col width="8.7265625" customWidth="1" style="18" min="11" max="16384"/>
  </cols>
  <sheetData>
    <row r="1" ht="31" customHeight="1" s="32">
      <c r="A1" s="17" t="inlineStr">
        <is>
          <t>FINANCIAL MODELING USING EXCEL</t>
        </is>
      </c>
    </row>
    <row r="2"/>
    <row r="3" ht="23.5" customHeight="1" s="32">
      <c r="A3" s="19" t="inlineStr">
        <is>
          <t>Synergy Valuation Model Using Excel</t>
        </is>
      </c>
    </row>
    <row r="4"/>
    <row r="5">
      <c r="A5" s="20" t="inlineStr">
        <is>
          <t>Quantifying Merger Synergies and Incremental Value Creation</t>
        </is>
      </c>
    </row>
    <row r="6"/>
    <row r="7" ht="23.5" customHeight="1" s="32">
      <c r="A7" s="21" t="inlineStr">
        <is>
          <t>Workbook Purpose</t>
        </is>
      </c>
    </row>
    <row r="8"/>
    <row r="9" ht="132.5" customHeight="1" s="32">
      <c r="A9" s="29" t="inlineStr">
        <is>
          <t>This workbook is designed to measure and value synergies arising from mergers and acquisitions using a structured Excel-based framework. It focuses exclusively on synergy valuation, separating the standalone values of the acquiring and target firms from the incremental cash flows generated due to the transaction.
The workbook helps learners understand how operational and financial synergies—such as cost savings, revenue enhancements, and efficiency gains—are translated into incremental cash flows, discounted appropriately, and interpreted as synergy value. The model reflects analytical practices followed in M&amp;A valuation, investment banking, and corporate strategy, where deal justification critically depends on the credibility and valuation of synergies.</t>
        </is>
      </c>
    </row>
    <row r="10"/>
    <row r="11"/>
    <row r="12"/>
    <row r="13"/>
    <row r="14"/>
    <row r="15" ht="23.5" customHeight="1" s="32">
      <c r="A15" s="22" t="inlineStr">
        <is>
          <t>Key Concepts Covered</t>
        </is>
      </c>
      <c r="B15" s="23" t="n"/>
      <c r="C15" s="23" t="n"/>
      <c r="D15" s="23" t="n"/>
      <c r="E15" s="23" t="n"/>
      <c r="F15" s="23" t="n"/>
      <c r="G15" s="23" t="n"/>
      <c r="I15" s="24" t="inlineStr">
        <is>
          <t>Excel Functions Used</t>
        </is>
      </c>
    </row>
    <row r="16" ht="311.5" customHeight="1" s="32">
      <c r="A16" s="30" t="inlineStr">
        <is>
          <t>Concept of synergies in mergers and acquisitions
Standalone firm value versus combined firm value
Operating synergies and cost-saving mechanisms
Revenue synergies and growth enhancement logic
Incremental cash flow identification
Time value of money applied to synergy cash flows
Present value of synergies as deal justification
Interpretation of synergy value relative to acquisition premium
Limitations and risks associated with synergy assumptions</t>
        </is>
      </c>
      <c r="I16" s="25" t="inlineStr">
        <is>
          <t xml:space="preserve">The following Excel functions are used accurately and completely in this workbook to support synergy estimation, valuation, and consistency checks:
NPV – Discounts periodic incremental synergy cash flows during the explicit forecast period
PV – Computes present value of individual synergy-related cash flows where required
SUM – Aggregates operating cash flows, synergies, and valuation components
SUMPRODUCT – Computes weighted or structured aggregation of synergy components
IF – Applies conditional logic to distinguish standalone and post-merger scenarios
IFERROR – Handles numerical edge cases and ensures model robustness
ROUND – Ensures numerical clarity and reporting precision
ABS – Maintains disciplined cash-flow sign conventions
AVERAGE – Computes representative assumptions where multiple inputs are involved
MAX / MIN – Supports boundary checks and reasonableness validation
INDEX – Retrieves scenario-specific or period-specific values dynamically
MATCH – Locates corresponding rows or columns within structured synergy tables
INDEX–MATCH – Enables flexible and auditable cross-sheet referencing
PERCENTAGE CALCULATIONS – Used for synergy growth rates, margins, and allocation logic
HYPERLINK – Facilitates navigation across index, inputs, and valuation output sheets
The workbook emphasizes clean separation of standalone and incremental cash flows, disciplined discounting, and transparent reconciliation between synergy value and deal economics.
</t>
        </is>
      </c>
    </row>
    <row r="17">
      <c r="A17" s="26" t="n"/>
    </row>
    <row r="18">
      <c r="A18" s="26" t="n"/>
      <c r="E18" s="31"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7" t="n"/>
    </row>
    <row r="19">
      <c r="A19" s="26" t="n"/>
    </row>
    <row r="20">
      <c r="A20" s="26" t="n"/>
      <c r="I20" s="27" t="n"/>
    </row>
    <row r="21">
      <c r="A21" s="26" t="n"/>
    </row>
    <row r="22">
      <c r="A22" s="26" t="n"/>
      <c r="I22" s="27" t="n"/>
    </row>
    <row r="23">
      <c r="A23" s="26" t="n"/>
    </row>
    <row r="24">
      <c r="A24" s="26" t="n"/>
      <c r="I24" s="27" t="n"/>
    </row>
    <row r="25">
      <c r="A25" s="26" t="n"/>
    </row>
    <row r="26">
      <c r="A26" s="26" t="n"/>
      <c r="I26" s="27" t="n"/>
    </row>
    <row r="27">
      <c r="A27" s="26" t="n"/>
    </row>
    <row r="28">
      <c r="A28" s="26" t="n"/>
      <c r="I28" s="27" t="n"/>
    </row>
    <row r="29">
      <c r="A29" s="26" t="n"/>
    </row>
    <row r="30">
      <c r="A30" s="26" t="n"/>
      <c r="I30" s="27" t="n"/>
    </row>
    <row r="31">
      <c r="A31" s="26" t="n"/>
      <c r="I31" s="26" t="n"/>
    </row>
    <row r="32">
      <c r="A32" s="26" t="n"/>
      <c r="I32" s="28" t="n"/>
    </row>
    <row r="33">
      <c r="A33" s="26"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4.5"/>
  <sheetData>
    <row r="1" ht="18.5" customHeight="1" s="32">
      <c r="A1" s="14" t="inlineStr">
        <is>
          <t>INDEX</t>
        </is>
      </c>
    </row>
    <row r="2"/>
    <row r="3">
      <c r="A3" s="15" t="inlineStr">
        <is>
          <t>Click on a problem to navigate to the model sheet:</t>
        </is>
      </c>
    </row>
    <row r="4"/>
    <row r="5">
      <c r="A5" s="16" t="inlineStr">
        <is>
          <t>P3_1_CostSynergy_Perp</t>
        </is>
      </c>
    </row>
    <row r="6">
      <c r="A6" s="16" t="inlineStr">
        <is>
          <t>P3_2_FiniteSynergy_5Y</t>
        </is>
      </c>
    </row>
    <row r="7">
      <c r="A7" s="16" t="inlineStr">
        <is>
          <t>P3_3_RevenueSynergy_Margin</t>
        </is>
      </c>
    </row>
    <row r="8">
      <c r="A8" s="16" t="inlineStr">
        <is>
          <t>P3_4_TaxSynergy_NOL</t>
        </is>
      </c>
    </row>
    <row r="9">
      <c r="A9" s="16" t="inlineStr">
        <is>
          <t>P3_5_Synergy_Sharing</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A5" location="'P3_1_CostSynergy_Perp'!A1" display="P3_1_CostSynergy_Perp"/>
    <hyperlink ref="A6" location="'P3_2_FiniteSynergy_5Y'!A1" display="P3_2_FiniteSynergy_5Y"/>
    <hyperlink ref="A7" location="'P3_3_RevenueSynergy_Margin'!A1" display="P3_3_RevenueSynergy_Margin"/>
    <hyperlink ref="A8" location="'P3_4_TaxSynergy_NOL'!A1" display="P3_4_TaxSynergy_NOL"/>
    <hyperlink ref="A9" location="'P3_5_Synergy_Sharing'!A1" display="P3_5_Synergy_Sharing"/>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5" topLeftCell="A6" activePane="bottomLeft" state="frozen"/>
      <selection pane="bottomLeft" activeCell="A1" sqref="A1"/>
    </sheetView>
  </sheetViews>
  <sheetFormatPr baseColWidth="8" defaultRowHeight="14.5"/>
  <cols>
    <col width="42" customWidth="1" style="32" min="1" max="1"/>
    <col width="22" customWidth="1" style="32" min="2" max="2"/>
    <col width="45" customWidth="1" style="32" min="3" max="3"/>
    <col width="3" customWidth="1" style="32" min="4" max="4"/>
    <col width="40" customWidth="1" style="32" min="5" max="5"/>
    <col width="22" customWidth="1" style="32" min="6" max="6"/>
    <col width="45" customWidth="1" style="32" min="7" max="7"/>
  </cols>
  <sheetData>
    <row r="1" ht="26" customHeight="1" s="32">
      <c r="A1" s="33" t="inlineStr">
        <is>
          <t>← Back to Index</t>
        </is>
      </c>
    </row>
    <row r="2" ht="20" customHeight="1" s="32">
      <c r="A2" s="37" t="inlineStr">
        <is>
          <t>Problem 3.1 — Cost Synergy Valuation (Perpetuity)</t>
        </is>
      </c>
      <c r="B2" s="35" t="n"/>
      <c r="C2" s="35" t="n"/>
      <c r="D2" s="35" t="n"/>
      <c r="E2" s="35" t="n"/>
      <c r="F2" s="35" t="n"/>
      <c r="G2" s="36" t="n"/>
    </row>
    <row r="3" ht="20" customHeight="1" s="32">
      <c r="A3" s="34" t="inlineStr">
        <is>
          <t>Role: Corporate Development Analyst</t>
        </is>
      </c>
      <c r="B3" s="35" t="n"/>
      <c r="C3" s="35" t="n"/>
      <c r="D3" s="35" t="n"/>
      <c r="E3" s="35" t="n"/>
      <c r="F3" s="35" t="n"/>
      <c r="G3" s="36" t="n"/>
    </row>
    <row r="4" ht="18" customHeight="1" s="32">
      <c r="A4" s="34" t="inlineStr">
        <is>
          <t>Objective: Value perpetual annual cost savings using perpetuity PV.</t>
        </is>
      </c>
      <c r="B4" s="35" t="n"/>
      <c r="C4" s="35" t="n"/>
      <c r="D4" s="35" t="n"/>
      <c r="E4" s="35" t="n"/>
      <c r="F4" s="35" t="n"/>
      <c r="G4" s="36" t="n"/>
    </row>
    <row r="5">
      <c r="A5" s="34" t="inlineStr">
        <is>
          <t>All amounts in ₹ crore unless stated</t>
        </is>
      </c>
      <c r="B5" s="35" t="n"/>
      <c r="C5" s="35" t="n"/>
      <c r="D5" s="35" t="n"/>
      <c r="E5" s="35" t="n"/>
      <c r="F5" s="35" t="n"/>
      <c r="G5" s="36" t="n"/>
    </row>
    <row r="6"/>
    <row r="7">
      <c r="A7" s="2" t="inlineStr">
        <is>
          <t>INPUTS</t>
        </is>
      </c>
      <c r="B7" s="2" t="n"/>
      <c r="C7" s="2" t="n"/>
      <c r="E7" s="2" t="inlineStr">
        <is>
          <t>OUTPUTS</t>
        </is>
      </c>
      <c r="F7" s="2" t="n"/>
      <c r="G7" s="2" t="n"/>
    </row>
    <row r="8">
      <c r="A8" s="3" t="inlineStr">
        <is>
          <t>Annual cost savings (₹ crore)</t>
        </is>
      </c>
      <c r="B8" s="4" t="n">
        <v>45</v>
      </c>
      <c r="C8" s="3" t="inlineStr">
        <is>
          <t>Perpetual annual savings</t>
        </is>
      </c>
      <c r="E8" s="3" t="inlineStr">
        <is>
          <t>Synergy value (PV) (₹ crore)</t>
        </is>
      </c>
      <c r="F8" s="5">
        <f>B11</f>
        <v/>
      </c>
      <c r="G8" s="3" t="inlineStr">
        <is>
          <t>Present value of cost synergies</t>
        </is>
      </c>
    </row>
    <row r="9">
      <c r="A9" s="3" t="inlineStr">
        <is>
          <t>Discount rate (%)</t>
        </is>
      </c>
      <c r="B9" s="6" t="n">
        <v>0.1</v>
      </c>
      <c r="C9" s="3" t="inlineStr">
        <is>
          <t>WACC / discount rate</t>
        </is>
      </c>
    </row>
    <row r="10"/>
    <row r="11">
      <c r="A11" s="7" t="inlineStr">
        <is>
          <t>CALCULATIONS</t>
        </is>
      </c>
      <c r="B11" s="35" t="n"/>
      <c r="C11" s="36" t="n"/>
    </row>
    <row r="12">
      <c r="A12" s="3" t="inlineStr">
        <is>
          <t>PV of synergies (₹ crore)</t>
        </is>
      </c>
      <c r="B12" s="10">
        <f>B7/B8</f>
        <v/>
      </c>
      <c r="C12" s="3" t="inlineStr">
        <is>
          <t>Perpetuity PV = CF / r</t>
        </is>
      </c>
    </row>
    <row r="13"/>
    <row r="14">
      <c r="A14" s="7" t="inlineStr">
        <is>
          <t>CHECKS</t>
        </is>
      </c>
      <c r="B14" s="35" t="n"/>
      <c r="C14" s="36" t="n"/>
    </row>
    <row r="15">
      <c r="A15" s="3" t="inlineStr">
        <is>
          <t>Discount rate &gt; 0?</t>
        </is>
      </c>
      <c r="B15" s="11">
        <f>IF(B8&gt;0,"PASS","FAIL")</f>
        <v/>
      </c>
      <c r="C15" s="3" t="inlineStr">
        <is>
          <t>Rate must be positive.</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0:C10"/>
    <mergeCell ref="A13:C13"/>
    <mergeCell ref="A1:G1"/>
    <mergeCell ref="A3:G3"/>
    <mergeCell ref="A4:G4"/>
    <mergeCell ref="A2:G2"/>
  </mergeCells>
  <hyperlinks>
    <hyperlink ref="A1" location="Index!A1" display="← Back to Index"/>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ySplit="5" topLeftCell="A6" activePane="bottomLeft" state="frozen"/>
      <selection pane="bottomLeft" activeCell="A1" sqref="A1"/>
    </sheetView>
  </sheetViews>
  <sheetFormatPr baseColWidth="8" defaultRowHeight="14.5"/>
  <cols>
    <col width="42" customWidth="1" style="32" min="1" max="1"/>
    <col width="22" customWidth="1" style="32" min="2" max="2"/>
    <col width="45" customWidth="1" style="32" min="3" max="3"/>
    <col width="3" customWidth="1" style="32" min="4" max="4"/>
    <col width="40" customWidth="1" style="32" min="5" max="5"/>
    <col width="22" customWidth="1" style="32" min="6" max="6"/>
    <col width="45" customWidth="1" style="32" min="7" max="7"/>
  </cols>
  <sheetData>
    <row r="1" ht="26" customHeight="1" s="32">
      <c r="A1" s="33" t="inlineStr">
        <is>
          <t>← Back to Index</t>
        </is>
      </c>
    </row>
    <row r="2" ht="20" customHeight="1" s="32">
      <c r="A2" s="37" t="inlineStr">
        <is>
          <t>Problem 3.2 — Finite-Life Synergies (5 Years)</t>
        </is>
      </c>
      <c r="B2" s="35" t="n"/>
      <c r="C2" s="35" t="n"/>
      <c r="D2" s="35" t="n"/>
      <c r="E2" s="35" t="n"/>
      <c r="F2" s="35" t="n"/>
      <c r="G2" s="36" t="n"/>
    </row>
    <row r="3" ht="20" customHeight="1" s="32">
      <c r="A3" s="34" t="inlineStr">
        <is>
          <t>Role: M&amp;A Associate</t>
        </is>
      </c>
      <c r="B3" s="35" t="n"/>
      <c r="C3" s="35" t="n"/>
      <c r="D3" s="35" t="n"/>
      <c r="E3" s="35" t="n"/>
      <c r="F3" s="35" t="n"/>
      <c r="G3" s="36" t="n"/>
    </row>
    <row r="4" ht="18" customHeight="1" s="32">
      <c r="A4" s="34" t="inlineStr">
        <is>
          <t>Objective: Value finite annual synergy cash flows using annuity PV.</t>
        </is>
      </c>
      <c r="B4" s="35" t="n"/>
      <c r="C4" s="35" t="n"/>
      <c r="D4" s="35" t="n"/>
      <c r="E4" s="35" t="n"/>
      <c r="F4" s="35" t="n"/>
      <c r="G4" s="36" t="n"/>
    </row>
    <row r="5">
      <c r="A5" s="34" t="inlineStr">
        <is>
          <t>All amounts in ₹ crore unless stated</t>
        </is>
      </c>
      <c r="B5" s="35" t="n"/>
      <c r="C5" s="35" t="n"/>
      <c r="D5" s="35" t="n"/>
      <c r="E5" s="35" t="n"/>
      <c r="F5" s="35" t="n"/>
      <c r="G5" s="36" t="n"/>
    </row>
    <row r="6"/>
    <row r="7">
      <c r="A7" s="2" t="inlineStr">
        <is>
          <t>INPUTS</t>
        </is>
      </c>
      <c r="B7" s="2" t="n"/>
      <c r="C7" s="2" t="n"/>
      <c r="E7" s="2" t="inlineStr">
        <is>
          <t>OUTPUTS</t>
        </is>
      </c>
      <c r="F7" s="2" t="n"/>
      <c r="G7" s="2" t="n"/>
    </row>
    <row r="8">
      <c r="A8" s="3" t="inlineStr">
        <is>
          <t>Annual after-tax synergy cash flow (₹ crore)</t>
        </is>
      </c>
      <c r="B8" s="4" t="n">
        <v>30</v>
      </c>
      <c r="C8" s="3" t="inlineStr">
        <is>
          <t>For each of 5 years</t>
        </is>
      </c>
      <c r="E8" s="3" t="inlineStr">
        <is>
          <t>Synergy PV (₹ crore)</t>
        </is>
      </c>
      <c r="F8" s="5">
        <f>B13</f>
        <v/>
      </c>
      <c r="G8" s="3" t="inlineStr">
        <is>
          <t>Present value of finite synergies</t>
        </is>
      </c>
    </row>
    <row r="9">
      <c r="A9" s="3" t="inlineStr">
        <is>
          <t>Years of synergy (n)</t>
        </is>
      </c>
      <c r="B9" s="12" t="n">
        <v>5</v>
      </c>
      <c r="C9" s="3" t="inlineStr">
        <is>
          <t>Finite duration</t>
        </is>
      </c>
    </row>
    <row r="10">
      <c r="A10" s="3" t="inlineStr">
        <is>
          <t>Discount rate (%)</t>
        </is>
      </c>
      <c r="B10" s="6" t="n">
        <v>0.11</v>
      </c>
      <c r="C10" s="3" t="inlineStr">
        <is>
          <t>Discount rate</t>
        </is>
      </c>
    </row>
    <row r="11"/>
    <row r="12">
      <c r="A12" s="7" t="inlineStr">
        <is>
          <t>CALCULATIONS</t>
        </is>
      </c>
      <c r="B12" s="35" t="n"/>
      <c r="C12" s="36" t="n"/>
    </row>
    <row r="13">
      <c r="A13" s="3" t="inlineStr">
        <is>
          <t>PV factor (annuity)</t>
        </is>
      </c>
      <c r="B13" s="13">
        <f>(1-(1+B9)^(-B8))/B9</f>
        <v/>
      </c>
      <c r="C13" s="3" t="inlineStr">
        <is>
          <t>Annuity PV factor</t>
        </is>
      </c>
    </row>
    <row r="14">
      <c r="A14" s="3" t="inlineStr">
        <is>
          <t>PV of synergies (₹ crore)</t>
        </is>
      </c>
      <c r="B14" s="10">
        <f>B7*B12</f>
        <v/>
      </c>
      <c r="C14" s="3" t="inlineStr">
        <is>
          <t>CF × PV factor</t>
        </is>
      </c>
    </row>
    <row r="15"/>
    <row r="16">
      <c r="A16" s="7" t="inlineStr">
        <is>
          <t>CHECKS</t>
        </is>
      </c>
      <c r="B16" s="35" t="n"/>
      <c r="C16" s="36" t="n"/>
    </row>
    <row r="17">
      <c r="A17" s="3" t="inlineStr">
        <is>
          <t>Years &gt;=1?</t>
        </is>
      </c>
      <c r="B17" s="11">
        <f>IF(B8&gt;=1,"PASS","FAIL")</f>
        <v/>
      </c>
      <c r="C17" s="3" t="inlineStr">
        <is>
          <t>n must be at least 1.</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C11"/>
    <mergeCell ref="A1:G1"/>
    <mergeCell ref="A3:G3"/>
    <mergeCell ref="A4:G4"/>
    <mergeCell ref="A2:G2"/>
    <mergeCell ref="A15:C15"/>
  </mergeCells>
  <hyperlinks>
    <hyperlink ref="A1" location="Index!A1" display="← Back to Index"/>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ySplit="5" topLeftCell="A6" activePane="bottomLeft" state="frozen"/>
      <selection pane="bottomLeft" activeCell="A1" sqref="A1"/>
    </sheetView>
  </sheetViews>
  <sheetFormatPr baseColWidth="8" defaultRowHeight="14.5"/>
  <cols>
    <col width="42" customWidth="1" style="32" min="1" max="1"/>
    <col width="22" customWidth="1" style="32" min="2" max="2"/>
    <col width="45" customWidth="1" style="32" min="3" max="3"/>
    <col width="3" customWidth="1" style="32" min="4" max="4"/>
    <col width="40" customWidth="1" style="32" min="5" max="5"/>
    <col width="22" customWidth="1" style="32" min="6" max="6"/>
    <col width="45" customWidth="1" style="32" min="7" max="7"/>
  </cols>
  <sheetData>
    <row r="1" ht="26" customHeight="1" s="32">
      <c r="A1" s="33" t="inlineStr">
        <is>
          <t>← Back to Index</t>
        </is>
      </c>
    </row>
    <row r="2" ht="20" customHeight="1" s="32">
      <c r="A2" s="37" t="inlineStr">
        <is>
          <t>Problem 3.3 — Revenue Synergies with Margin Impact</t>
        </is>
      </c>
      <c r="B2" s="35" t="n"/>
      <c r="C2" s="35" t="n"/>
      <c r="D2" s="35" t="n"/>
      <c r="E2" s="35" t="n"/>
      <c r="F2" s="35" t="n"/>
      <c r="G2" s="36" t="n"/>
    </row>
    <row r="3" ht="20" customHeight="1" s="32">
      <c r="A3" s="34" t="inlineStr">
        <is>
          <t>Role: Strategic Finance Analyst</t>
        </is>
      </c>
      <c r="B3" s="35" t="n"/>
      <c r="C3" s="35" t="n"/>
      <c r="D3" s="35" t="n"/>
      <c r="E3" s="35" t="n"/>
      <c r="F3" s="35" t="n"/>
      <c r="G3" s="36" t="n"/>
    </row>
    <row r="4" ht="18" customHeight="1" s="32">
      <c r="A4" s="34" t="inlineStr">
        <is>
          <t>Objective: Convert revenue synergies into after-tax cash flows and discount to PV.</t>
        </is>
      </c>
      <c r="B4" s="35" t="n"/>
      <c r="C4" s="35" t="n"/>
      <c r="D4" s="35" t="n"/>
      <c r="E4" s="35" t="n"/>
      <c r="F4" s="35" t="n"/>
      <c r="G4" s="36" t="n"/>
    </row>
    <row r="5">
      <c r="A5" s="34" t="inlineStr">
        <is>
          <t>All amounts in ₹ crore unless stated</t>
        </is>
      </c>
      <c r="B5" s="35" t="n"/>
      <c r="C5" s="35" t="n"/>
      <c r="D5" s="35" t="n"/>
      <c r="E5" s="35" t="n"/>
      <c r="F5" s="35" t="n"/>
      <c r="G5" s="36" t="n"/>
    </row>
    <row r="6"/>
    <row r="7">
      <c r="A7" s="2" t="inlineStr">
        <is>
          <t>INPUTS</t>
        </is>
      </c>
      <c r="B7" s="2" t="n"/>
      <c r="C7" s="2" t="n"/>
      <c r="E7" s="2" t="inlineStr">
        <is>
          <t>OUTPUTS</t>
        </is>
      </c>
      <c r="F7" s="2" t="n"/>
      <c r="G7" s="2" t="n"/>
    </row>
    <row r="8">
      <c r="A8" s="3" t="inlineStr">
        <is>
          <t>Year 1 incremental revenue (₹ crore)</t>
        </is>
      </c>
      <c r="B8" s="4" t="n">
        <v>200</v>
      </c>
      <c r="C8" s="3" t="inlineStr">
        <is>
          <t>Incremental revenue in year 1</t>
        </is>
      </c>
      <c r="E8" s="3" t="inlineStr">
        <is>
          <t>Total synergy PV (₹ crore)</t>
        </is>
      </c>
      <c r="F8" s="5">
        <f>B24</f>
        <v/>
      </c>
      <c r="G8" s="3" t="inlineStr">
        <is>
          <t>Present value of revenue synergies</t>
        </is>
      </c>
    </row>
    <row r="9">
      <c r="A9" s="3" t="inlineStr">
        <is>
          <t>Revenue growth rate (%)</t>
        </is>
      </c>
      <c r="B9" s="6" t="n">
        <v>0.05</v>
      </c>
      <c r="C9" s="3" t="inlineStr">
        <is>
          <t>Annual growth for 5 years</t>
        </is>
      </c>
    </row>
    <row r="10">
      <c r="A10" s="3" t="inlineStr">
        <is>
          <t>Years (n)</t>
        </is>
      </c>
      <c r="B10" s="12" t="n">
        <v>5</v>
      </c>
      <c r="C10" s="3" t="inlineStr">
        <is>
          <t>Synergy horizon</t>
        </is>
      </c>
    </row>
    <row r="11">
      <c r="A11" s="3" t="inlineStr">
        <is>
          <t>Operating margin on incremental revenue (%)</t>
        </is>
      </c>
      <c r="B11" s="6" t="n">
        <v>0.18</v>
      </c>
      <c r="C11" s="3" t="inlineStr">
        <is>
          <t>Contribution margin</t>
        </is>
      </c>
    </row>
    <row r="12">
      <c r="A12" s="3" t="inlineStr">
        <is>
          <t>Tax rate (%)</t>
        </is>
      </c>
      <c r="B12" s="6" t="n">
        <v>0.25</v>
      </c>
      <c r="C12" s="3" t="inlineStr">
        <is>
          <t>Corporate tax rate</t>
        </is>
      </c>
    </row>
    <row r="13">
      <c r="A13" s="3" t="inlineStr">
        <is>
          <t>Discount rate (%)</t>
        </is>
      </c>
      <c r="B13" s="6" t="n">
        <v>0.12</v>
      </c>
      <c r="C13" s="3" t="inlineStr">
        <is>
          <t>Discount rate</t>
        </is>
      </c>
    </row>
    <row r="14"/>
    <row r="15">
      <c r="A15" s="7" t="inlineStr">
        <is>
          <t>CALCULATIONS</t>
        </is>
      </c>
      <c r="B15" s="35" t="n"/>
      <c r="C15" s="36" t="n"/>
    </row>
    <row r="16">
      <c r="A16" s="3" t="inlineStr">
        <is>
          <t>Year 1 after-tax CF (₹ crore)</t>
        </is>
      </c>
      <c r="B16" s="10">
        <f>B7*(1+B8)^(0)*B10*(1-B11)</f>
        <v/>
      </c>
      <c r="C16" s="3" t="inlineStr">
        <is>
          <t>Rev1 × margin × (1-tax)</t>
        </is>
      </c>
    </row>
    <row r="17">
      <c r="A17" s="3" t="inlineStr">
        <is>
          <t>Year 2 after-tax CF (₹ crore)</t>
        </is>
      </c>
      <c r="B17" s="10">
        <f>B7*(1+B8)^(1)*B10*(1-B11)</f>
        <v/>
      </c>
      <c r="C17" s="3" t="inlineStr">
        <is>
          <t>Rev2 × margin × (1-tax)</t>
        </is>
      </c>
    </row>
    <row r="18">
      <c r="A18" s="3" t="inlineStr">
        <is>
          <t>Year 3 after-tax CF (₹ crore)</t>
        </is>
      </c>
      <c r="B18" s="10">
        <f>B7*(1+B8)^(2)*B10*(1-B11)</f>
        <v/>
      </c>
      <c r="C18" s="3" t="inlineStr">
        <is>
          <t>Rev3 × margin × (1-tax)</t>
        </is>
      </c>
    </row>
    <row r="19">
      <c r="A19" s="3" t="inlineStr">
        <is>
          <t>Year 4 after-tax CF (₹ crore)</t>
        </is>
      </c>
      <c r="B19" s="10">
        <f>B7*(1+B8)^(3)*B10*(1-B11)</f>
        <v/>
      </c>
      <c r="C19" s="3" t="inlineStr">
        <is>
          <t>Rev4 × margin × (1-tax)</t>
        </is>
      </c>
    </row>
    <row r="20">
      <c r="A20" s="3" t="inlineStr">
        <is>
          <t>Year 5 after-tax CF (₹ crore)</t>
        </is>
      </c>
      <c r="B20" s="10">
        <f>B7*(1+B8)^(4)*B10*(1-B11)</f>
        <v/>
      </c>
      <c r="C20" s="3" t="inlineStr">
        <is>
          <t>Rev5 × margin × (1-tax)</t>
        </is>
      </c>
    </row>
    <row r="21">
      <c r="A21" s="3" t="inlineStr">
        <is>
          <t>PV of Year 1 CF (₹ crore)</t>
        </is>
      </c>
      <c r="B21" s="10">
        <f>B14/(1+B12)^1</f>
        <v/>
      </c>
      <c r="C21" s="3" t="inlineStr">
        <is>
          <t>Discount year 1 CF</t>
        </is>
      </c>
    </row>
    <row r="22">
      <c r="A22" s="3" t="inlineStr">
        <is>
          <t>PV of Year 2 CF (₹ crore)</t>
        </is>
      </c>
      <c r="B22" s="10">
        <f>B15/(1+B12)^2</f>
        <v/>
      </c>
      <c r="C22" s="3" t="inlineStr">
        <is>
          <t>Discount year 2 CF</t>
        </is>
      </c>
    </row>
    <row r="23">
      <c r="A23" s="3" t="inlineStr">
        <is>
          <t>PV of Year 3 CF (₹ crore)</t>
        </is>
      </c>
      <c r="B23" s="10">
        <f>B16/(1+B12)^3</f>
        <v/>
      </c>
      <c r="C23" s="3" t="inlineStr">
        <is>
          <t>Discount year 3 CF</t>
        </is>
      </c>
    </row>
    <row r="24">
      <c r="A24" s="3" t="inlineStr">
        <is>
          <t>PV of Year 4 CF (₹ crore)</t>
        </is>
      </c>
      <c r="B24" s="10">
        <f>B17/(1+B12)^4</f>
        <v/>
      </c>
      <c r="C24" s="3" t="inlineStr">
        <is>
          <t>Discount year 4 CF</t>
        </is>
      </c>
    </row>
    <row r="25">
      <c r="A25" s="3" t="inlineStr">
        <is>
          <t>PV of Year 5 CF (₹ crore)</t>
        </is>
      </c>
      <c r="B25" s="10">
        <f>B18/(1+B12)^5</f>
        <v/>
      </c>
      <c r="C25" s="3" t="inlineStr">
        <is>
          <t>Discount year 5 CF</t>
        </is>
      </c>
    </row>
    <row r="26">
      <c r="A26" s="3" t="inlineStr">
        <is>
          <t>Total PV of synergies (₹ crore)</t>
        </is>
      </c>
      <c r="B26" s="10">
        <f>SUM(B19:B23)</f>
        <v/>
      </c>
      <c r="C26" s="3" t="inlineStr">
        <is>
          <t>Sum of PVs</t>
        </is>
      </c>
    </row>
    <row r="27"/>
    <row r="28">
      <c r="A28" s="7" t="inlineStr">
        <is>
          <t>CHECKS</t>
        </is>
      </c>
      <c r="B28" s="35" t="n"/>
      <c r="C28" s="36" t="n"/>
    </row>
    <row r="29">
      <c r="A29" s="3" t="inlineStr">
        <is>
          <t>Tax rate valid (0-100%)?</t>
        </is>
      </c>
      <c r="B29" s="11">
        <f>IF(AND(B11&gt;=0,B11&lt;=1),"PASS","FAIL")</f>
        <v/>
      </c>
      <c r="C29" s="3" t="inlineStr">
        <is>
          <t>Tax rate must be between 0% and 100%.</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G1"/>
    <mergeCell ref="A3:G3"/>
    <mergeCell ref="A14:C14"/>
    <mergeCell ref="A4:G4"/>
    <mergeCell ref="A27:C27"/>
    <mergeCell ref="A2:G2"/>
  </mergeCells>
  <hyperlinks>
    <hyperlink ref="A1" location="Index!A1" display="← Back to Index"/>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5" topLeftCell="A6" activePane="bottomLeft" state="frozen"/>
      <selection pane="bottomLeft" activeCell="A1" sqref="A1"/>
    </sheetView>
  </sheetViews>
  <sheetFormatPr baseColWidth="8" defaultRowHeight="14.5"/>
  <cols>
    <col width="42" customWidth="1" style="32" min="1" max="1"/>
    <col width="22" customWidth="1" style="32" min="2" max="2"/>
    <col width="45" customWidth="1" style="32" min="3" max="3"/>
    <col width="3" customWidth="1" style="32" min="4" max="4"/>
    <col width="40" customWidth="1" style="32" min="5" max="5"/>
    <col width="22" customWidth="1" style="32" min="6" max="6"/>
    <col width="45" customWidth="1" style="32" min="7" max="7"/>
  </cols>
  <sheetData>
    <row r="1" ht="26" customHeight="1" s="32">
      <c r="A1" s="33" t="inlineStr">
        <is>
          <t>← Back to Index</t>
        </is>
      </c>
    </row>
    <row r="2" ht="20" customHeight="1" s="32">
      <c r="A2" s="37" t="inlineStr">
        <is>
          <t>Problem 3.4 — Tax Synergies from Loss Utilization</t>
        </is>
      </c>
      <c r="B2" s="35" t="n"/>
      <c r="C2" s="35" t="n"/>
      <c r="D2" s="35" t="n"/>
      <c r="E2" s="35" t="n"/>
      <c r="F2" s="35" t="n"/>
      <c r="G2" s="36" t="n"/>
    </row>
    <row r="3" ht="20" customHeight="1" s="32">
      <c r="A3" s="34" t="inlineStr">
        <is>
          <t>Role: Valuation Specialist</t>
        </is>
      </c>
      <c r="B3" s="35" t="n"/>
      <c r="C3" s="35" t="n"/>
      <c r="D3" s="35" t="n"/>
      <c r="E3" s="35" t="n"/>
      <c r="F3" s="35" t="n"/>
      <c r="G3" s="36" t="n"/>
    </row>
    <row r="4" ht="18" customHeight="1" s="32">
      <c r="A4" s="34" t="inlineStr">
        <is>
          <t>Objective: Estimate PV of tax shields from utilizing tax losses over time.</t>
        </is>
      </c>
      <c r="B4" s="35" t="n"/>
      <c r="C4" s="35" t="n"/>
      <c r="D4" s="35" t="n"/>
      <c r="E4" s="35" t="n"/>
      <c r="F4" s="35" t="n"/>
      <c r="G4" s="36" t="n"/>
    </row>
    <row r="5">
      <c r="A5" s="34" t="inlineStr">
        <is>
          <t>All amounts in ₹ crore unless stated</t>
        </is>
      </c>
      <c r="B5" s="35" t="n"/>
      <c r="C5" s="35" t="n"/>
      <c r="D5" s="35" t="n"/>
      <c r="E5" s="35" t="n"/>
      <c r="F5" s="35" t="n"/>
      <c r="G5" s="36" t="n"/>
    </row>
    <row r="6"/>
    <row r="7">
      <c r="A7" s="2" t="inlineStr">
        <is>
          <t>INPUTS</t>
        </is>
      </c>
      <c r="B7" s="2" t="n"/>
      <c r="C7" s="2" t="n"/>
      <c r="E7" s="2" t="inlineStr">
        <is>
          <t>OUTPUTS</t>
        </is>
      </c>
      <c r="F7" s="2" t="n"/>
      <c r="G7" s="2" t="n"/>
    </row>
    <row r="8">
      <c r="A8" s="3" t="inlineStr">
        <is>
          <t>Tax losses available (₹ crore)</t>
        </is>
      </c>
      <c r="B8" s="4" t="n">
        <v>500</v>
      </c>
      <c r="C8" s="3" t="inlineStr">
        <is>
          <t>Total NOL available</t>
        </is>
      </c>
      <c r="E8" s="3" t="inlineStr">
        <is>
          <t>PV of tax synergies (₹ crore)</t>
        </is>
      </c>
      <c r="F8" s="5">
        <f>B14</f>
        <v/>
      </c>
      <c r="G8" s="3" t="inlineStr">
        <is>
          <t>Value contribution from NOLs</t>
        </is>
      </c>
    </row>
    <row r="9">
      <c r="A9" s="3" t="inlineStr">
        <is>
          <t>Utilization period (years)</t>
        </is>
      </c>
      <c r="B9" s="12" t="n">
        <v>4</v>
      </c>
      <c r="C9" s="3" t="inlineStr">
        <is>
          <t>Utilize evenly over 4 years</t>
        </is>
      </c>
    </row>
    <row r="10">
      <c r="A10" s="3" t="inlineStr">
        <is>
          <t>Tax rate (%)</t>
        </is>
      </c>
      <c r="B10" s="6" t="n">
        <v>0.3</v>
      </c>
      <c r="C10" s="3" t="inlineStr">
        <is>
          <t>Corporate tax rate</t>
        </is>
      </c>
    </row>
    <row r="11">
      <c r="A11" s="3" t="inlineStr">
        <is>
          <t>Discount rate for tax shields (%)</t>
        </is>
      </c>
      <c r="B11" s="6" t="n">
        <v>0.09</v>
      </c>
      <c r="C11" s="3" t="inlineStr">
        <is>
          <t>Appropriate discount rate</t>
        </is>
      </c>
    </row>
    <row r="12"/>
    <row r="13">
      <c r="A13" s="7" t="inlineStr">
        <is>
          <t>CALCULATIONS</t>
        </is>
      </c>
      <c r="B13" s="35" t="n"/>
      <c r="C13" s="36" t="n"/>
    </row>
    <row r="14">
      <c r="A14" s="3" t="inlineStr">
        <is>
          <t>Annual NOL utilized (₹ crore)</t>
        </is>
      </c>
      <c r="B14" s="10">
        <f>B7/B8</f>
        <v/>
      </c>
      <c r="C14" s="3" t="inlineStr">
        <is>
          <t>Even utilization assumption</t>
        </is>
      </c>
    </row>
    <row r="15">
      <c r="A15" s="3" t="inlineStr">
        <is>
          <t>Annual tax shield (₹ crore)</t>
        </is>
      </c>
      <c r="B15" s="10">
        <f>B11*B9</f>
        <v/>
      </c>
      <c r="C15" s="3" t="inlineStr">
        <is>
          <t>NOL utilized × tax rate</t>
        </is>
      </c>
    </row>
    <row r="16">
      <c r="A16" s="3" t="inlineStr">
        <is>
          <t>PV factor (annuity)</t>
        </is>
      </c>
      <c r="B16" s="13">
        <f>(1-(1+B10)^(-B8))/B10</f>
        <v/>
      </c>
      <c r="C16" s="3" t="inlineStr">
        <is>
          <t>Annuity PV factor</t>
        </is>
      </c>
    </row>
    <row r="17">
      <c r="A17" s="3" t="inlineStr">
        <is>
          <t>PV of tax synergies (₹ crore)</t>
        </is>
      </c>
      <c r="B17" s="10">
        <f>B12*B13</f>
        <v/>
      </c>
      <c r="C17" s="3" t="inlineStr">
        <is>
          <t>Annual shield × PV factor</t>
        </is>
      </c>
    </row>
    <row r="18"/>
    <row r="19">
      <c r="A19" s="7" t="inlineStr">
        <is>
          <t>CHECKS</t>
        </is>
      </c>
      <c r="B19" s="35" t="n"/>
      <c r="C19" s="36" t="n"/>
    </row>
    <row r="20">
      <c r="A20" s="3" t="inlineStr">
        <is>
          <t>Utilization years &gt;=1?</t>
        </is>
      </c>
      <c r="B20" s="11">
        <f>IF(B8&gt;=1,"PASS","FAIL")</f>
        <v/>
      </c>
      <c r="C20" s="3" t="inlineStr">
        <is>
          <t>Years must be at least 1.</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G1"/>
    <mergeCell ref="A3:G3"/>
    <mergeCell ref="A4:G4"/>
    <mergeCell ref="A18:C18"/>
    <mergeCell ref="A2:G2"/>
    <mergeCell ref="A12:C12"/>
  </mergeCells>
  <hyperlinks>
    <hyperlink ref="A1" location="Index!A1" display="← Back to Index"/>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4.5"/>
  <cols>
    <col width="42" customWidth="1" style="32" min="1" max="1"/>
    <col width="22" customWidth="1" style="32" min="2" max="2"/>
    <col width="45" customWidth="1" style="32" min="3" max="3"/>
    <col width="3" customWidth="1" style="32" min="4" max="4"/>
    <col width="40" customWidth="1" style="32" min="5" max="5"/>
    <col width="22" customWidth="1" style="32" min="6" max="6"/>
    <col width="45" customWidth="1" style="32" min="7" max="7"/>
  </cols>
  <sheetData>
    <row r="1" ht="26" customHeight="1" s="32">
      <c r="A1" s="33" t="inlineStr">
        <is>
          <t>← Back to Index</t>
        </is>
      </c>
    </row>
    <row r="2" ht="20" customHeight="1" s="32">
      <c r="A2" s="37" t="inlineStr">
        <is>
          <t>Problem 3.5 — Synergy Sharing &amp; Maximum Bid</t>
        </is>
      </c>
      <c r="B2" s="35" t="n"/>
      <c r="C2" s="35" t="n"/>
      <c r="D2" s="35" t="n"/>
      <c r="E2" s="35" t="n"/>
      <c r="F2" s="35" t="n"/>
      <c r="G2" s="36" t="n"/>
    </row>
    <row r="3" ht="20" customHeight="1" s="32">
      <c r="A3" s="34" t="inlineStr">
        <is>
          <t>Role: Lead M&amp;A Advisor</t>
        </is>
      </c>
      <c r="B3" s="35" t="n"/>
      <c r="C3" s="35" t="n"/>
      <c r="D3" s="35" t="n"/>
      <c r="E3" s="35" t="n"/>
      <c r="F3" s="35" t="n"/>
      <c r="G3" s="36" t="n"/>
    </row>
    <row r="4" ht="18" customHeight="1" s="32">
      <c r="A4" s="34" t="inlineStr">
        <is>
          <t>Objective: Determine maximum price given synergy sharing dynamics.</t>
        </is>
      </c>
      <c r="B4" s="35" t="n"/>
      <c r="C4" s="35" t="n"/>
      <c r="D4" s="35" t="n"/>
      <c r="E4" s="35" t="n"/>
      <c r="F4" s="35" t="n"/>
      <c r="G4" s="36" t="n"/>
    </row>
    <row r="5">
      <c r="A5" s="34" t="inlineStr">
        <is>
          <t>All amounts in ₹ crore unless stated</t>
        </is>
      </c>
      <c r="B5" s="35" t="n"/>
      <c r="C5" s="35" t="n"/>
      <c r="D5" s="35" t="n"/>
      <c r="E5" s="35" t="n"/>
      <c r="F5" s="35" t="n"/>
      <c r="G5" s="36" t="n"/>
    </row>
    <row r="6"/>
    <row r="7">
      <c r="A7" s="2" t="inlineStr">
        <is>
          <t>INPUTS</t>
        </is>
      </c>
      <c r="B7" s="2" t="n"/>
      <c r="C7" s="2" t="n"/>
      <c r="E7" s="2" t="inlineStr">
        <is>
          <t>OUTPUTS</t>
        </is>
      </c>
      <c r="F7" s="2" t="n"/>
      <c r="G7" s="2" t="n"/>
    </row>
    <row r="8">
      <c r="A8" s="3" t="inlineStr">
        <is>
          <t>Standalone value of target (₹ crore)</t>
        </is>
      </c>
      <c r="B8" s="4" t="n">
        <v>1800</v>
      </c>
      <c r="C8" s="3" t="inlineStr">
        <is>
          <t>Value without synergies</t>
        </is>
      </c>
      <c r="E8" s="3" t="inlineStr">
        <is>
          <t>Max price to pay (₹ crore)</t>
        </is>
      </c>
      <c r="F8" s="5">
        <f>B12</f>
        <v/>
      </c>
      <c r="G8" s="3" t="inlineStr">
        <is>
          <t>Bid ceiling under assumptions</t>
        </is>
      </c>
    </row>
    <row r="9">
      <c r="A9" s="3" t="inlineStr">
        <is>
          <t>Total synergy value (₹ crore)</t>
        </is>
      </c>
      <c r="B9" s="4" t="n">
        <v>600</v>
      </c>
      <c r="C9" s="3" t="inlineStr">
        <is>
          <t>Total PV of synergies</t>
        </is>
      </c>
      <c r="E9" s="3" t="inlineStr">
        <is>
          <t>Buyer retained synergy (₹ crore)</t>
        </is>
      </c>
      <c r="F9" s="5">
        <f>B13</f>
        <v/>
      </c>
      <c r="G9" s="3" t="inlineStr">
        <is>
          <t>Synergy value kept by buyer</t>
        </is>
      </c>
    </row>
    <row r="10">
      <c r="A10" s="3" t="inlineStr">
        <is>
          <t>Seller capture of synergy (%)</t>
        </is>
      </c>
      <c r="B10" s="6" t="n">
        <v>0.6</v>
      </c>
      <c r="C10" s="3" t="inlineStr">
        <is>
          <t>Portion likely competed away to seller</t>
        </is>
      </c>
    </row>
    <row r="11"/>
    <row r="12">
      <c r="A12" s="7" t="inlineStr">
        <is>
          <t>CALCULATIONS</t>
        </is>
      </c>
      <c r="B12" s="35" t="n"/>
      <c r="C12" s="36" t="n"/>
    </row>
    <row r="13">
      <c r="A13" s="3" t="inlineStr">
        <is>
          <t>Synergy value captured by seller (₹ crore)</t>
        </is>
      </c>
      <c r="B13" s="10">
        <f>B8*B9</f>
        <v/>
      </c>
      <c r="C13" s="3" t="inlineStr">
        <is>
          <t>Total synergy × seller capture %</t>
        </is>
      </c>
    </row>
    <row r="14">
      <c r="A14" s="3" t="inlineStr">
        <is>
          <t>Maximum bid price (₹ crore)</t>
        </is>
      </c>
      <c r="B14" s="10">
        <f>B7+B11</f>
        <v/>
      </c>
      <c r="C14" s="3" t="inlineStr">
        <is>
          <t>Standalone value + seller-captured synergy</t>
        </is>
      </c>
    </row>
    <row r="15">
      <c r="A15" s="3" t="inlineStr">
        <is>
          <t>Buyer retained synergy (₹ crore)</t>
        </is>
      </c>
      <c r="B15" s="10">
        <f>B8-B11</f>
        <v/>
      </c>
      <c r="C15" s="3" t="inlineStr">
        <is>
          <t>Remaining synergy with buyer</t>
        </is>
      </c>
    </row>
    <row r="16"/>
    <row r="17">
      <c r="A17" s="7" t="inlineStr">
        <is>
          <t>CHECKS</t>
        </is>
      </c>
      <c r="B17" s="35" t="n"/>
      <c r="C17" s="36" t="n"/>
    </row>
    <row r="18">
      <c r="A18" s="3" t="inlineStr">
        <is>
          <t>Capture % valid?</t>
        </is>
      </c>
      <c r="B18" s="11">
        <f>IF(AND(B9&gt;=0,B9&lt;=1),"PASS","FAIL")</f>
        <v/>
      </c>
      <c r="C18" s="3" t="inlineStr">
        <is>
          <t>Must be between 0% and 100%.</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C11"/>
    <mergeCell ref="A1:G1"/>
    <mergeCell ref="A3:G3"/>
    <mergeCell ref="A4:G4"/>
    <mergeCell ref="A2:G2"/>
    <mergeCell ref="A16:C16"/>
  </mergeCells>
  <hyperlinks>
    <hyperlink ref="A1" location="Index!A1" display="← 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2025-12-17T12:09:38Z</dcterms:created>
  <dcterms:modified xmlns:dcterms="http://purl.org/dc/terms/" xmlns:xsi="http://www.w3.org/2001/XMLSchema-instance" xsi:type="dcterms:W3CDTF">2026-01-02T06:37:35Z</dcterms:modified>
  <cp:lastModifiedBy>srikanthyadav444p</cp:lastModifiedBy>
</cp:coreProperties>
</file>