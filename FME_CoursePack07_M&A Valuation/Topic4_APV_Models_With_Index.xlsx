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4_1_APV_Unlevered" sheetId="3" state="visible" r:id="rId3"/>
    <sheet xmlns:r="http://schemas.openxmlformats.org/officeDocument/2006/relationships" name="P4_2_APV_TaxShield_PermDebt" sheetId="4" state="visible" r:id="rId4"/>
    <sheet xmlns:r="http://schemas.openxmlformats.org/officeDocument/2006/relationships" name="P4_3_APV_DecliningDebt" sheetId="5" state="visible" r:id="rId5"/>
    <sheet xmlns:r="http://schemas.openxmlformats.org/officeDocument/2006/relationships" name="P4_4_APV_LBOStyle" sheetId="6" state="visible" r:id="rId6"/>
    <sheet xmlns:r="http://schemas.openxmlformats.org/officeDocument/2006/relationships" name="P4_5_APV_Distress" sheetId="7" state="visible" r:id="rId7"/>
  </sheets>
  <definedNames/>
  <calcPr calcId="191029" fullCalcOnLoad="1"/>
</workbook>
</file>

<file path=xl/styles.xml><?xml version="1.0" encoding="utf-8"?>
<styleSheet xmlns="http://schemas.openxmlformats.org/spreadsheetml/2006/main">
  <numFmts count="1">
    <numFmt numFmtId="164" formatCode="&quot;₹&quot;\ #,##0.00"/>
  </numFmts>
  <fonts count="15">
    <font>
      <name val="Calibri"/>
      <family val="2"/>
      <color theme="1"/>
      <sz val="11"/>
      <scheme val="minor"/>
    </font>
    <font>
      <name val="Calibri"/>
      <family val="2"/>
      <b val="1"/>
      <color rgb="FFFFFFFF"/>
      <sz val="14"/>
    </font>
    <font>
      <name val="Calibri"/>
      <family val="2"/>
      <b val="1"/>
      <color rgb="FFFFFFFF"/>
      <sz val="11"/>
    </font>
    <font>
      <name val="Calibri"/>
      <family val="2"/>
      <b val="1"/>
      <sz val="11"/>
    </font>
    <font>
      <name val="Calibri"/>
      <family val="2"/>
      <b val="1"/>
      <color rgb="FF000000"/>
      <sz val="11"/>
    </font>
    <font>
      <name val="Calibri"/>
      <family val="2"/>
      <b val="1"/>
      <sz val="14"/>
    </font>
    <font>
      <name val="Calibri"/>
      <family val="2"/>
      <color rgb="FF0563C1"/>
      <sz val="11"/>
      <u val="single"/>
    </font>
    <font>
      <name val="Calibri"/>
      <family val="2"/>
      <b val="1"/>
      <color rgb="FF0563C1"/>
      <sz val="11"/>
      <u val="single"/>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s>
  <fills count="11">
    <fill>
      <patternFill/>
    </fill>
    <fill>
      <patternFill patternType="gray125"/>
    </fill>
    <fill>
      <patternFill patternType="solid">
        <fgColor rgb="FF1F4E79"/>
      </patternFill>
    </fill>
    <fill>
      <patternFill patternType="solid">
        <fgColor rgb="FFD9E1F2"/>
      </patternFill>
    </fill>
    <fill>
      <patternFill patternType="solid">
        <fgColor rgb="FFFFF2CC"/>
      </patternFill>
    </fill>
    <fill>
      <patternFill patternType="solid">
        <fgColor rgb="FFC6EFCE"/>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666666"/>
      </left>
      <right style="thin">
        <color rgb="FF666666"/>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right/>
      <top style="thin">
        <color rgb="FF666666"/>
      </top>
      <bottom/>
      <diagonal/>
    </border>
    <border>
      <left/>
      <right style="thin">
        <color rgb="FF666666"/>
      </right>
      <top style="thin">
        <color rgb="FF666666"/>
      </top>
      <bottom/>
      <diagonal/>
    </border>
  </borders>
  <cellStyleXfs count="2">
    <xf numFmtId="0" fontId="8" fillId="0" borderId="0"/>
    <xf numFmtId="0" fontId="8" fillId="0" borderId="0"/>
  </cellStyleXfs>
  <cellXfs count="37">
    <xf numFmtId="0" fontId="0" fillId="0" borderId="0" pivotButton="0" quotePrefix="0" xfId="0"/>
    <xf numFmtId="0" fontId="2"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applyAlignment="1" pivotButton="0" quotePrefix="0" xfId="0">
      <alignment vertical="center" wrapText="1"/>
    </xf>
    <xf numFmtId="164" fontId="0" fillId="4" borderId="1" applyAlignment="1" pivotButton="0" quotePrefix="0" xfId="0">
      <alignment horizontal="right" vertical="center"/>
    </xf>
    <xf numFmtId="164" fontId="0" fillId="5" borderId="1" applyAlignment="1" pivotButton="0" quotePrefix="0" xfId="0">
      <alignment horizontal="right" vertical="center"/>
    </xf>
    <xf numFmtId="10" fontId="0" fillId="4" borderId="1" applyAlignment="1" pivotButton="0" quotePrefix="0" xfId="0">
      <alignment horizontal="right" vertical="center"/>
    </xf>
    <xf numFmtId="0" fontId="4" fillId="3" borderId="1" applyAlignment="1" pivotButton="0" quotePrefix="0" xfId="0">
      <alignment horizontal="left" vertical="center"/>
    </xf>
    <xf numFmtId="0" fontId="0" fillId="0" borderId="2" pivotButton="0" quotePrefix="0" xfId="0"/>
    <xf numFmtId="0" fontId="0" fillId="0" borderId="3" pivotButton="0" quotePrefix="0" xfId="0"/>
    <xf numFmtId="164" fontId="0" fillId="0" borderId="1" applyAlignment="1" pivotButton="0" quotePrefix="0" xfId="0">
      <alignment horizontal="right" vertical="center"/>
    </xf>
    <xf numFmtId="0" fontId="0" fillId="0" borderId="1" applyAlignment="1" pivotButton="0" quotePrefix="0" xfId="0">
      <alignment horizontal="center" vertical="center"/>
    </xf>
    <xf numFmtId="1" fontId="0" fillId="4" borderId="1" applyAlignment="1" pivotButton="0" quotePrefix="0" xfId="0">
      <alignment horizontal="right" vertical="center"/>
    </xf>
    <xf numFmtId="0" fontId="5" fillId="0" borderId="0" pivotButton="0" quotePrefix="0" xfId="0"/>
    <xf numFmtId="0" fontId="3" fillId="0" borderId="0" pivotButton="0" quotePrefix="0" xfId="0"/>
    <xf numFmtId="0" fontId="6" fillId="0" borderId="0" pivotButton="0" quotePrefix="0" xfId="0"/>
    <xf numFmtId="0" fontId="10" fillId="0" borderId="0" applyAlignment="1" pivotButton="0" quotePrefix="0" xfId="1">
      <alignment vertical="center"/>
    </xf>
    <xf numFmtId="0" fontId="8" fillId="0" borderId="0" pivotButton="0" quotePrefix="0" xfId="1"/>
    <xf numFmtId="0" fontId="11" fillId="0" borderId="0" applyAlignment="1" pivotButton="0" quotePrefix="0" xfId="1">
      <alignment vertical="center"/>
    </xf>
    <xf numFmtId="0" fontId="12" fillId="0" borderId="0" pivotButton="0" quotePrefix="0" xfId="1"/>
    <xf numFmtId="0" fontId="13" fillId="0" borderId="0" applyAlignment="1" pivotButton="0" quotePrefix="0" xfId="1">
      <alignment vertical="center"/>
    </xf>
    <xf numFmtId="0" fontId="14" fillId="7" borderId="0" applyAlignment="1" pivotButton="0" quotePrefix="0" xfId="1">
      <alignment vertical="center"/>
    </xf>
    <xf numFmtId="0" fontId="8" fillId="7" borderId="0" pivotButton="0" quotePrefix="0" xfId="1"/>
    <xf numFmtId="0" fontId="14" fillId="8" borderId="0" applyAlignment="1" pivotButton="0" quotePrefix="0" xfId="1">
      <alignment vertical="center"/>
    </xf>
    <xf numFmtId="0" fontId="9" fillId="9" borderId="0" applyAlignment="1" pivotButton="0" quotePrefix="0" xfId="1">
      <alignment vertical="top" wrapText="1"/>
    </xf>
    <xf numFmtId="0" fontId="8" fillId="0" borderId="0" applyAlignment="1" pivotButton="0" quotePrefix="0" xfId="1">
      <alignment horizontal="left" vertical="center" indent="1"/>
    </xf>
    <xf numFmtId="0" fontId="9" fillId="0" borderId="0" pivotButton="0" quotePrefix="0" xfId="1"/>
    <xf numFmtId="0" fontId="9" fillId="0" borderId="0" applyAlignment="1" pivotButton="0" quotePrefix="0" xfId="1">
      <alignment horizontal="left" vertical="center" indent="1"/>
    </xf>
    <xf numFmtId="0" fontId="8" fillId="6" borderId="0" applyAlignment="1" pivotButton="0" quotePrefix="0" xfId="1">
      <alignment horizontal="justify" vertical="justify" wrapText="1"/>
    </xf>
    <xf numFmtId="0" fontId="8" fillId="6" borderId="0" applyAlignment="1" pivotButton="0" quotePrefix="0" xfId="1">
      <alignment horizontal="left" vertical="top" wrapText="1"/>
    </xf>
    <xf numFmtId="0" fontId="8" fillId="10" borderId="0" applyAlignment="1" pivotButton="0" quotePrefix="0" xfId="1">
      <alignment horizontal="justify" vertical="justify" wrapText="1"/>
    </xf>
    <xf numFmtId="0" fontId="0" fillId="0" borderId="0" pivotButton="0" quotePrefix="0" xfId="0"/>
    <xf numFmtId="0" fontId="7" fillId="0" borderId="0" pivotButton="0" quotePrefix="0" xfId="0"/>
    <xf numFmtId="0" fontId="2"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1" fillId="2" borderId="1"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A1" sqref="A1"/>
    </sheetView>
  </sheetViews>
  <sheetFormatPr baseColWidth="8" defaultRowHeight="14.5"/>
  <cols>
    <col width="8.7265625" customWidth="1" style="17" min="1" max="6"/>
    <col width="13.90625" customWidth="1" style="17" min="7" max="7"/>
    <col width="5.6328125" customWidth="1" style="17" min="8" max="8"/>
    <col width="71.6328125" customWidth="1" style="17" min="9" max="9"/>
    <col width="7.1796875" customWidth="1" style="17" min="10" max="10"/>
    <col width="8.7265625" customWidth="1" style="17" min="11" max="16384"/>
  </cols>
  <sheetData>
    <row r="1" ht="31" customHeight="1" s="31">
      <c r="A1" s="16" t="inlineStr">
        <is>
          <t>FINANCIAL MODELING USING EXCEL</t>
        </is>
      </c>
    </row>
    <row r="2"/>
    <row r="3" ht="23.5" customHeight="1" s="31">
      <c r="A3" s="18" t="inlineStr">
        <is>
          <t>Adjusted Present Value (APV) Valuation Model Using Excel</t>
        </is>
      </c>
    </row>
    <row r="4"/>
    <row r="5">
      <c r="A5" s="19" t="inlineStr">
        <is>
          <t>Separating Operating Value and Financing Side Effects</t>
        </is>
      </c>
    </row>
    <row r="6"/>
    <row r="7" ht="23.5" customHeight="1" s="31">
      <c r="A7" s="20" t="inlineStr">
        <is>
          <t>Workbook Purpose</t>
        </is>
      </c>
    </row>
    <row r="8"/>
    <row r="9" ht="132.5" customHeight="1" s="31">
      <c r="A9" s="28" t="inlineStr">
        <is>
          <t>This workbook is designed to implement the Adjusted Present Value (APV) approach to valuation, a method that explicitly separates the value of the firm’s operating assets from the value effects of financing decisions. Unlike traditional WACC-based valuation, this workbook decomposes firm value into the unlevered operating value and the present value of financing side benefits, most notably the interest tax shield.
The workbook enables learners to understand why and when APV is preferred—particularly in situations involving changing capital structure, leveraged transactions, or complex financing arrangements. Excel is used to construct a transparent, auditable valuation framework that mirrors advanced corporate finance and M&amp;A valuation practice.</t>
        </is>
      </c>
    </row>
    <row r="10"/>
    <row r="11"/>
    <row r="12"/>
    <row r="13"/>
    <row r="14"/>
    <row r="15" ht="23.5" customHeight="1" s="31">
      <c r="A15" s="21" t="inlineStr">
        <is>
          <t>Key Concepts Covered</t>
        </is>
      </c>
      <c r="B15" s="22" t="n"/>
      <c r="C15" s="22" t="n"/>
      <c r="D15" s="22" t="n"/>
      <c r="E15" s="22" t="n"/>
      <c r="F15" s="22" t="n"/>
      <c r="G15" s="22" t="n"/>
      <c r="I15" s="23" t="inlineStr">
        <is>
          <t>Excel Functions Used</t>
        </is>
      </c>
    </row>
    <row r="16" ht="311.5" customHeight="1" s="31">
      <c r="A16" s="29" t="inlineStr">
        <is>
          <t>Conceptual foundation of Adjusted Present Value (APV)
Difference between APV and WACC-based valuation
Unlevered firm value and operating cash flows
Discounting operating cash flows at the unlevered cost of capital
Interest tax shield and financing side effects
Valuation of tax shields under different assumptions
Total firm value as the sum of operating value and financing value
Applicability of APV in leveraged buyouts and restructuring
Interpretation of APV results in deal and investment decisions</t>
        </is>
      </c>
      <c r="I16" s="24" t="inlineStr">
        <is>
          <t xml:space="preserve">The following Excel functions are used accurately and completely in this workbook to support APV computation, financing-effect valuation, and internal consistency:
NPV – Discounts unlevered operating cash flows over the explicit forecast period
PV – Computes present value of financing side effects such as interest tax shields
IRR – Used where return interpretation or validation of cash-flow streams is required
RATE – Supports interest rate assumptions in debt and tax shield calculations
SUM – Aggregates operating values, tax shields, and valuation components
SUMPRODUCT – Computes weighted or structured aggregation of cash-flow elements
IF – Applies conditional logic across financing scenarios and leverage assumptions
IFERROR – Handles numerical edge cases and improves model robustness
ROUND – Ensures numerical clarity and reporting precision
ABS – Maintains disciplined cash-flow sign conventions
AVERAGE – Computes representative assumptions where multiple inputs are involved
MAX / MIN – Supports boundary checks and reasonableness validation
INDEX – Retrieves period- or scenario-specific values dynamically
MATCH – Locates corresponding rows or columns within structured tables
INDEX–MATCH – Enables flexible and auditable cross-sheet referencing
PERCENTAGE CALCULATIONS – Used for tax rates, leverage ratios, and financing assumptions
HYPERLINK – Facilitates structured navigation across index, inputs, and valuation outputs
The workbook emphasizes clear separation between operating and financing effects, disciplined discounting, and transparent reconciliation of total firm value.
</t>
        </is>
      </c>
    </row>
    <row r="17">
      <c r="A17" s="25" t="n"/>
    </row>
    <row r="18">
      <c r="A18" s="25" t="n"/>
      <c r="E18" s="30"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26" t="n"/>
    </row>
    <row r="19">
      <c r="A19" s="25" t="n"/>
    </row>
    <row r="20">
      <c r="A20" s="25" t="n"/>
      <c r="I20" s="26" t="n"/>
    </row>
    <row r="21">
      <c r="A21" s="25" t="n"/>
    </row>
    <row r="22">
      <c r="A22" s="25" t="n"/>
      <c r="I22" s="26" t="n"/>
    </row>
    <row r="23">
      <c r="A23" s="25" t="n"/>
    </row>
    <row r="24">
      <c r="A24" s="25" t="n"/>
      <c r="I24" s="26" t="n"/>
    </row>
    <row r="25">
      <c r="A25" s="25" t="n"/>
    </row>
    <row r="26">
      <c r="A26" s="25" t="n"/>
      <c r="I26" s="26" t="n"/>
    </row>
    <row r="27">
      <c r="A27" s="25" t="n"/>
    </row>
    <row r="28">
      <c r="A28" s="25" t="n"/>
      <c r="I28" s="26" t="n"/>
    </row>
    <row r="29">
      <c r="A29" s="25" t="n"/>
    </row>
    <row r="30">
      <c r="A30" s="25" t="n"/>
      <c r="I30" s="26" t="n"/>
    </row>
    <row r="31">
      <c r="A31" s="25" t="n"/>
      <c r="I31" s="25" t="n"/>
    </row>
    <row r="32">
      <c r="A32" s="25" t="n"/>
      <c r="I32" s="27" t="n"/>
    </row>
    <row r="33">
      <c r="A33" s="25"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4.5"/>
  <sheetData>
    <row r="1" ht="18.5" customHeight="1" s="31">
      <c r="A1" s="13" t="inlineStr">
        <is>
          <t>INDEX</t>
        </is>
      </c>
    </row>
    <row r="2"/>
    <row r="3">
      <c r="A3" s="14" t="inlineStr">
        <is>
          <t>Click on a problem to navigate to the model sheet:</t>
        </is>
      </c>
    </row>
    <row r="4"/>
    <row r="5">
      <c r="A5" s="15" t="inlineStr">
        <is>
          <t>P4_1_APV_Unlevered</t>
        </is>
      </c>
    </row>
    <row r="6">
      <c r="A6" s="15" t="inlineStr">
        <is>
          <t>P4_2_APV_TaxShield_PermDebt</t>
        </is>
      </c>
    </row>
    <row r="7">
      <c r="A7" s="15" t="inlineStr">
        <is>
          <t>P4_3_APV_DecliningDebt</t>
        </is>
      </c>
    </row>
    <row r="8">
      <c r="A8" s="15" t="inlineStr">
        <is>
          <t>P4_4_APV_LBOStyle</t>
        </is>
      </c>
    </row>
    <row r="9">
      <c r="A9" s="15" t="inlineStr">
        <is>
          <t>P4_5_APV_Distress</t>
        </is>
      </c>
    </row>
  </sheetData>
  <sheetProtection selectLockedCells="0" selectUnlockedCells="0" sheet="1" objects="1" insertRows="0" insertHyperlinks="1" autoFilter="0" scenarios="1" formatColumns="0" deleteColumns="0" insertColumns="0" pivotTables="0" deleteRows="0" formatCells="0" formatRows="0" sort="0" password="AE3A"/>
  <hyperlinks>
    <hyperlink ref="A5" location="'P4_1_APV_Unlevered'!A1" display="P4_1_APV_Unlevered"/>
    <hyperlink ref="A6" location="'P4_2_APV_TaxShield_PermDebt'!A1" display="P4_2_APV_TaxShield_PermDebt"/>
    <hyperlink ref="A7" location="'P4_3_APV_DecliningDebt'!A1" display="P4_3_APV_DecliningDebt"/>
    <hyperlink ref="A8" location="'P4_4_APV_LBOStyle'!A1" display="P4_4_APV_LBOStyle"/>
    <hyperlink ref="A9" location="'P4_5_APV_Distress'!A1" display="P4_5_APV_Distress"/>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5" topLeftCell="A6" activePane="bottomLeft" state="frozen"/>
      <selection pane="bottomLeft" activeCell="A1" sqref="A1"/>
    </sheetView>
  </sheetViews>
  <sheetFormatPr baseColWidth="8" defaultRowHeight="14.5"/>
  <cols>
    <col width="42" customWidth="1" style="31" min="1" max="1"/>
    <col width="22" customWidth="1" style="31" min="2" max="2"/>
    <col width="45" customWidth="1" style="31" min="3" max="3"/>
    <col width="3" customWidth="1" style="31" min="4" max="4"/>
    <col width="40" customWidth="1" style="31" min="5" max="5"/>
    <col width="22" customWidth="1" style="31" min="6" max="6"/>
    <col width="45" customWidth="1" style="31" min="7" max="7"/>
  </cols>
  <sheetData>
    <row r="1" ht="26" customHeight="1" s="31">
      <c r="A1" s="32" t="inlineStr">
        <is>
          <t>← Back to Index</t>
        </is>
      </c>
    </row>
    <row r="2" ht="20" customHeight="1" s="31">
      <c r="A2" s="36" t="inlineStr">
        <is>
          <t>Problem 4.1 — APV Without Leverage</t>
        </is>
      </c>
      <c r="B2" s="34" t="n"/>
      <c r="C2" s="34" t="n"/>
      <c r="D2" s="34" t="n"/>
      <c r="E2" s="34" t="n"/>
      <c r="F2" s="34" t="n"/>
      <c r="G2" s="35" t="n"/>
    </row>
    <row r="3" ht="20" customHeight="1" s="31">
      <c r="A3" s="33" t="inlineStr">
        <is>
          <t>Role: Valuation Analyst</t>
        </is>
      </c>
      <c r="B3" s="34" t="n"/>
      <c r="C3" s="34" t="n"/>
      <c r="D3" s="34" t="n"/>
      <c r="E3" s="34" t="n"/>
      <c r="F3" s="34" t="n"/>
      <c r="G3" s="35" t="n"/>
    </row>
    <row r="4" ht="18" customHeight="1" s="31">
      <c r="A4" s="33" t="inlineStr">
        <is>
          <t>Objective: Compute unlevered value and APV when there is no debt.</t>
        </is>
      </c>
      <c r="B4" s="34" t="n"/>
      <c r="C4" s="34" t="n"/>
      <c r="D4" s="34" t="n"/>
      <c r="E4" s="34" t="n"/>
      <c r="F4" s="34" t="n"/>
      <c r="G4" s="35" t="n"/>
    </row>
    <row r="5">
      <c r="A5" s="33" t="inlineStr">
        <is>
          <t>All amounts in ₹ crore unless stated</t>
        </is>
      </c>
      <c r="B5" s="34" t="n"/>
      <c r="C5" s="34" t="n"/>
      <c r="D5" s="34" t="n"/>
      <c r="E5" s="34" t="n"/>
      <c r="F5" s="34" t="n"/>
      <c r="G5" s="35" t="n"/>
    </row>
    <row r="6"/>
    <row r="7">
      <c r="A7" s="2" t="inlineStr">
        <is>
          <t>INPUTS</t>
        </is>
      </c>
      <c r="B7" s="2" t="n"/>
      <c r="C7" s="2" t="n"/>
      <c r="E7" s="2" t="inlineStr">
        <is>
          <t>OUTPUTS</t>
        </is>
      </c>
      <c r="F7" s="2" t="n"/>
      <c r="G7" s="2" t="n"/>
    </row>
    <row r="8">
      <c r="A8" s="3" t="inlineStr">
        <is>
          <t>Perpetual free cash flow (₹ crore)</t>
        </is>
      </c>
      <c r="B8" s="4" t="n">
        <v>120</v>
      </c>
      <c r="C8" s="3" t="inlineStr">
        <is>
          <t>Perpetual FCF</t>
        </is>
      </c>
      <c r="E8" s="3" t="inlineStr">
        <is>
          <t>Unlevered value VU (₹ crore)</t>
        </is>
      </c>
      <c r="F8" s="5">
        <f>B11</f>
        <v/>
      </c>
      <c r="G8" s="3" t="inlineStr">
        <is>
          <t>Value of operations</t>
        </is>
      </c>
    </row>
    <row r="9">
      <c r="A9" s="3" t="inlineStr">
        <is>
          <t>Unlevered cost of capital (%)</t>
        </is>
      </c>
      <c r="B9" s="6" t="n">
        <v>0.1</v>
      </c>
      <c r="C9" s="3" t="inlineStr">
        <is>
          <t>Discount rate for unlevered firm</t>
        </is>
      </c>
      <c r="E9" s="3" t="inlineStr">
        <is>
          <t>APV (₹ crore)</t>
        </is>
      </c>
      <c r="F9" s="5">
        <f>B12</f>
        <v/>
      </c>
      <c r="G9" s="3" t="inlineStr">
        <is>
          <t>Same as VU here</t>
        </is>
      </c>
    </row>
    <row r="10"/>
    <row r="11">
      <c r="A11" s="7" t="inlineStr">
        <is>
          <t>CALCULATIONS</t>
        </is>
      </c>
      <c r="B11" s="34" t="n"/>
      <c r="C11" s="35" t="n"/>
    </row>
    <row r="12">
      <c r="A12" s="3" t="inlineStr">
        <is>
          <t>Unlevered firm value (VU) (₹ crore)</t>
        </is>
      </c>
      <c r="B12" s="10">
        <f>B7/B8</f>
        <v/>
      </c>
      <c r="C12" s="3" t="inlineStr">
        <is>
          <t>Perpetuity: FCF / ku</t>
        </is>
      </c>
    </row>
    <row r="13">
      <c r="A13" s="3" t="inlineStr">
        <is>
          <t>APV (₹ crore)</t>
        </is>
      </c>
      <c r="B13" s="10">
        <f>B11</f>
        <v/>
      </c>
      <c r="C13" s="3" t="inlineStr">
        <is>
          <t>No financing effects; APV = VU</t>
        </is>
      </c>
    </row>
    <row r="14"/>
    <row r="15">
      <c r="A15" s="7" t="inlineStr">
        <is>
          <t>CHECKS</t>
        </is>
      </c>
      <c r="B15" s="34" t="n"/>
      <c r="C15" s="35" t="n"/>
    </row>
    <row r="16">
      <c r="A16" s="3" t="inlineStr">
        <is>
          <t>ku &gt; 0?</t>
        </is>
      </c>
      <c r="B16" s="11">
        <f>IF(B8&gt;0,"PASS","FAIL")</f>
        <v/>
      </c>
      <c r="C16" s="3" t="inlineStr">
        <is>
          <t>Discount rate must be positive.</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0:C10"/>
    <mergeCell ref="A1:G1"/>
    <mergeCell ref="A3:G3"/>
    <mergeCell ref="A14:C14"/>
    <mergeCell ref="A4:G4"/>
    <mergeCell ref="A2:G2"/>
  </mergeCells>
  <hyperlinks>
    <hyperlink ref="A1" location="Index!A1" display="← Back to Index"/>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5" topLeftCell="A6" activePane="bottomLeft" state="frozen"/>
      <selection pane="bottomLeft" activeCell="A1" sqref="A1"/>
    </sheetView>
  </sheetViews>
  <sheetFormatPr baseColWidth="8" defaultRowHeight="14.5"/>
  <cols>
    <col width="42" customWidth="1" style="31" min="1" max="1"/>
    <col width="22" customWidth="1" style="31" min="2" max="2"/>
    <col width="45" customWidth="1" style="31" min="3" max="3"/>
    <col width="3" customWidth="1" style="31" min="4" max="4"/>
    <col width="40" customWidth="1" style="31" min="5" max="5"/>
    <col width="22" customWidth="1" style="31" min="6" max="6"/>
    <col width="45" customWidth="1" style="31" min="7" max="7"/>
  </cols>
  <sheetData>
    <row r="1" ht="26" customHeight="1" s="31">
      <c r="A1" s="32" t="inlineStr">
        <is>
          <t>← Back to Index</t>
        </is>
      </c>
    </row>
    <row r="2" ht="20" customHeight="1" s="31">
      <c r="A2" s="36" t="inlineStr">
        <is>
          <t>Problem 4.2 — APV with Interest Tax Shield</t>
        </is>
      </c>
      <c r="B2" s="34" t="n"/>
      <c r="C2" s="34" t="n"/>
      <c r="D2" s="34" t="n"/>
      <c r="E2" s="34" t="n"/>
      <c r="F2" s="34" t="n"/>
      <c r="G2" s="35" t="n"/>
    </row>
    <row r="3" ht="20" customHeight="1" s="31">
      <c r="A3" s="33" t="inlineStr">
        <is>
          <t>Role: Corporate Finance Analyst</t>
        </is>
      </c>
      <c r="B3" s="34" t="n"/>
      <c r="C3" s="34" t="n"/>
      <c r="D3" s="34" t="n"/>
      <c r="E3" s="34" t="n"/>
      <c r="F3" s="34" t="n"/>
      <c r="G3" s="35" t="n"/>
    </row>
    <row r="4" ht="18" customHeight="1" s="31">
      <c r="A4" s="33" t="inlineStr">
        <is>
          <t>Objective: Compute PV of tax shields from permanent debt and APV.</t>
        </is>
      </c>
      <c r="B4" s="34" t="n"/>
      <c r="C4" s="34" t="n"/>
      <c r="D4" s="34" t="n"/>
      <c r="E4" s="34" t="n"/>
      <c r="F4" s="34" t="n"/>
      <c r="G4" s="35" t="n"/>
    </row>
    <row r="5">
      <c r="A5" s="33" t="inlineStr">
        <is>
          <t>All amounts in ₹ crore unless stated</t>
        </is>
      </c>
      <c r="B5" s="34" t="n"/>
      <c r="C5" s="34" t="n"/>
      <c r="D5" s="34" t="n"/>
      <c r="E5" s="34" t="n"/>
      <c r="F5" s="34" t="n"/>
      <c r="G5" s="35" t="n"/>
    </row>
    <row r="6"/>
    <row r="7">
      <c r="A7" s="2" t="inlineStr">
        <is>
          <t>INPUTS</t>
        </is>
      </c>
      <c r="B7" s="2" t="n"/>
      <c r="C7" s="2" t="n"/>
      <c r="E7" s="2" t="inlineStr">
        <is>
          <t>OUTPUTS</t>
        </is>
      </c>
      <c r="F7" s="2" t="n"/>
      <c r="G7" s="2" t="n"/>
    </row>
    <row r="8">
      <c r="A8" s="3" t="inlineStr">
        <is>
          <t>Unlevered firm value VU (₹ crore)</t>
        </is>
      </c>
      <c r="B8" s="4" t="n">
        <v>1500</v>
      </c>
      <c r="C8" s="3" t="inlineStr">
        <is>
          <t>Given unlevered value</t>
        </is>
      </c>
      <c r="E8" s="3" t="inlineStr">
        <is>
          <t>PV tax shield (₹ crore)</t>
        </is>
      </c>
      <c r="F8" s="5">
        <f>B14</f>
        <v/>
      </c>
      <c r="G8" s="3" t="inlineStr">
        <is>
          <t>Value from financing</t>
        </is>
      </c>
    </row>
    <row r="9">
      <c r="A9" s="3" t="inlineStr">
        <is>
          <t>Permanent debt (₹ crore)</t>
        </is>
      </c>
      <c r="B9" s="4" t="n">
        <v>400</v>
      </c>
      <c r="C9" s="3" t="inlineStr">
        <is>
          <t>Debt assumed permanent</t>
        </is>
      </c>
      <c r="E9" s="3" t="inlineStr">
        <is>
          <t>APV (₹ crore)</t>
        </is>
      </c>
      <c r="F9" s="5">
        <f>B15</f>
        <v/>
      </c>
      <c r="G9" s="3" t="inlineStr">
        <is>
          <t>Adjusted present value</t>
        </is>
      </c>
    </row>
    <row r="10">
      <c r="A10" s="3" t="inlineStr">
        <is>
          <t>Interest rate on debt (%)</t>
        </is>
      </c>
      <c r="B10" s="6" t="n">
        <v>0.08</v>
      </c>
      <c r="C10" s="3" t="inlineStr">
        <is>
          <t>Cost of debt</t>
        </is>
      </c>
    </row>
    <row r="11">
      <c r="A11" s="3" t="inlineStr">
        <is>
          <t>Corporate tax rate (%)</t>
        </is>
      </c>
      <c r="B11" s="6" t="n">
        <v>0.3</v>
      </c>
      <c r="C11" s="3" t="inlineStr">
        <is>
          <t>Tax rate</t>
        </is>
      </c>
    </row>
    <row r="12">
      <c r="A12" s="3" t="inlineStr">
        <is>
          <t>Discount rate for tax shield (%)</t>
        </is>
      </c>
      <c r="B12" s="6" t="n">
        <v>0.08</v>
      </c>
      <c r="C12" s="3" t="inlineStr">
        <is>
          <t>Assume tax shield discounted at kd</t>
        </is>
      </c>
    </row>
    <row r="13"/>
    <row r="14">
      <c r="A14" s="7" t="inlineStr">
        <is>
          <t>CALCULATIONS</t>
        </is>
      </c>
      <c r="B14" s="34" t="n"/>
      <c r="C14" s="35" t="n"/>
    </row>
    <row r="15">
      <c r="A15" s="3" t="inlineStr">
        <is>
          <t>Annual interest (₹ crore)</t>
        </is>
      </c>
      <c r="B15" s="10">
        <f>B8*B9</f>
        <v/>
      </c>
      <c r="C15" s="3" t="inlineStr">
        <is>
          <t>Debt × interest rate</t>
        </is>
      </c>
    </row>
    <row r="16">
      <c r="A16" s="3" t="inlineStr">
        <is>
          <t>Annual tax shield (₹ crore)</t>
        </is>
      </c>
      <c r="B16" s="10">
        <f>B12*B10</f>
        <v/>
      </c>
      <c r="C16" s="3" t="inlineStr">
        <is>
          <t>Interest × tax rate</t>
        </is>
      </c>
    </row>
    <row r="17">
      <c r="A17" s="3" t="inlineStr">
        <is>
          <t>PV of tax shield (₹ crore)</t>
        </is>
      </c>
      <c r="B17" s="10">
        <f>B13/B11</f>
        <v/>
      </c>
      <c r="C17" s="3" t="inlineStr">
        <is>
          <t>Perpetuity PV of tax shield</t>
        </is>
      </c>
    </row>
    <row r="18">
      <c r="A18" s="3" t="inlineStr">
        <is>
          <t>APV (₹ crore)</t>
        </is>
      </c>
      <c r="B18" s="10">
        <f>B7+B14</f>
        <v/>
      </c>
      <c r="C18" s="3" t="inlineStr">
        <is>
          <t>VU + PV(tax shields)</t>
        </is>
      </c>
    </row>
    <row r="19"/>
    <row r="20">
      <c r="A20" s="7" t="inlineStr">
        <is>
          <t>CHECKS</t>
        </is>
      </c>
      <c r="B20" s="34" t="n"/>
      <c r="C20" s="35" t="n"/>
    </row>
    <row r="21">
      <c r="A21" s="3" t="inlineStr">
        <is>
          <t>Discount rate for TS &gt; 0?</t>
        </is>
      </c>
      <c r="B21" s="11">
        <f>IF(B11&gt;0,"PASS","FAIL")</f>
        <v/>
      </c>
      <c r="C21" s="3" t="inlineStr">
        <is>
          <t>Must be positive.</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3:C13"/>
    <mergeCell ref="A19:C19"/>
    <mergeCell ref="A1:G1"/>
    <mergeCell ref="A3:G3"/>
    <mergeCell ref="A4:G4"/>
    <mergeCell ref="A2:G2"/>
  </mergeCells>
  <hyperlinks>
    <hyperlink ref="A1" location="Index!A1" display="← Back to Index"/>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pane ySplit="5" topLeftCell="A6" activePane="bottomLeft" state="frozen"/>
      <selection pane="bottomLeft" activeCell="A1" sqref="A1"/>
    </sheetView>
  </sheetViews>
  <sheetFormatPr baseColWidth="8" defaultRowHeight="14.5"/>
  <cols>
    <col width="42" customWidth="1" style="31" min="1" max="1"/>
    <col width="22" customWidth="1" style="31" min="2" max="2"/>
    <col width="45" customWidth="1" style="31" min="3" max="3"/>
    <col width="3" customWidth="1" style="31" min="4" max="4"/>
    <col width="40" customWidth="1" style="31" min="5" max="5"/>
    <col width="22" customWidth="1" style="31" min="6" max="6"/>
    <col width="45" customWidth="1" style="31" min="7" max="7"/>
  </cols>
  <sheetData>
    <row r="1" ht="26" customHeight="1" s="31">
      <c r="A1" s="32" t="inlineStr">
        <is>
          <t>← Back to Index</t>
        </is>
      </c>
    </row>
    <row r="2" ht="20" customHeight="1" s="31">
      <c r="A2" s="36" t="inlineStr">
        <is>
          <t>Problem 4.3 — APV with Declining Debt</t>
        </is>
      </c>
      <c r="B2" s="34" t="n"/>
      <c r="C2" s="34" t="n"/>
      <c r="D2" s="34" t="n"/>
      <c r="E2" s="34" t="n"/>
      <c r="F2" s="34" t="n"/>
      <c r="G2" s="35" t="n"/>
    </row>
    <row r="3" ht="20" customHeight="1" s="31">
      <c r="A3" s="33" t="inlineStr">
        <is>
          <t>Role: Infrastructure Valuation Consultant</t>
        </is>
      </c>
      <c r="B3" s="34" t="n"/>
      <c r="C3" s="34" t="n"/>
      <c r="D3" s="34" t="n"/>
      <c r="E3" s="34" t="n"/>
      <c r="F3" s="34" t="n"/>
      <c r="G3" s="35" t="n"/>
    </row>
    <row r="4" ht="18" customHeight="1" s="31">
      <c r="A4" s="33" t="inlineStr">
        <is>
          <t>Objective: Value PV of interest tax shields under declining debt schedule.</t>
        </is>
      </c>
      <c r="B4" s="34" t="n"/>
      <c r="C4" s="34" t="n"/>
      <c r="D4" s="34" t="n"/>
      <c r="E4" s="34" t="n"/>
      <c r="F4" s="34" t="n"/>
      <c r="G4" s="35" t="n"/>
    </row>
    <row r="5">
      <c r="A5" s="33" t="inlineStr">
        <is>
          <t>All amounts in ₹ crore unless stated</t>
        </is>
      </c>
      <c r="B5" s="34" t="n"/>
      <c r="C5" s="34" t="n"/>
      <c r="D5" s="34" t="n"/>
      <c r="E5" s="34" t="n"/>
      <c r="F5" s="34" t="n"/>
      <c r="G5" s="35" t="n"/>
    </row>
    <row r="6"/>
    <row r="7">
      <c r="A7" s="2" t="inlineStr">
        <is>
          <t>INPUTS</t>
        </is>
      </c>
      <c r="B7" s="2" t="n"/>
      <c r="C7" s="2" t="n"/>
      <c r="E7" s="2" t="inlineStr">
        <is>
          <t>OUTPUTS</t>
        </is>
      </c>
      <c r="F7" s="2" t="n"/>
      <c r="G7" s="2" t="n"/>
    </row>
    <row r="8">
      <c r="A8" s="3" t="inlineStr">
        <is>
          <t>Initial debt (₹ crore)</t>
        </is>
      </c>
      <c r="B8" s="4" t="n">
        <v>600</v>
      </c>
      <c r="C8" s="3" t="inlineStr">
        <is>
          <t>Debt at start</t>
        </is>
      </c>
      <c r="E8" s="3" t="inlineStr">
        <is>
          <t>PV of tax shields (₹ crore)</t>
        </is>
      </c>
      <c r="F8" s="5">
        <f>B32</f>
        <v/>
      </c>
      <c r="G8" s="3" t="inlineStr">
        <is>
          <t>Financing benefit</t>
        </is>
      </c>
    </row>
    <row r="9">
      <c r="A9" s="3" t="inlineStr">
        <is>
          <t>Years to repay (n)</t>
        </is>
      </c>
      <c r="B9" s="12" t="n">
        <v>6</v>
      </c>
      <c r="C9" s="3" t="inlineStr">
        <is>
          <t>Debt declines to zero over 6 years</t>
        </is>
      </c>
      <c r="E9" s="3" t="inlineStr">
        <is>
          <t>APV (₹ crore)</t>
        </is>
      </c>
      <c r="F9" s="5">
        <f>B33</f>
        <v/>
      </c>
      <c r="G9" s="3" t="inlineStr">
        <is>
          <t>If VU entered; else equals PVTS</t>
        </is>
      </c>
    </row>
    <row r="10">
      <c r="A10" s="3" t="inlineStr">
        <is>
          <t>Interest rate (%)</t>
        </is>
      </c>
      <c r="B10" s="6" t="n">
        <v>0.09</v>
      </c>
      <c r="C10" s="3" t="inlineStr">
        <is>
          <t>Interest rate on outstanding debt</t>
        </is>
      </c>
    </row>
    <row r="11">
      <c r="A11" s="3" t="inlineStr">
        <is>
          <t>Tax rate (%)</t>
        </is>
      </c>
      <c r="B11" s="6" t="n">
        <v>0.25</v>
      </c>
      <c r="C11" s="3" t="inlineStr">
        <is>
          <t>Corporate tax rate</t>
        </is>
      </c>
    </row>
    <row r="12">
      <c r="A12" s="3" t="inlineStr">
        <is>
          <t>Discount rate for tax shields (%)</t>
        </is>
      </c>
      <c r="B12" s="6" t="n">
        <v>0.08</v>
      </c>
      <c r="C12" s="3" t="inlineStr">
        <is>
          <t>Discount tax shields</t>
        </is>
      </c>
    </row>
    <row r="13">
      <c r="A13" s="3" t="inlineStr">
        <is>
          <t>Unlevered firm value VU (₹ crore)</t>
        </is>
      </c>
      <c r="B13" s="4" t="n">
        <v>0</v>
      </c>
      <c r="C13" s="3" t="inlineStr">
        <is>
          <t>Optional: enter if you want full APV; else keep 0</t>
        </is>
      </c>
    </row>
    <row r="14"/>
    <row r="15">
      <c r="A15" s="7" t="inlineStr">
        <is>
          <t>CALCULATIONS</t>
        </is>
      </c>
      <c r="B15" s="34" t="n"/>
      <c r="C15" s="35" t="n"/>
    </row>
    <row r="16">
      <c r="A16" s="3" t="inlineStr">
        <is>
          <t>Debt Year 1 (₹ crore)</t>
        </is>
      </c>
      <c r="B16" s="10">
        <f>B7*(1-(0)/B8)</f>
        <v/>
      </c>
      <c r="C16" s="3" t="inlineStr">
        <is>
          <t>Straight-line declining balance</t>
        </is>
      </c>
    </row>
    <row r="17">
      <c r="A17" s="3" t="inlineStr">
        <is>
          <t>Debt Year 2 (₹ crore)</t>
        </is>
      </c>
      <c r="B17" s="10">
        <f>B7*(1-(1)/B8)</f>
        <v/>
      </c>
      <c r="C17" s="3" t="inlineStr">
        <is>
          <t>Straight-line declining balance</t>
        </is>
      </c>
    </row>
    <row r="18">
      <c r="A18" s="3" t="inlineStr">
        <is>
          <t>Debt Year 3 (₹ crore)</t>
        </is>
      </c>
      <c r="B18" s="10">
        <f>B7*(1-(2)/B8)</f>
        <v/>
      </c>
      <c r="C18" s="3" t="inlineStr">
        <is>
          <t>Straight-line declining balance</t>
        </is>
      </c>
    </row>
    <row r="19">
      <c r="A19" s="3" t="inlineStr">
        <is>
          <t>Debt Year 4 (₹ crore)</t>
        </is>
      </c>
      <c r="B19" s="10">
        <f>B7*(1-(3)/B8)</f>
        <v/>
      </c>
      <c r="C19" s="3" t="inlineStr">
        <is>
          <t>Straight-line declining balance</t>
        </is>
      </c>
    </row>
    <row r="20">
      <c r="A20" s="3" t="inlineStr">
        <is>
          <t>Debt Year 5 (₹ crore)</t>
        </is>
      </c>
      <c r="B20" s="10">
        <f>B7*(1-(4)/B8)</f>
        <v/>
      </c>
      <c r="C20" s="3" t="inlineStr">
        <is>
          <t>Straight-line declining balance</t>
        </is>
      </c>
    </row>
    <row r="21">
      <c r="A21" s="3" t="inlineStr">
        <is>
          <t>Debt Year 6 (₹ crore)</t>
        </is>
      </c>
      <c r="B21" s="10">
        <f>B7*(1-(5)/B8)</f>
        <v/>
      </c>
      <c r="C21" s="3" t="inlineStr">
        <is>
          <t>Straight-line declining balance</t>
        </is>
      </c>
    </row>
    <row r="22">
      <c r="A22" s="3" t="inlineStr">
        <is>
          <t>Tax shield Y1 (₹ crore)</t>
        </is>
      </c>
      <c r="B22" s="10">
        <f>B14*B9*B10</f>
        <v/>
      </c>
      <c r="C22" s="3" t="inlineStr">
        <is>
          <t>Debt1 × r × tax</t>
        </is>
      </c>
    </row>
    <row r="23">
      <c r="A23" s="3" t="inlineStr">
        <is>
          <t>Tax shield Y2 (₹ crore)</t>
        </is>
      </c>
      <c r="B23" s="10">
        <f>B15*B9*B10</f>
        <v/>
      </c>
      <c r="C23" s="3" t="inlineStr">
        <is>
          <t>Debt2 × r × tax</t>
        </is>
      </c>
    </row>
    <row r="24">
      <c r="A24" s="3" t="inlineStr">
        <is>
          <t>Tax shield Y3 (₹ crore)</t>
        </is>
      </c>
      <c r="B24" s="10">
        <f>B16*B9*B10</f>
        <v/>
      </c>
      <c r="C24" s="3" t="inlineStr">
        <is>
          <t>Debt3 × r × tax</t>
        </is>
      </c>
    </row>
    <row r="25">
      <c r="A25" s="3" t="inlineStr">
        <is>
          <t>Tax shield Y4 (₹ crore)</t>
        </is>
      </c>
      <c r="B25" s="10">
        <f>B17*B9*B10</f>
        <v/>
      </c>
      <c r="C25" s="3" t="inlineStr">
        <is>
          <t>Debt4 × r × tax</t>
        </is>
      </c>
    </row>
    <row r="26">
      <c r="A26" s="3" t="inlineStr">
        <is>
          <t>Tax shield Y5 (₹ crore)</t>
        </is>
      </c>
      <c r="B26" s="10">
        <f>B18*B9*B10</f>
        <v/>
      </c>
      <c r="C26" s="3" t="inlineStr">
        <is>
          <t>Debt5 × r × tax</t>
        </is>
      </c>
    </row>
    <row r="27">
      <c r="A27" s="3" t="inlineStr">
        <is>
          <t>Tax shield Y6 (₹ crore)</t>
        </is>
      </c>
      <c r="B27" s="10">
        <f>B19*B9*B10</f>
        <v/>
      </c>
      <c r="C27" s="3" t="inlineStr">
        <is>
          <t>Debt6 × r × tax</t>
        </is>
      </c>
    </row>
    <row r="28">
      <c r="A28" s="3" t="inlineStr">
        <is>
          <t>PV TS Y1 (₹ crore)</t>
        </is>
      </c>
      <c r="B28" s="10">
        <f>B20/(1+B11)^1</f>
        <v/>
      </c>
      <c r="C28" s="3" t="inlineStr">
        <is>
          <t>Discount TS year 1</t>
        </is>
      </c>
    </row>
    <row r="29">
      <c r="A29" s="3" t="inlineStr">
        <is>
          <t>PV TS Y2 (₹ crore)</t>
        </is>
      </c>
      <c r="B29" s="10">
        <f>B21/(1+B11)^2</f>
        <v/>
      </c>
      <c r="C29" s="3" t="inlineStr">
        <is>
          <t>Discount TS year 2</t>
        </is>
      </c>
    </row>
    <row r="30">
      <c r="A30" s="3" t="inlineStr">
        <is>
          <t>PV TS Y3 (₹ crore)</t>
        </is>
      </c>
      <c r="B30" s="10">
        <f>B22/(1+B11)^3</f>
        <v/>
      </c>
      <c r="C30" s="3" t="inlineStr">
        <is>
          <t>Discount TS year 3</t>
        </is>
      </c>
    </row>
    <row r="31">
      <c r="A31" s="3" t="inlineStr">
        <is>
          <t>PV TS Y4 (₹ crore)</t>
        </is>
      </c>
      <c r="B31" s="10">
        <f>B23/(1+B11)^4</f>
        <v/>
      </c>
      <c r="C31" s="3" t="inlineStr">
        <is>
          <t>Discount TS year 4</t>
        </is>
      </c>
    </row>
    <row r="32">
      <c r="A32" s="3" t="inlineStr">
        <is>
          <t>PV TS Y5 (₹ crore)</t>
        </is>
      </c>
      <c r="B32" s="10">
        <f>B24/(1+B11)^5</f>
        <v/>
      </c>
      <c r="C32" s="3" t="inlineStr">
        <is>
          <t>Discount TS year 5</t>
        </is>
      </c>
    </row>
    <row r="33">
      <c r="A33" s="3" t="inlineStr">
        <is>
          <t>PV TS Y6 (₹ crore)</t>
        </is>
      </c>
      <c r="B33" s="10">
        <f>B25/(1+B11)^6</f>
        <v/>
      </c>
      <c r="C33" s="3" t="inlineStr">
        <is>
          <t>Discount TS year 6</t>
        </is>
      </c>
    </row>
    <row r="34">
      <c r="A34" s="3" t="inlineStr">
        <is>
          <t>Total PV of tax shields (₹ crore)</t>
        </is>
      </c>
      <c r="B34" s="10">
        <f>SUM(B26:B31)</f>
        <v/>
      </c>
      <c r="C34" s="3" t="inlineStr">
        <is>
          <t>Sum PV tax shields</t>
        </is>
      </c>
    </row>
    <row r="35">
      <c r="A35" s="3" t="inlineStr">
        <is>
          <t>APV (₹ crore)</t>
        </is>
      </c>
      <c r="B35" s="10">
        <f>B12+B32</f>
        <v/>
      </c>
      <c r="C35" s="3" t="inlineStr">
        <is>
          <t>VU + PV(tax shields)</t>
        </is>
      </c>
    </row>
    <row r="36"/>
    <row r="37">
      <c r="A37" s="7" t="inlineStr">
        <is>
          <t>CHECKS</t>
        </is>
      </c>
      <c r="B37" s="34" t="n"/>
      <c r="C37" s="35" t="n"/>
    </row>
    <row r="38" ht="29" customHeight="1" s="31">
      <c r="A38" s="3" t="inlineStr">
        <is>
          <t>Debt Year 6 &gt; 0?</t>
        </is>
      </c>
      <c r="B38" s="11">
        <f>IF(B19&gt;0,"PASS","FAIL")</f>
        <v/>
      </c>
      <c r="C38" s="3" t="inlineStr">
        <is>
          <t>With straight-line, Year 6 should be positive; zero after year 6.</t>
        </is>
      </c>
    </row>
    <row r="39">
      <c r="A39" s="3" t="inlineStr">
        <is>
          <t>Tax shield PV non-negative?</t>
        </is>
      </c>
      <c r="B39" s="11">
        <f>IF(B32&gt;=0,"PASS","FAIL")</f>
        <v/>
      </c>
      <c r="C39" s="3" t="inlineStr">
        <is>
          <t>PV should be ≥ 0.</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36:C36"/>
    <mergeCell ref="A1:G1"/>
    <mergeCell ref="A3:G3"/>
    <mergeCell ref="A14:C14"/>
    <mergeCell ref="A4:G4"/>
    <mergeCell ref="A2:G2"/>
  </mergeCells>
  <hyperlinks>
    <hyperlink ref="A1" location="Index!A1" display="← Back to Index"/>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2"/>
  <sheetViews>
    <sheetView workbookViewId="0">
      <pane ySplit="5" topLeftCell="A6" activePane="bottomLeft" state="frozen"/>
      <selection pane="bottomLeft" activeCell="A1" sqref="A1"/>
    </sheetView>
  </sheetViews>
  <sheetFormatPr baseColWidth="8" defaultRowHeight="14.5"/>
  <cols>
    <col width="42" customWidth="1" style="31" min="1" max="1"/>
    <col width="22" customWidth="1" style="31" min="2" max="2"/>
    <col width="45" customWidth="1" style="31" min="3" max="3"/>
    <col width="3" customWidth="1" style="31" min="4" max="4"/>
    <col width="40" customWidth="1" style="31" min="5" max="5"/>
    <col width="22" customWidth="1" style="31" min="6" max="6"/>
    <col width="45" customWidth="1" style="31" min="7" max="7"/>
  </cols>
  <sheetData>
    <row r="1" ht="26" customHeight="1" s="31">
      <c r="A1" s="32" t="inlineStr">
        <is>
          <t>← Back to Index</t>
        </is>
      </c>
    </row>
    <row r="2" ht="20" customHeight="1" s="31">
      <c r="A2" s="36" t="inlineStr">
        <is>
          <t>Problem 4.4 — APV in LBO-Style Financing</t>
        </is>
      </c>
      <c r="B2" s="34" t="n"/>
      <c r="C2" s="34" t="n"/>
      <c r="D2" s="34" t="n"/>
      <c r="E2" s="34" t="n"/>
      <c r="F2" s="34" t="n"/>
      <c r="G2" s="35" t="n"/>
    </row>
    <row r="3" ht="20" customHeight="1" s="31">
      <c r="A3" s="33" t="inlineStr">
        <is>
          <t>Role: Private Equity Analyst</t>
        </is>
      </c>
      <c r="B3" s="34" t="n"/>
      <c r="C3" s="34" t="n"/>
      <c r="D3" s="34" t="n"/>
      <c r="E3" s="34" t="n"/>
      <c r="F3" s="34" t="n"/>
      <c r="G3" s="35" t="n"/>
    </row>
    <row r="4" ht="18" customHeight="1" s="31">
      <c r="A4" s="33" t="inlineStr">
        <is>
          <t>Objective: Estimate PV of tax shields under leveraged financing and compute APV.</t>
        </is>
      </c>
      <c r="B4" s="34" t="n"/>
      <c r="C4" s="34" t="n"/>
      <c r="D4" s="34" t="n"/>
      <c r="E4" s="34" t="n"/>
      <c r="F4" s="34" t="n"/>
      <c r="G4" s="35" t="n"/>
    </row>
    <row r="5">
      <c r="A5" s="33" t="inlineStr">
        <is>
          <t>All amounts in ₹ crore unless stated</t>
        </is>
      </c>
      <c r="B5" s="34" t="n"/>
      <c r="C5" s="34" t="n"/>
      <c r="D5" s="34" t="n"/>
      <c r="E5" s="34" t="n"/>
      <c r="F5" s="34" t="n"/>
      <c r="G5" s="35" t="n"/>
    </row>
    <row r="6"/>
    <row r="7">
      <c r="A7" s="2" t="inlineStr">
        <is>
          <t>INPUTS</t>
        </is>
      </c>
      <c r="B7" s="2" t="n"/>
      <c r="C7" s="2" t="n"/>
      <c r="E7" s="2" t="inlineStr">
        <is>
          <t>OUTPUTS</t>
        </is>
      </c>
      <c r="F7" s="2" t="n"/>
      <c r="G7" s="2" t="n"/>
    </row>
    <row r="8">
      <c r="A8" s="3" t="inlineStr">
        <is>
          <t>Unlevered value VU (₹ crore)</t>
        </is>
      </c>
      <c r="B8" s="4" t="n">
        <v>2200</v>
      </c>
      <c r="C8" s="3" t="inlineStr">
        <is>
          <t>Value of operations unlevered</t>
        </is>
      </c>
      <c r="E8" s="3" t="inlineStr">
        <is>
          <t>PV of tax shields (₹ crore)</t>
        </is>
      </c>
      <c r="F8" s="5">
        <f>B35</f>
        <v/>
      </c>
      <c r="G8" s="3" t="inlineStr">
        <is>
          <t>Financing benefit</t>
        </is>
      </c>
    </row>
    <row r="9">
      <c r="A9" s="3" t="inlineStr">
        <is>
          <t>Acquisition debt (₹ crore)</t>
        </is>
      </c>
      <c r="B9" s="4" t="n">
        <v>1200</v>
      </c>
      <c r="C9" s="3" t="inlineStr">
        <is>
          <t>Debt used in acquisition</t>
        </is>
      </c>
      <c r="E9" s="3" t="inlineStr">
        <is>
          <t>APV (₹ crore)</t>
        </is>
      </c>
      <c r="F9" s="5">
        <f>B36</f>
        <v/>
      </c>
      <c r="G9" s="3" t="inlineStr">
        <is>
          <t>Adjusted present value</t>
        </is>
      </c>
    </row>
    <row r="10">
      <c r="A10" s="3" t="inlineStr">
        <is>
          <t>Interest rate (%)</t>
        </is>
      </c>
      <c r="B10" s="6" t="n">
        <v>0.09</v>
      </c>
      <c r="C10" s="3" t="inlineStr">
        <is>
          <t>Assumption (not given; can edit)</t>
        </is>
      </c>
    </row>
    <row r="11">
      <c r="A11" s="3" t="inlineStr">
        <is>
          <t>Tax rate (%)</t>
        </is>
      </c>
      <c r="B11" s="6" t="n">
        <v>0.3</v>
      </c>
      <c r="C11" s="3" t="inlineStr">
        <is>
          <t>Corporate tax rate</t>
        </is>
      </c>
    </row>
    <row r="12">
      <c r="A12" s="3" t="inlineStr">
        <is>
          <t>Years to repay (n)</t>
        </is>
      </c>
      <c r="B12" s="12" t="n">
        <v>7</v>
      </c>
      <c r="C12" s="3" t="inlineStr">
        <is>
          <t>Debt repaid over 7 years</t>
        </is>
      </c>
    </row>
    <row r="13">
      <c r="A13" s="3" t="inlineStr">
        <is>
          <t>Discount rate for tax shields (%)</t>
        </is>
      </c>
      <c r="B13" s="6" t="n">
        <v>0.09</v>
      </c>
      <c r="C13" s="3" t="inlineStr">
        <is>
          <t>Assume discounted at kd</t>
        </is>
      </c>
    </row>
    <row r="14"/>
    <row r="15">
      <c r="A15" s="7" t="inlineStr">
        <is>
          <t>CALCULATIONS</t>
        </is>
      </c>
      <c r="B15" s="34" t="n"/>
      <c r="C15" s="35" t="n"/>
    </row>
    <row r="16">
      <c r="A16" s="3" t="inlineStr">
        <is>
          <t>Debt Y1 (₹ crore)</t>
        </is>
      </c>
      <c r="B16" s="10">
        <f>B8*(1-(0)/B12)</f>
        <v/>
      </c>
      <c r="C16" s="3" t="inlineStr">
        <is>
          <t>Straight-line declining debt</t>
        </is>
      </c>
    </row>
    <row r="17">
      <c r="A17" s="3" t="inlineStr">
        <is>
          <t>Debt Y2 (₹ crore)</t>
        </is>
      </c>
      <c r="B17" s="10">
        <f>B8*(1-(1)/B12)</f>
        <v/>
      </c>
      <c r="C17" s="3" t="inlineStr">
        <is>
          <t>Straight-line declining debt</t>
        </is>
      </c>
    </row>
    <row r="18">
      <c r="A18" s="3" t="inlineStr">
        <is>
          <t>Debt Y3 (₹ crore)</t>
        </is>
      </c>
      <c r="B18" s="10">
        <f>B8*(1-(2)/B12)</f>
        <v/>
      </c>
      <c r="C18" s="3" t="inlineStr">
        <is>
          <t>Straight-line declining debt</t>
        </is>
      </c>
    </row>
    <row r="19">
      <c r="A19" s="3" t="inlineStr">
        <is>
          <t>Debt Y4 (₹ crore)</t>
        </is>
      </c>
      <c r="B19" s="10">
        <f>B8*(1-(3)/B12)</f>
        <v/>
      </c>
      <c r="C19" s="3" t="inlineStr">
        <is>
          <t>Straight-line declining debt</t>
        </is>
      </c>
    </row>
    <row r="20">
      <c r="A20" s="3" t="inlineStr">
        <is>
          <t>Debt Y5 (₹ crore)</t>
        </is>
      </c>
      <c r="B20" s="10">
        <f>B8*(1-(4)/B12)</f>
        <v/>
      </c>
      <c r="C20" s="3" t="inlineStr">
        <is>
          <t>Straight-line declining debt</t>
        </is>
      </c>
    </row>
    <row r="21">
      <c r="A21" s="3" t="inlineStr">
        <is>
          <t>Debt Y6 (₹ crore)</t>
        </is>
      </c>
      <c r="B21" s="10">
        <f>B8*(1-(5)/B12)</f>
        <v/>
      </c>
      <c r="C21" s="3" t="inlineStr">
        <is>
          <t>Straight-line declining debt</t>
        </is>
      </c>
    </row>
    <row r="22">
      <c r="A22" s="3" t="inlineStr">
        <is>
          <t>Debt Y7 (₹ crore)</t>
        </is>
      </c>
      <c r="B22" s="10">
        <f>B8*(1-(6)/B12)</f>
        <v/>
      </c>
      <c r="C22" s="3" t="inlineStr">
        <is>
          <t>Straight-line declining debt</t>
        </is>
      </c>
    </row>
    <row r="23">
      <c r="A23" s="3" t="inlineStr">
        <is>
          <t>TS Y1 (₹ crore)</t>
        </is>
      </c>
      <c r="B23" s="10">
        <f>B14*B9*B10</f>
        <v/>
      </c>
      <c r="C23" s="3" t="inlineStr">
        <is>
          <t>Debt1 × r × tax</t>
        </is>
      </c>
    </row>
    <row r="24">
      <c r="A24" s="3" t="inlineStr">
        <is>
          <t>TS Y2 (₹ crore)</t>
        </is>
      </c>
      <c r="B24" s="10">
        <f>B15*B9*B10</f>
        <v/>
      </c>
      <c r="C24" s="3" t="inlineStr">
        <is>
          <t>Debt2 × r × tax</t>
        </is>
      </c>
    </row>
    <row r="25">
      <c r="A25" s="3" t="inlineStr">
        <is>
          <t>TS Y3 (₹ crore)</t>
        </is>
      </c>
      <c r="B25" s="10">
        <f>B16*B9*B10</f>
        <v/>
      </c>
      <c r="C25" s="3" t="inlineStr">
        <is>
          <t>Debt3 × r × tax</t>
        </is>
      </c>
    </row>
    <row r="26">
      <c r="A26" s="3" t="inlineStr">
        <is>
          <t>TS Y4 (₹ crore)</t>
        </is>
      </c>
      <c r="B26" s="10">
        <f>B17*B9*B10</f>
        <v/>
      </c>
      <c r="C26" s="3" t="inlineStr">
        <is>
          <t>Debt4 × r × tax</t>
        </is>
      </c>
    </row>
    <row r="27">
      <c r="A27" s="3" t="inlineStr">
        <is>
          <t>TS Y5 (₹ crore)</t>
        </is>
      </c>
      <c r="B27" s="10">
        <f>B18*B9*B10</f>
        <v/>
      </c>
      <c r="C27" s="3" t="inlineStr">
        <is>
          <t>Debt5 × r × tax</t>
        </is>
      </c>
    </row>
    <row r="28">
      <c r="A28" s="3" t="inlineStr">
        <is>
          <t>TS Y6 (₹ crore)</t>
        </is>
      </c>
      <c r="B28" s="10">
        <f>B19*B9*B10</f>
        <v/>
      </c>
      <c r="C28" s="3" t="inlineStr">
        <is>
          <t>Debt6 × r × tax</t>
        </is>
      </c>
    </row>
    <row r="29">
      <c r="A29" s="3" t="inlineStr">
        <is>
          <t>TS Y7 (₹ crore)</t>
        </is>
      </c>
      <c r="B29" s="10">
        <f>B20*B9*B10</f>
        <v/>
      </c>
      <c r="C29" s="3" t="inlineStr">
        <is>
          <t>Debt7 × r × tax</t>
        </is>
      </c>
    </row>
    <row r="30">
      <c r="A30" s="3" t="inlineStr">
        <is>
          <t>PV TS Y1 (₹ crore)</t>
        </is>
      </c>
      <c r="B30" s="10">
        <f>B21/(1+B13)^1</f>
        <v/>
      </c>
      <c r="C30" s="3" t="inlineStr">
        <is>
          <t>Discount</t>
        </is>
      </c>
    </row>
    <row r="31">
      <c r="A31" s="3" t="inlineStr">
        <is>
          <t>PV TS Y2 (₹ crore)</t>
        </is>
      </c>
      <c r="B31" s="10">
        <f>B22/(1+B13)^2</f>
        <v/>
      </c>
      <c r="C31" s="3" t="inlineStr">
        <is>
          <t>Discount</t>
        </is>
      </c>
    </row>
    <row r="32">
      <c r="A32" s="3" t="inlineStr">
        <is>
          <t>PV TS Y3 (₹ crore)</t>
        </is>
      </c>
      <c r="B32" s="10">
        <f>B23/(1+B13)^3</f>
        <v/>
      </c>
      <c r="C32" s="3" t="inlineStr">
        <is>
          <t>Discount</t>
        </is>
      </c>
    </row>
    <row r="33">
      <c r="A33" s="3" t="inlineStr">
        <is>
          <t>PV TS Y4 (₹ crore)</t>
        </is>
      </c>
      <c r="B33" s="10">
        <f>B24/(1+B13)^4</f>
        <v/>
      </c>
      <c r="C33" s="3" t="inlineStr">
        <is>
          <t>Discount</t>
        </is>
      </c>
    </row>
    <row r="34">
      <c r="A34" s="3" t="inlineStr">
        <is>
          <t>PV TS Y5 (₹ crore)</t>
        </is>
      </c>
      <c r="B34" s="10">
        <f>B25/(1+B13)^5</f>
        <v/>
      </c>
      <c r="C34" s="3" t="inlineStr">
        <is>
          <t>Discount</t>
        </is>
      </c>
    </row>
    <row r="35">
      <c r="A35" s="3" t="inlineStr">
        <is>
          <t>PV TS Y6 (₹ crore)</t>
        </is>
      </c>
      <c r="B35" s="10">
        <f>B26/(1+B13)^6</f>
        <v/>
      </c>
      <c r="C35" s="3" t="inlineStr">
        <is>
          <t>Discount</t>
        </is>
      </c>
    </row>
    <row r="36">
      <c r="A36" s="3" t="inlineStr">
        <is>
          <t>PV TS Y7 (₹ crore)</t>
        </is>
      </c>
      <c r="B36" s="10">
        <f>B27/(1+B13)^7</f>
        <v/>
      </c>
      <c r="C36" s="3" t="inlineStr">
        <is>
          <t>Discount</t>
        </is>
      </c>
    </row>
    <row r="37">
      <c r="A37" s="3" t="inlineStr">
        <is>
          <t>Total PV tax shields (₹ crore)</t>
        </is>
      </c>
      <c r="B37" s="10">
        <f>SUM(B28:B34)</f>
        <v/>
      </c>
      <c r="C37" s="3" t="inlineStr">
        <is>
          <t>Sum PV</t>
        </is>
      </c>
    </row>
    <row r="38">
      <c r="A38" s="3" t="inlineStr">
        <is>
          <t>APV (₹ crore)</t>
        </is>
      </c>
      <c r="B38" s="10">
        <f>B7+B35</f>
        <v/>
      </c>
      <c r="C38" s="3" t="inlineStr">
        <is>
          <t>VU + PVTS</t>
        </is>
      </c>
    </row>
    <row r="39"/>
    <row r="40">
      <c r="A40" s="7" t="inlineStr">
        <is>
          <t>CHECKS</t>
        </is>
      </c>
      <c r="B40" s="34" t="n"/>
      <c r="C40" s="35" t="n"/>
    </row>
    <row r="41">
      <c r="A41" s="3" t="inlineStr">
        <is>
          <t>Years &gt;=1?</t>
        </is>
      </c>
      <c r="B41" s="11">
        <f>IF(B12&gt;=1,"PASS","FAIL")</f>
        <v/>
      </c>
      <c r="C41" s="3" t="inlineStr">
        <is>
          <t>n must be ≥ 1.</t>
        </is>
      </c>
    </row>
    <row r="42">
      <c r="A42" s="3" t="inlineStr">
        <is>
          <t>PVTS non-negative?</t>
        </is>
      </c>
      <c r="B42" s="11">
        <f>IF(B35&gt;=0,"PASS","FAIL")</f>
        <v/>
      </c>
      <c r="C42" s="3" t="inlineStr">
        <is>
          <t>PV should be ≥ 0.</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G1"/>
    <mergeCell ref="A3:G3"/>
    <mergeCell ref="A14:C14"/>
    <mergeCell ref="A4:G4"/>
    <mergeCell ref="A2:G2"/>
    <mergeCell ref="A39:C39"/>
  </mergeCells>
  <hyperlinks>
    <hyperlink ref="A1" location="Index!A1" display="← Back to Index"/>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5" topLeftCell="A6" activePane="bottomLeft" state="frozen"/>
      <selection pane="bottomLeft" activeCell="A1" sqref="A1"/>
    </sheetView>
  </sheetViews>
  <sheetFormatPr baseColWidth="8" defaultRowHeight="14.5"/>
  <cols>
    <col width="42" customWidth="1" style="31" min="1" max="1"/>
    <col width="22" customWidth="1" style="31" min="2" max="2"/>
    <col width="45" customWidth="1" style="31" min="3" max="3"/>
    <col width="3" customWidth="1" style="31" min="4" max="4"/>
    <col width="40" customWidth="1" style="31" min="5" max="5"/>
    <col width="22" customWidth="1" style="31" min="6" max="6"/>
    <col width="45" customWidth="1" style="31" min="7" max="7"/>
  </cols>
  <sheetData>
    <row r="1" ht="26" customHeight="1" s="31">
      <c r="A1" s="32" t="inlineStr">
        <is>
          <t>← Back to Index</t>
        </is>
      </c>
    </row>
    <row r="2" ht="20" customHeight="1" s="31">
      <c r="A2" s="36" t="inlineStr">
        <is>
          <t>Problem 4.5 — APV with Financial Distress Costs</t>
        </is>
      </c>
      <c r="B2" s="34" t="n"/>
      <c r="C2" s="34" t="n"/>
      <c r="D2" s="34" t="n"/>
      <c r="E2" s="34" t="n"/>
      <c r="F2" s="34" t="n"/>
      <c r="G2" s="35" t="n"/>
    </row>
    <row r="3" ht="20" customHeight="1" s="31">
      <c r="A3" s="33" t="inlineStr">
        <is>
          <t>Role: Senior Valuation Advisor</t>
        </is>
      </c>
      <c r="B3" s="34" t="n"/>
      <c r="C3" s="34" t="n"/>
      <c r="D3" s="34" t="n"/>
      <c r="E3" s="34" t="n"/>
      <c r="F3" s="34" t="n"/>
      <c r="G3" s="35" t="n"/>
    </row>
    <row r="4" ht="18" customHeight="1" s="31">
      <c r="A4" s="33" t="inlineStr">
        <is>
          <t>Objective: Compute net financing benefit and APV when leverage introduces distress costs.</t>
        </is>
      </c>
      <c r="B4" s="34" t="n"/>
      <c r="C4" s="34" t="n"/>
      <c r="D4" s="34" t="n"/>
      <c r="E4" s="34" t="n"/>
      <c r="F4" s="34" t="n"/>
      <c r="G4" s="35" t="n"/>
    </row>
    <row r="5">
      <c r="A5" s="33" t="inlineStr">
        <is>
          <t>All amounts in ₹ crore unless stated</t>
        </is>
      </c>
      <c r="B5" s="34" t="n"/>
      <c r="C5" s="34" t="n"/>
      <c r="D5" s="34" t="n"/>
      <c r="E5" s="34" t="n"/>
      <c r="F5" s="34" t="n"/>
      <c r="G5" s="35" t="n"/>
    </row>
    <row r="6"/>
    <row r="7">
      <c r="A7" s="2" t="inlineStr">
        <is>
          <t>INPUTS</t>
        </is>
      </c>
      <c r="B7" s="2" t="n"/>
      <c r="C7" s="2" t="n"/>
      <c r="E7" s="2" t="inlineStr">
        <is>
          <t>OUTPUTS</t>
        </is>
      </c>
      <c r="F7" s="2" t="n"/>
      <c r="G7" s="2" t="n"/>
    </row>
    <row r="8" ht="29" customHeight="1" s="31">
      <c r="A8" s="3" t="inlineStr">
        <is>
          <t>Unlevered firm value VU (₹ crore)</t>
        </is>
      </c>
      <c r="B8" s="4" t="n">
        <v>0</v>
      </c>
      <c r="C8" s="3" t="inlineStr">
        <is>
          <t>Enter if available; else keep 0 to focus on net financing benefit</t>
        </is>
      </c>
      <c r="E8" s="3" t="inlineStr">
        <is>
          <t>Net financing benefit (₹ crore)</t>
        </is>
      </c>
      <c r="F8" s="5">
        <f>B11</f>
        <v/>
      </c>
      <c r="G8" s="3" t="inlineStr">
        <is>
          <t>Net effect of leverage</t>
        </is>
      </c>
    </row>
    <row r="9">
      <c r="A9" s="3" t="inlineStr">
        <is>
          <t>PV of tax shield benefits (₹ crore)</t>
        </is>
      </c>
      <c r="B9" s="4" t="n">
        <v>380</v>
      </c>
      <c r="C9" s="3" t="inlineStr">
        <is>
          <t>Given PV of tax shields</t>
        </is>
      </c>
      <c r="E9" s="3" t="inlineStr">
        <is>
          <t>APV (₹ crore)</t>
        </is>
      </c>
      <c r="F9" s="5">
        <f>B12</f>
        <v/>
      </c>
      <c r="G9" s="3" t="inlineStr">
        <is>
          <t>Adjusted present value</t>
        </is>
      </c>
    </row>
    <row r="10">
      <c r="A10" s="3" t="inlineStr">
        <is>
          <t>PV of financial distress costs (₹ crore)</t>
        </is>
      </c>
      <c r="B10" s="4" t="n">
        <v>150</v>
      </c>
      <c r="C10" s="3" t="inlineStr">
        <is>
          <t>Expected PV distress costs</t>
        </is>
      </c>
    </row>
    <row r="11"/>
    <row r="12">
      <c r="A12" s="7" t="inlineStr">
        <is>
          <t>CALCULATIONS</t>
        </is>
      </c>
      <c r="B12" s="34" t="n"/>
      <c r="C12" s="35" t="n"/>
    </row>
    <row r="13">
      <c r="A13" s="3" t="inlineStr">
        <is>
          <t>Net financing benefit (₹ crore)</t>
        </is>
      </c>
      <c r="B13" s="10">
        <f>B8-B9</f>
        <v/>
      </c>
      <c r="C13" s="3" t="inlineStr">
        <is>
          <t>PVTS − PV distress costs</t>
        </is>
      </c>
    </row>
    <row r="14">
      <c r="A14" s="3" t="inlineStr">
        <is>
          <t>APV (₹ crore)</t>
        </is>
      </c>
      <c r="B14" s="10">
        <f>B7+B11</f>
        <v/>
      </c>
      <c r="C14" s="3" t="inlineStr">
        <is>
          <t>VU + net financing benefit</t>
        </is>
      </c>
    </row>
    <row r="15"/>
    <row r="16">
      <c r="A16" s="7" t="inlineStr">
        <is>
          <t>CHECKS</t>
        </is>
      </c>
      <c r="B16" s="34" t="n"/>
      <c r="C16" s="35" t="n"/>
    </row>
    <row r="17">
      <c r="A17" s="3" t="inlineStr">
        <is>
          <t>Distress costs &lt;= tax shields?</t>
        </is>
      </c>
      <c r="B17" s="11">
        <f>IF(B9&lt;=B8,"PASS","FAIL")</f>
        <v/>
      </c>
      <c r="C17" s="3" t="inlineStr">
        <is>
          <t>If FAIL, net financing benefit becomes negative.</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1:C11"/>
    <mergeCell ref="A1:G1"/>
    <mergeCell ref="A3:G3"/>
    <mergeCell ref="A4:G4"/>
    <mergeCell ref="A2:G2"/>
    <mergeCell ref="A15:C15"/>
  </mergeCells>
  <hyperlinks>
    <hyperlink ref="A1" location="Index!A1" display="← Back to Index"/>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2025-12-17T12:09:39Z</dcterms:created>
  <dcterms:modified xmlns:dcterms="http://purl.org/dc/terms/" xmlns:xsi="http://www.w3.org/2001/XMLSchema-instance" xsi:type="dcterms:W3CDTF">2026-01-02T06:37:35Z</dcterms:modified>
  <cp:lastModifiedBy>srikanthyadav444p</cp:lastModifiedBy>
</cp:coreProperties>
</file>