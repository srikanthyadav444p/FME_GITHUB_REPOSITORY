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INDEX" sheetId="2" state="visible" r:id="rId2"/>
    <sheet xmlns:r="http://schemas.openxmlformats.org/officeDocument/2006/relationships" name="CASE_1_ControlPremium_100pct" sheetId="3" state="visible" r:id="rId3"/>
    <sheet xmlns:r="http://schemas.openxmlformats.org/officeDocument/2006/relationships" name="CASE_2_DealSelection_Include01" sheetId="4" state="visible" r:id="rId4"/>
    <sheet xmlns:r="http://schemas.openxmlformats.org/officeDocument/2006/relationships" name="CASE_3_AvgVsMedian_Outliers" sheetId="5" state="visible" r:id="rId5"/>
    <sheet xmlns:r="http://schemas.openxmlformats.org/officeDocument/2006/relationships" name="CASE_4_PartialStake_Normalizati" sheetId="6" state="visible" r:id="rId6"/>
    <sheet xmlns:r="http://schemas.openxmlformats.org/officeDocument/2006/relationships" name="CASE_5_Judgment_Integrated" sheetId="7" state="visible" r:id="rId7"/>
    <sheet xmlns:r="http://schemas.openxmlformats.org/officeDocument/2006/relationships" name="CHECKS_Summary" sheetId="8" state="visible" r:id="rId8"/>
  </sheets>
  <definedNames/>
  <calcPr calcId="191029" fullCalcOnLoad="1"/>
</workbook>
</file>

<file path=xl/styles.xml><?xml version="1.0" encoding="utf-8"?>
<styleSheet xmlns="http://schemas.openxmlformats.org/spreadsheetml/2006/main">
  <numFmts count="3">
    <numFmt numFmtId="164" formatCode="&quot;₹&quot;\ ###,##0"/>
    <numFmt numFmtId="165" formatCode="###,##0.00&quot; cr&quot;"/>
    <numFmt numFmtId="166" formatCode="&quot;₹&quot;\ ###,##0.00"/>
  </numFmts>
  <fonts count="17">
    <font>
      <name val="Calibri"/>
      <family val="2"/>
      <color theme="1"/>
      <sz val="11"/>
      <scheme val="minor"/>
    </font>
    <font>
      <name val="Calibri"/>
      <family val="2"/>
      <b val="1"/>
      <sz val="16"/>
    </font>
    <font>
      <name val="Calibri"/>
      <family val="2"/>
      <b val="1"/>
      <color rgb="FFFFFFFF"/>
      <sz val="11"/>
    </font>
    <font>
      <name val="Calibri"/>
      <family val="2"/>
      <b val="1"/>
      <color rgb="FF1F4E79"/>
      <sz val="11"/>
      <u val="single"/>
    </font>
    <font>
      <name val="Calibri"/>
      <family val="2"/>
      <b val="1"/>
      <sz val="12"/>
    </font>
    <font>
      <name val="Calibri"/>
      <family val="2"/>
      <b val="1"/>
      <sz val="11"/>
    </font>
    <font>
      <name val="Calibri"/>
      <family val="2"/>
      <i val="1"/>
      <color rgb="FF1F4E79"/>
      <sz val="11"/>
    </font>
    <font>
      <name val="Calibri"/>
      <family val="2"/>
      <color rgb="FF1F4E79"/>
      <sz val="11"/>
      <u val="single"/>
    </font>
    <font>
      <name val="Calibri"/>
      <family val="2"/>
      <color theme="1"/>
      <sz val="11"/>
      <scheme val="minor"/>
    </font>
    <font>
      <name val="Calibri"/>
      <family val="2"/>
      <b val="1"/>
      <color theme="1"/>
      <sz val="11"/>
      <scheme val="minor"/>
    </font>
    <font>
      <name val="Calibri"/>
      <family val="2"/>
      <b val="1"/>
      <color rgb="FF0070C0"/>
      <sz val="24"/>
      <scheme val="minor"/>
    </font>
    <font>
      <name val="Calibri"/>
      <family val="2"/>
      <b val="1"/>
      <color theme="8" tint="-0.249977111117893"/>
      <sz val="18"/>
      <scheme val="minor"/>
    </font>
    <font>
      <name val="Calibri"/>
      <family val="2"/>
      <i val="1"/>
      <color theme="9" tint="-0.499984740745262"/>
      <sz val="11"/>
      <scheme val="minor"/>
    </font>
    <font>
      <name val="Calibri"/>
      <family val="2"/>
      <b val="1"/>
      <color theme="7" tint="-0.249977111117893"/>
      <sz val="18"/>
      <scheme val="minor"/>
    </font>
    <font>
      <name val="Calibri"/>
      <family val="2"/>
      <b val="1"/>
      <color theme="1"/>
      <sz val="18"/>
      <scheme val="minor"/>
    </font>
    <font>
      <name val="Calibri"/>
      <family val="2"/>
      <color theme="7" tint="-0.499984740745262"/>
      <sz val="11"/>
      <scheme val="minor"/>
    </font>
    <font>
      <name val="Cambria"/>
      <family val="1"/>
      <i val="1"/>
      <color theme="9" tint="-0.249977111117893"/>
      <sz val="11"/>
      <scheme val="major"/>
    </font>
  </fonts>
  <fills count="13">
    <fill>
      <patternFill/>
    </fill>
    <fill>
      <patternFill patternType="gray125"/>
    </fill>
    <fill>
      <patternFill patternType="solid">
        <fgColor rgb="FF1F4E79"/>
      </patternFill>
    </fill>
    <fill>
      <patternFill patternType="solid">
        <fgColor rgb="FFD9E1F2"/>
      </patternFill>
    </fill>
    <fill>
      <patternFill patternType="solid">
        <fgColor rgb="FFE7E6E6"/>
      </patternFill>
    </fill>
    <fill>
      <patternFill patternType="solid">
        <fgColor rgb="FFC6EFCE"/>
      </patternFill>
    </fill>
    <fill>
      <patternFill patternType="solid">
        <fgColor rgb="FF2F75B5"/>
      </patternFill>
    </fill>
    <fill>
      <patternFill patternType="solid">
        <fgColor theme="4" tint="0.7999816888943144"/>
        <bgColor indexed="64"/>
      </patternFill>
    </fill>
    <fill>
      <patternFill patternType="solid">
        <fgColor rgb="FF0070C0"/>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6" tint="0.7999816888943144"/>
        <bgColor indexed="64"/>
      </patternFill>
    </fill>
    <fill>
      <patternFill patternType="solid">
        <fgColor theme="8" tint="0.3999755851924192"/>
        <bgColor indexed="64"/>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2">
    <xf numFmtId="0" fontId="8" fillId="0" borderId="0"/>
    <xf numFmtId="0" fontId="8" fillId="0" borderId="0"/>
  </cellStyleXfs>
  <cellXfs count="5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0" pivotButton="0" quotePrefix="0" xfId="0"/>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3" fillId="0" borderId="0" applyAlignment="1" pivotButton="0" quotePrefix="0" xfId="0">
      <alignment horizontal="right" vertical="center"/>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9" fontId="0" fillId="3" borderId="1" applyAlignment="1" pivotButton="0" quotePrefix="0" xfId="0">
      <alignment horizontal="center" vertical="center" wrapText="1"/>
    </xf>
    <xf numFmtId="164" fontId="0" fillId="3" borderId="1" applyAlignment="1" pivotButton="0" quotePrefix="0" xfId="0">
      <alignment horizontal="center" vertical="center" wrapText="1"/>
    </xf>
    <xf numFmtId="164" fontId="0" fillId="4" borderId="1" applyAlignment="1" pivotButton="0" quotePrefix="0" xfId="0">
      <alignment horizontal="center" vertical="center" wrapText="1"/>
    </xf>
    <xf numFmtId="2" fontId="0" fillId="4" borderId="1" applyAlignment="1" pivotButton="0" quotePrefix="0" xfId="0">
      <alignment horizontal="center" vertical="center" wrapText="1"/>
    </xf>
    <xf numFmtId="0" fontId="5" fillId="0" borderId="0" pivotButton="0" quotePrefix="0" xfId="0"/>
    <xf numFmtId="2" fontId="0" fillId="5" borderId="1" applyAlignment="1" pivotButton="0" quotePrefix="0" xfId="0">
      <alignment horizontal="center" vertical="center" wrapText="1"/>
    </xf>
    <xf numFmtId="1" fontId="0" fillId="4" borderId="1" applyAlignment="1" pivotButton="0" quotePrefix="0" xfId="0">
      <alignment horizontal="center" vertical="center" wrapText="1"/>
    </xf>
    <xf numFmtId="0" fontId="5" fillId="0" borderId="1" applyAlignment="1" pivotButton="0" quotePrefix="0" xfId="0">
      <alignment horizontal="left" vertical="center"/>
    </xf>
    <xf numFmtId="164" fontId="0" fillId="3" borderId="1" applyAlignment="1" pivotButton="0" quotePrefix="0" xfId="0">
      <alignment horizontal="left" vertical="center" wrapText="1"/>
    </xf>
    <xf numFmtId="164" fontId="0" fillId="5" borderId="1" applyAlignment="1" pivotButton="0" quotePrefix="0" xfId="0">
      <alignment horizontal="center" vertical="center" wrapText="1"/>
    </xf>
    <xf numFmtId="165" fontId="0" fillId="3" borderId="1" applyAlignment="1" pivotButton="0" quotePrefix="0" xfId="0">
      <alignment horizontal="left" vertical="center" wrapText="1"/>
    </xf>
    <xf numFmtId="166" fontId="0" fillId="5" borderId="1" applyAlignment="1" pivotButton="0" quotePrefix="0" xfId="0">
      <alignment horizontal="center" vertical="center" wrapText="1"/>
    </xf>
    <xf numFmtId="0" fontId="5" fillId="0" borderId="1" applyAlignment="1" pivotButton="0" quotePrefix="0" xfId="0">
      <alignment horizontal="left" vertical="center" wrapText="1"/>
    </xf>
    <xf numFmtId="0" fontId="0" fillId="5" borderId="1" applyAlignment="1" pivotButton="0" quotePrefix="0" xfId="0">
      <alignment horizontal="center" vertical="center" wrapText="1"/>
    </xf>
    <xf numFmtId="0" fontId="7" fillId="0" borderId="1" applyAlignment="1" pivotButton="0" quotePrefix="0" xfId="0">
      <alignment horizontal="left" vertical="center" wrapText="1"/>
    </xf>
    <xf numFmtId="1" fontId="0" fillId="0" borderId="1" applyAlignment="1" pivotButton="0" quotePrefix="0" xfId="0">
      <alignment horizontal="center" vertical="center" wrapText="1"/>
    </xf>
    <xf numFmtId="2" fontId="0" fillId="0" borderId="1" applyAlignment="1" pivotButton="0" quotePrefix="0" xfId="0">
      <alignment horizontal="center" vertical="center" wrapText="1"/>
    </xf>
    <xf numFmtId="0" fontId="10" fillId="0" borderId="0" applyAlignment="1" pivotButton="0" quotePrefix="0" xfId="1">
      <alignment vertical="center"/>
    </xf>
    <xf numFmtId="0" fontId="8" fillId="0" borderId="0" pivotButton="0" quotePrefix="0" xfId="1"/>
    <xf numFmtId="0" fontId="11" fillId="0" borderId="0" applyAlignment="1" pivotButton="0" quotePrefix="0" xfId="1">
      <alignment vertical="center"/>
    </xf>
    <xf numFmtId="0" fontId="12" fillId="0" borderId="0" pivotButton="0" quotePrefix="0" xfId="1"/>
    <xf numFmtId="0" fontId="13" fillId="0" borderId="0" applyAlignment="1" pivotButton="0" quotePrefix="0" xfId="1">
      <alignment vertical="center"/>
    </xf>
    <xf numFmtId="0" fontId="14" fillId="8" borderId="0" applyAlignment="1" pivotButton="0" quotePrefix="0" xfId="1">
      <alignment vertical="center"/>
    </xf>
    <xf numFmtId="0" fontId="8" fillId="8" borderId="0" pivotButton="0" quotePrefix="0" xfId="1"/>
    <xf numFmtId="0" fontId="14" fillId="9" borderId="0" applyAlignment="1" pivotButton="0" quotePrefix="0" xfId="1">
      <alignment vertical="center"/>
    </xf>
    <xf numFmtId="0" fontId="9" fillId="10" borderId="0" applyAlignment="1" pivotButton="0" quotePrefix="0" xfId="1">
      <alignment vertical="top" wrapText="1"/>
    </xf>
    <xf numFmtId="0" fontId="8" fillId="0" borderId="0" applyAlignment="1" pivotButton="0" quotePrefix="0" xfId="1">
      <alignment horizontal="left" vertical="center" indent="1"/>
    </xf>
    <xf numFmtId="0" fontId="9" fillId="0" borderId="0" pivotButton="0" quotePrefix="0" xfId="1"/>
    <xf numFmtId="0" fontId="9" fillId="0" borderId="0" applyAlignment="1" pivotButton="0" quotePrefix="0" xfId="1">
      <alignment horizontal="left" vertical="center" indent="1"/>
    </xf>
    <xf numFmtId="0" fontId="15" fillId="0" borderId="0" pivotButton="0" quotePrefix="0" xfId="1"/>
    <xf numFmtId="0" fontId="8" fillId="7" borderId="0" applyAlignment="1" pivotButton="0" quotePrefix="0" xfId="1">
      <alignment horizontal="justify" vertical="justify" wrapText="1"/>
    </xf>
    <xf numFmtId="0" fontId="8" fillId="7" borderId="0" applyAlignment="1" pivotButton="0" quotePrefix="0" xfId="1">
      <alignment horizontal="left" vertical="top" wrapText="1"/>
    </xf>
    <xf numFmtId="0" fontId="8" fillId="11" borderId="0" applyAlignment="1" pivotButton="0" quotePrefix="0" xfId="1">
      <alignment horizontal="justify" vertical="justify" wrapText="1"/>
    </xf>
    <xf numFmtId="0" fontId="1" fillId="0" borderId="0" applyAlignment="1" pivotButton="0" quotePrefix="0" xfId="0">
      <alignment horizontal="left" vertical="center"/>
    </xf>
    <xf numFmtId="0" fontId="0" fillId="0" borderId="0" pivotButton="0" quotePrefix="0" xfId="0"/>
    <xf numFmtId="0" fontId="0" fillId="0" borderId="0" applyAlignment="1" pivotButton="0" quotePrefix="0" xfId="0">
      <alignment horizontal="left" vertical="top" wrapText="1"/>
    </xf>
    <xf numFmtId="0" fontId="3" fillId="0" borderId="0" applyAlignment="1" pivotButton="0" quotePrefix="0" xfId="0">
      <alignment horizontal="left" vertical="center"/>
    </xf>
    <xf numFmtId="0" fontId="6" fillId="0" borderId="0" applyAlignment="1" pivotButton="0" quotePrefix="0" xfId="0">
      <alignment horizontal="left" vertical="top" wrapText="1"/>
    </xf>
    <xf numFmtId="0" fontId="2" fillId="6" borderId="0" applyAlignment="1" pivotButton="0" quotePrefix="0" xfId="0">
      <alignment horizontal="left" vertical="center"/>
    </xf>
    <xf numFmtId="0" fontId="16" fillId="0" borderId="0" applyAlignment="1" pivotButton="0" quotePrefix="0" xfId="0">
      <alignment wrapText="1"/>
    </xf>
    <xf numFmtId="0" fontId="14" fillId="12" borderId="0" applyAlignment="1" pivotButton="0" quotePrefix="0" xfId="0">
      <alignment vertical="center"/>
    </xf>
  </cellXfs>
  <cellStyles count="2">
    <cellStyle name="Normal" xfId="0" builtinId="0"/>
    <cellStyle name="Normal 2"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Instructor Notes</author>
  </authors>
  <commentList>
    <comment ref="J6" authorId="0" shapeId="0">
      <text>
        <t>Include? controls statistics and target valuation: 1=include, 0=exclude.</t>
      </text>
    </comment>
    <comment ref="K6" authorId="0" shapeId="0">
      <text>
        <t>Equity Value @100% = Deal Value ÷ Stake% (as a decimal). Scales partial stakes to full equity value.</t>
      </text>
    </comment>
    <comment ref="L6" authorId="0" shapeId="0">
      <text>
        <t>Enterprise Value (EV) = Equity Value @100% + Net Debt (included deals only).</t>
      </text>
    </comment>
    <comment ref="B18" authorId="0" shapeId="0">
      <text>
        <t>Median uses FILTER (Excel 365+). If unavailable, use helper column or array formula.</t>
      </text>
    </comment>
    <comment ref="E24" authorId="0" shapeId="0">
      <text>
        <t>Price/share: Equity (₹ cr) ÷ Shares (cr) = ₹ per share (units cancel).</t>
      </text>
    </comment>
    <comment ref="E27" authorId="0" shapeId="0">
      <text>
        <t>All checks must PASS. If FAIL, review Include, Stake%, or EBITDA/Revenue values.</t>
      </text>
    </comment>
  </commentList>
</comments>
</file>

<file path=xl/comments/comment2.xml><?xml version="1.0" encoding="utf-8"?>
<comments xmlns="http://schemas.openxmlformats.org/spreadsheetml/2006/main">
  <authors>
    <author>Instructor Notes</author>
  </authors>
  <commentList>
    <comment ref="J6" authorId="0" shapeId="0">
      <text>
        <t>Include? controls statistics and target valuation: 1=include, 0=exclude.</t>
      </text>
    </comment>
    <comment ref="K6" authorId="0" shapeId="0">
      <text>
        <t>Equity Value @100% = Deal Value ÷ Stake% (as a decimal). Scales partial stakes to full equity value.</t>
      </text>
    </comment>
    <comment ref="L6" authorId="0" shapeId="0">
      <text>
        <t>Enterprise Value (EV) = Equity Value @100% + Net Debt (included deals only).</t>
      </text>
    </comment>
    <comment ref="B18" authorId="0" shapeId="0">
      <text>
        <t>Median uses FILTER (Excel 365+). If unavailable, use helper column or array formula.</t>
      </text>
    </comment>
    <comment ref="E24" authorId="0" shapeId="0">
      <text>
        <t>Price/share: Equity (₹ cr) ÷ Shares (cr) = ₹ per share (units cancel).</t>
      </text>
    </comment>
    <comment ref="E27" authorId="0" shapeId="0">
      <text>
        <t>All checks must PASS. If FAIL, review Include, Stake%, or EBITDA/Revenue values.</t>
      </text>
    </comment>
  </commentList>
</comments>
</file>

<file path=xl/comments/comment3.xml><?xml version="1.0" encoding="utf-8"?>
<comments xmlns="http://schemas.openxmlformats.org/spreadsheetml/2006/main">
  <authors>
    <author>Instructor Notes</author>
  </authors>
  <commentList>
    <comment ref="J6" authorId="0" shapeId="0">
      <text>
        <t>Include? controls statistics and target valuation: 1=include, 0=exclude.</t>
      </text>
    </comment>
    <comment ref="K6" authorId="0" shapeId="0">
      <text>
        <t>Equity Value @100% = Deal Value ÷ Stake% (as a decimal). Scales partial stakes to full equity value.</t>
      </text>
    </comment>
    <comment ref="L6" authorId="0" shapeId="0">
      <text>
        <t>Enterprise Value (EV) = Equity Value @100% + Net Debt (included deals only).</t>
      </text>
    </comment>
    <comment ref="B18" authorId="0" shapeId="0">
      <text>
        <t>Median uses FILTER (Excel 365+). If unavailable, use helper column or array formula.</t>
      </text>
    </comment>
    <comment ref="E24" authorId="0" shapeId="0">
      <text>
        <t>Price/share: Equity (₹ cr) ÷ Shares (cr) = ₹ per share (units cancel).</t>
      </text>
    </comment>
    <comment ref="E27" authorId="0" shapeId="0">
      <text>
        <t>All checks must PASS. If FAIL, review Include, Stake%, or EBITDA/Revenue values.</t>
      </text>
    </comment>
  </commentList>
</comments>
</file>

<file path=xl/comments/comment4.xml><?xml version="1.0" encoding="utf-8"?>
<comments xmlns="http://schemas.openxmlformats.org/spreadsheetml/2006/main">
  <authors>
    <author>Instructor Notes</author>
  </authors>
  <commentList>
    <comment ref="J6" authorId="0" shapeId="0">
      <text>
        <t>Include? controls statistics and target valuation: 1=include, 0=exclude.</t>
      </text>
    </comment>
    <comment ref="K6" authorId="0" shapeId="0">
      <text>
        <t>Equity Value @100% = Deal Value ÷ Stake% (as a decimal). Scales partial stakes to full equity value.</t>
      </text>
    </comment>
    <comment ref="L6" authorId="0" shapeId="0">
      <text>
        <t>Enterprise Value (EV) = Equity Value @100% + Net Debt (included deals only).</t>
      </text>
    </comment>
    <comment ref="B18" authorId="0" shapeId="0">
      <text>
        <t>Median uses FILTER (Excel 365+). If unavailable, use helper column or array formula.</t>
      </text>
    </comment>
    <comment ref="E24" authorId="0" shapeId="0">
      <text>
        <t>Price/share: Equity (₹ cr) ÷ Shares (cr) = ₹ per share (units cancel).</t>
      </text>
    </comment>
    <comment ref="E27" authorId="0" shapeId="0">
      <text>
        <t>All checks must PASS. If FAIL, review Include, Stake%, or EBITDA/Revenue values.</t>
      </text>
    </comment>
  </commentList>
</comments>
</file>

<file path=xl/comments/comment5.xml><?xml version="1.0" encoding="utf-8"?>
<comments xmlns="http://schemas.openxmlformats.org/spreadsheetml/2006/main">
  <authors>
    <author>Instructor Notes</author>
  </authors>
  <commentList>
    <comment ref="J6" authorId="0" shapeId="0">
      <text>
        <t>Include? controls statistics and target valuation: 1=include, 0=exclude.</t>
      </text>
    </comment>
    <comment ref="K6" authorId="0" shapeId="0">
      <text>
        <t>Equity Value @100% = Deal Value ÷ Stake% (as a decimal). Scales partial stakes to full equity value.</t>
      </text>
    </comment>
    <comment ref="L6" authorId="0" shapeId="0">
      <text>
        <t>Enterprise Value (EV) = Equity Value @100% + Net Debt (included deals only).</t>
      </text>
    </comment>
    <comment ref="B18" authorId="0" shapeId="0">
      <text>
        <t>Median uses FILTER (Excel 365+). If unavailable, use helper column or array formula.</t>
      </text>
    </comment>
    <comment ref="E24" authorId="0" shapeId="0">
      <text>
        <t>Price/share: Equity (₹ cr) ÷ Shares (cr) = ₹ per share (units cancel).</t>
      </text>
    </comment>
    <comment ref="E27" authorId="0" shapeId="0">
      <text>
        <t>All checks must PASS. If FAIL, review Include, Stake%, or EBITDA/Revenue values.</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895350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J33"/>
  <sheetViews>
    <sheetView tabSelected="1" workbookViewId="0">
      <selection activeCell="I2" sqref="I2"/>
    </sheetView>
  </sheetViews>
  <sheetFormatPr baseColWidth="8" defaultRowHeight="14.5"/>
  <cols>
    <col width="8.7265625" customWidth="1" style="30" min="1" max="6"/>
    <col width="13.90625" customWidth="1" style="30" min="7" max="7"/>
    <col width="5.6328125" customWidth="1" style="30" min="8" max="8"/>
    <col width="80.26953125" customWidth="1" style="30" min="9" max="9"/>
    <col width="7.1796875" customWidth="1" style="30" min="10" max="10"/>
    <col width="8.7265625" customWidth="1" style="30" min="11" max="16384"/>
  </cols>
  <sheetData>
    <row r="1" ht="31" customHeight="1" s="46">
      <c r="A1" s="29" t="inlineStr">
        <is>
          <t>FINANCIAL MODELING USING EXCEL</t>
        </is>
      </c>
    </row>
    <row r="2"/>
    <row r="3" ht="23.5" customHeight="1" s="46">
      <c r="A3" s="31" t="inlineStr">
        <is>
          <t>Precedent Transaction Valuation Model Using Excel</t>
        </is>
      </c>
    </row>
    <row r="4">
      <c r="A4" s="41" t="inlineStr">
        <is>
          <t>( Comparable Transaction method)</t>
        </is>
      </c>
      <c r="B4" s="39" t="n"/>
    </row>
    <row r="5" ht="23.5" customHeight="1" s="46">
      <c r="A5" s="32" t="inlineStr">
        <is>
          <t>Deal-Based Valuation Through Comparable M&amp;A and Investment Transactions</t>
        </is>
      </c>
      <c r="I5" s="52" t="inlineStr">
        <is>
          <t>Learning Philosophy</t>
        </is>
      </c>
    </row>
    <row r="6"/>
    <row r="7" ht="28.5" customHeight="1" s="46">
      <c r="A7" s="33" t="inlineStr">
        <is>
          <t>Workbook Purpose</t>
        </is>
      </c>
      <c r="I7" s="51" t="inlineStr">
        <is>
          <t>Transaction evidence reveals what buyers were willing to pay—making precedent deals a powerful anchor for valuation judgment.</t>
        </is>
      </c>
    </row>
    <row r="8"/>
    <row r="9" ht="132.5" customHeight="1" s="46">
      <c r="A9" s="42" t="inlineStr">
        <is>
          <t>This workbook is a case-based valuation teaching pack designed to apply the Precedent Transaction Method using Excel. It analyzes historical acquisition and investment transactions involving comparable firms to derive valuation benchmarks and apply them to a target company under consideration.
The objective of the workbook is to demonstrate how observed market transactions—rather than trading multiples or intrinsic cash-flow models—inform valuation. By structuring transaction data, computing deal multiples, and interpreting acquisition and control premiums in Excel, the workbook shows how precedent transactions embed control value, strategic considerations, and market sentiment reflected in real deals.</t>
        </is>
      </c>
    </row>
    <row r="10"/>
    <row r="11"/>
    <row r="12"/>
    <row r="13"/>
    <row r="14"/>
    <row r="15" ht="23.5" customHeight="1" s="46">
      <c r="A15" s="34" t="inlineStr">
        <is>
          <t>Key Concepts Covered</t>
        </is>
      </c>
      <c r="B15" s="35" t="n"/>
      <c r="C15" s="35" t="n"/>
      <c r="D15" s="35" t="n"/>
      <c r="E15" s="35" t="n"/>
      <c r="F15" s="35" t="n"/>
      <c r="G15" s="35" t="n"/>
      <c r="I15" s="36" t="inlineStr">
        <is>
          <t>Excel Functions Used</t>
        </is>
      </c>
    </row>
    <row r="16" ht="311.5" customHeight="1" s="46">
      <c r="A16" s="43" t="inlineStr">
        <is>
          <t>Conceptual foundation of precedent transaction valuation
Difference between precedent transactions and trading comparables
Enterprise value versus equity value in acquisition contexts
Deal-based valuation multiples (e.g., EV/Revenue, EV/EBITDA)
Control premium and acquisition premium interpretation
Selection, screening, and normalization of comparable transactions
Application of transaction multiples to target financial metrics
Valuation ranges inferred from historical deal evidence
Strengths, limitations, and appropriate use of transaction-based valuation</t>
        </is>
      </c>
      <c r="I16" s="37" t="inlineStr">
        <is>
          <t xml:space="preserve">The following Excel functions are used accurately and completely in this workbook to support transaction analysis, multiple computation, and valuation inference:
SUM – Aggregates transaction values, deal metrics, and valuation outputs
AVERAGE – Computes average deal multiples across comparable transactions
MEDIAN – Identifies central tendency of transaction multiples to mitigate outlier effects
MAX / MIN – Establishes valuation ranges from historical deals
IF – Applies conditional logic for transaction inclusion, screening, and rules
IFERROR – Handles missing deal data and division-by-zero cases gracefully
ROUND – Ensures numerical clarity and reporting precision
ABS – Maintains disciplined sign conventions in value calculations
INDEX – Retrieves transaction-specific data dynamically from structured tables
MATCH – Locates relevant deal records and metrics
INDEX–MATCH – Enables flexible, auditable referencing across transaction datasets
SUMPRODUCT – Computes weighted average transaction multiples where required
PERCENTAGE CALCULATIONS – Used for acquisition premiums and comparative analysis
CHOOSE – Facilitates structured selection among alternative transaction scenarios
HYPERLINK – Provides navigation across index, transaction data, and valuation outputs
The workbook emphasizes disciplined transaction selection, consistent multiple definitions, and careful interpretation of deal-driven valuation signals.
</t>
        </is>
      </c>
    </row>
    <row r="17">
      <c r="A17" s="38" t="n"/>
    </row>
    <row r="18">
      <c r="A18" s="38" t="n"/>
      <c r="E18" s="44"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39" t="n"/>
    </row>
    <row r="19">
      <c r="A19" s="38" t="n"/>
    </row>
    <row r="20">
      <c r="A20" s="38" t="n"/>
      <c r="I20" s="39" t="n"/>
    </row>
    <row r="21">
      <c r="A21" s="38" t="n"/>
    </row>
    <row r="22">
      <c r="A22" s="38" t="n"/>
      <c r="I22" s="39" t="n"/>
    </row>
    <row r="23">
      <c r="A23" s="38" t="n"/>
    </row>
    <row r="24">
      <c r="A24" s="38" t="n"/>
      <c r="I24" s="39" t="n"/>
    </row>
    <row r="25">
      <c r="A25" s="38" t="n"/>
    </row>
    <row r="26">
      <c r="A26" s="38" t="n"/>
      <c r="I26" s="39" t="n"/>
    </row>
    <row r="27">
      <c r="A27" s="38" t="n"/>
    </row>
    <row r="28">
      <c r="A28" s="38" t="n"/>
      <c r="I28" s="39" t="n"/>
    </row>
    <row r="29">
      <c r="A29" s="38" t="n"/>
    </row>
    <row r="30">
      <c r="A30" s="38" t="n"/>
      <c r="I30" s="39" t="n"/>
    </row>
    <row r="31">
      <c r="A31" s="38" t="n"/>
      <c r="I31" s="38" t="n"/>
    </row>
    <row r="32">
      <c r="A32" s="38" t="n"/>
      <c r="I32" s="40" t="n"/>
    </row>
    <row r="33">
      <c r="A33" s="38"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14"/>
  <sheetViews>
    <sheetView workbookViewId="0">
      <selection activeCell="G9" sqref="G9"/>
    </sheetView>
  </sheetViews>
  <sheetFormatPr baseColWidth="8" defaultRowHeight="14.5"/>
  <cols>
    <col width="6" customWidth="1" style="46" min="1" max="1"/>
    <col width="44" customWidth="1" style="46" min="2" max="2"/>
    <col width="70" customWidth="1" style="46" min="3" max="3"/>
    <col width="14" customWidth="1" style="46" min="4" max="4"/>
  </cols>
  <sheetData>
    <row r="1" ht="21" customHeight="1" s="46">
      <c r="A1" s="45" t="inlineStr">
        <is>
          <t>Comparable Transactions (PTM) — Teaching Pack (5 Cases)</t>
        </is>
      </c>
    </row>
    <row r="2"/>
    <row r="3">
      <c r="A3" s="1" t="inlineStr">
        <is>
          <t>Case</t>
        </is>
      </c>
      <c r="B3" s="1" t="inlineStr">
        <is>
          <t>Sheet</t>
        </is>
      </c>
      <c r="C3" s="1" t="inlineStr">
        <is>
          <t>Learning point</t>
        </is>
      </c>
      <c r="D3" s="1" t="inlineStr">
        <is>
          <t>Open</t>
        </is>
      </c>
    </row>
    <row r="4" ht="29" customHeight="1" s="46">
      <c r="A4" s="2" t="inlineStr">
        <is>
          <t>Case 1</t>
        </is>
      </c>
      <c r="B4" s="3" t="inlineStr">
        <is>
          <t>CASE_1_ControlPremium_100pct</t>
        </is>
      </c>
      <c r="C4" s="3" t="inlineStr">
        <is>
          <t>Learning point: EV/EBITDA from 100% acquisitions reflects control premium.</t>
        </is>
      </c>
      <c r="D4" s="4" t="inlineStr">
        <is>
          <t>Open</t>
        </is>
      </c>
    </row>
    <row r="5" ht="29" customHeight="1" s="46">
      <c r="A5" s="2" t="inlineStr">
        <is>
          <t>Case 2</t>
        </is>
      </c>
      <c r="B5" s="3" t="inlineStr">
        <is>
          <t>CASE_2_DealSelection_Include01</t>
        </is>
      </c>
      <c r="C5" s="3" t="inlineStr">
        <is>
          <t>Learning point: Use Deal Type + Include (0/1) to screen transactions before averaging multiples.</t>
        </is>
      </c>
      <c r="D5" s="4" t="inlineStr">
        <is>
          <t>Open</t>
        </is>
      </c>
    </row>
    <row r="6" ht="29" customHeight="1" s="46">
      <c r="A6" s="2" t="inlineStr">
        <is>
          <t>Case 3</t>
        </is>
      </c>
      <c r="B6" s="3" t="inlineStr">
        <is>
          <t>CASE_3_AvgVsMedian_Outliers</t>
        </is>
      </c>
      <c r="C6" s="3" t="inlineStr">
        <is>
          <t>Learning point: Average can be pulled by high-multiple outliers; median is more robust.</t>
        </is>
      </c>
      <c r="D6" s="4" t="inlineStr">
        <is>
          <t>Open</t>
        </is>
      </c>
    </row>
    <row r="7" ht="29" customHeight="1" s="46">
      <c r="A7" s="2" t="inlineStr">
        <is>
          <t>Case 4</t>
        </is>
      </c>
      <c r="B7" s="3" t="inlineStr">
        <is>
          <t>CASE_4_PartialStake_Normalization</t>
        </is>
      </c>
      <c r="C7" s="3" t="inlineStr">
        <is>
          <t>Learning point: Scale partial stake deal values to 100% equity before computing EV multiples.</t>
        </is>
      </c>
      <c r="D7" s="4" t="inlineStr">
        <is>
          <t>Open</t>
        </is>
      </c>
    </row>
    <row r="8" ht="29" customHeight="1" s="46">
      <c r="A8" s="2" t="inlineStr">
        <is>
          <t>Case 5</t>
        </is>
      </c>
      <c r="B8" s="3" t="inlineStr">
        <is>
          <t>CASE_5_Judgment_Integrated</t>
        </is>
      </c>
      <c r="C8" s="3" t="inlineStr">
        <is>
          <t>Learning point: PTM requires judgment: select deals, compute multiples, interpret outputs.</t>
        </is>
      </c>
      <c r="D8" s="4" t="inlineStr">
        <is>
          <t>Open</t>
        </is>
      </c>
    </row>
    <row r="9"/>
    <row r="10"/>
    <row r="11" ht="15.5" customHeight="1" s="46">
      <c r="A11" s="5" t="inlineStr">
        <is>
          <t>Legend:</t>
        </is>
      </c>
    </row>
    <row r="12" ht="29" customHeight="1" s="46">
      <c r="A12" s="6" t="inlineStr">
        <is>
          <t>Inputs</t>
        </is>
      </c>
      <c r="B12" s="7" t="inlineStr">
        <is>
          <t>Calculations</t>
        </is>
      </c>
      <c r="C12" s="8" t="inlineStr">
        <is>
          <t>Outputs</t>
        </is>
      </c>
    </row>
    <row r="13"/>
    <row r="14">
      <c r="A14" s="47" t="inlineStr">
        <is>
          <t>Instruction: In each case sheet, set Include? = 1 for deals you want to use; 0 to exclude.</t>
        </is>
      </c>
    </row>
  </sheetData>
  <sheetProtection selectLockedCells="0" selectUnlockedCells="0" sheet="1" objects="1" insertRows="0" insertHyperlinks="1" autoFilter="0" scenarios="1" formatColumns="0" deleteColumns="0" insertColumns="0" pivotTables="0" deleteRows="0" formatCells="0" formatRows="0" sort="0" password="AE3A"/>
  <mergeCells count="2">
    <mergeCell ref="A1:D1"/>
    <mergeCell ref="A14:D14"/>
  </mergeCells>
  <hyperlinks>
    <hyperlink ref="D4" location="'CASE_1_ControlPremium_100pct'!A1" display="Open"/>
    <hyperlink ref="D5" location="'CASE_2_DealSelection_Include01'!A1" display="Open"/>
    <hyperlink ref="D6" location="'CASE_3_AvgVsMedian_Outliers'!A1" display="Open"/>
    <hyperlink ref="D7" location="'CASE_4_PartialStake_Normalization'!A1" display="Open"/>
    <hyperlink ref="D8" location="'CASE_5_Judgment_Integrated'!A1" display="Open"/>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
  <sheetViews>
    <sheetView topLeftCell="E1" workbookViewId="0">
      <selection activeCell="A3" sqref="A3:N3"/>
    </sheetView>
  </sheetViews>
  <sheetFormatPr baseColWidth="8" defaultRowHeight="14.5"/>
  <cols>
    <col width="7" customWidth="1" style="46" min="1" max="1"/>
    <col width="26" customWidth="1" style="46" min="2" max="3"/>
    <col width="20" customWidth="1" style="46" min="4" max="4"/>
    <col width="10" customWidth="1" style="46" min="5" max="5"/>
    <col width="16" customWidth="1" style="46" min="6" max="9"/>
    <col width="12" customWidth="1" style="46" min="10" max="10"/>
    <col width="20" customWidth="1" style="46" min="11" max="12"/>
    <col width="12" customWidth="1" style="46" min="13" max="14"/>
  </cols>
  <sheetData>
    <row r="1" ht="21" customHeight="1" s="46">
      <c r="A1" s="45" t="inlineStr">
        <is>
          <t>CASE 1 — Control Premium Embedded in 100% Acquisitions</t>
        </is>
      </c>
    </row>
    <row r="2">
      <c r="N2" s="9" t="inlineStr">
        <is>
          <t>⬅ Back to INDEX</t>
        </is>
      </c>
    </row>
    <row r="3">
      <c r="A3" s="49" t="inlineStr">
        <is>
          <t>Learning point: EV/EBITDA from 100% acquisitions reflects control premium.</t>
        </is>
      </c>
    </row>
    <row r="4"/>
    <row r="5">
      <c r="A5" s="50" t="inlineStr">
        <is>
          <t>SECTION A — Comparable Transactions (Inputs)</t>
        </is>
      </c>
    </row>
    <row r="6" ht="29" customHeight="1" s="46">
      <c r="A6" s="1" t="inlineStr">
        <is>
          <t>Deal Ref</t>
        </is>
      </c>
      <c r="B6" s="1" t="inlineStr">
        <is>
          <t>Acquirer</t>
        </is>
      </c>
      <c r="C6" s="1" t="inlineStr">
        <is>
          <t>Target</t>
        </is>
      </c>
      <c r="D6" s="1" t="inlineStr">
        <is>
          <t>Deal Type</t>
        </is>
      </c>
      <c r="E6" s="1" t="inlineStr">
        <is>
          <t>Stake %</t>
        </is>
      </c>
      <c r="F6" s="1" t="inlineStr">
        <is>
          <t>Deal Value (₹ cr)</t>
        </is>
      </c>
      <c r="G6" s="1" t="inlineStr">
        <is>
          <t>Revenue (₹ cr)</t>
        </is>
      </c>
      <c r="H6" s="1" t="inlineStr">
        <is>
          <t>EBITDA (₹ cr)</t>
        </is>
      </c>
      <c r="I6" s="1" t="inlineStr">
        <is>
          <t>Net Debt (₹ cr)</t>
        </is>
      </c>
      <c r="J6" s="1" t="inlineStr">
        <is>
          <t>Include? (0/1)</t>
        </is>
      </c>
      <c r="K6" s="1" t="inlineStr">
        <is>
          <t>Equity Value @100% (₹ cr)</t>
        </is>
      </c>
      <c r="L6" s="1" t="inlineStr">
        <is>
          <t>Enterprise Value (₹ cr)</t>
        </is>
      </c>
      <c r="M6" s="1" t="inlineStr">
        <is>
          <t>EV/Revenue</t>
        </is>
      </c>
      <c r="N6" s="1" t="inlineStr">
        <is>
          <t>EV/EBITDA</t>
        </is>
      </c>
    </row>
    <row r="7">
      <c r="A7" s="10" t="inlineStr">
        <is>
          <t>D01</t>
        </is>
      </c>
      <c r="B7" s="11" t="inlineStr">
        <is>
          <t>Tata Engineering Ltd.</t>
        </is>
      </c>
      <c r="C7" s="11" t="inlineStr">
        <is>
          <t>Prakash Gears Pvt. Ltd.</t>
        </is>
      </c>
      <c r="D7" s="11" t="inlineStr">
        <is>
          <t>100% Acquisition</t>
        </is>
      </c>
      <c r="E7" s="12" t="n">
        <v>1</v>
      </c>
      <c r="F7" s="13" t="n">
        <v>2400</v>
      </c>
      <c r="G7" s="13" t="n">
        <v>1950</v>
      </c>
      <c r="H7" s="13" t="n">
        <v>260</v>
      </c>
      <c r="I7" s="13" t="n">
        <v>480</v>
      </c>
      <c r="J7" s="10" t="n">
        <v>1</v>
      </c>
      <c r="K7" s="14">
        <f>IF(J7=1,F7/(E7),"")</f>
        <v/>
      </c>
      <c r="L7" s="14">
        <f>IF(J7=1,K7+I7,"")</f>
        <v/>
      </c>
      <c r="M7" s="15">
        <f>IF(J7=1,L7/G7,"")</f>
        <v/>
      </c>
      <c r="N7" s="15">
        <f>IF(J7=1,L7/H7,"")</f>
        <v/>
      </c>
    </row>
    <row r="8">
      <c r="A8" s="10" t="inlineStr">
        <is>
          <t>D02</t>
        </is>
      </c>
      <c r="B8" s="11" t="inlineStr">
        <is>
          <t>Mahindra Mobility Ltd.</t>
        </is>
      </c>
      <c r="C8" s="11" t="inlineStr">
        <is>
          <t>Orion Axles Pvt. Ltd.</t>
        </is>
      </c>
      <c r="D8" s="11" t="inlineStr">
        <is>
          <t>100% Acquisition</t>
        </is>
      </c>
      <c r="E8" s="12" t="n">
        <v>1</v>
      </c>
      <c r="F8" s="13" t="n">
        <v>3200</v>
      </c>
      <c r="G8" s="13" t="n">
        <v>2450</v>
      </c>
      <c r="H8" s="13" t="n">
        <v>310</v>
      </c>
      <c r="I8" s="13" t="n">
        <v>520</v>
      </c>
      <c r="J8" s="10" t="n">
        <v>1</v>
      </c>
      <c r="K8" s="14">
        <f>IF(J8=1,F8/(E8),"")</f>
        <v/>
      </c>
      <c r="L8" s="14">
        <f>IF(J8=1,K8+I8,"")</f>
        <v/>
      </c>
      <c r="M8" s="15">
        <f>IF(J8=1,L8/G8,"")</f>
        <v/>
      </c>
      <c r="N8" s="15">
        <f>IF(J8=1,L8/H8,"")</f>
        <v/>
      </c>
    </row>
    <row r="9">
      <c r="A9" s="10" t="inlineStr">
        <is>
          <t>D03</t>
        </is>
      </c>
      <c r="B9" s="11" t="inlineStr">
        <is>
          <t>Bajaj Auto Systems</t>
        </is>
      </c>
      <c r="C9" s="11" t="inlineStr">
        <is>
          <t>Velocity Motors Pvt. Ltd.</t>
        </is>
      </c>
      <c r="D9" s="11" t="inlineStr">
        <is>
          <t>100% Acquisition</t>
        </is>
      </c>
      <c r="E9" s="12" t="n">
        <v>1</v>
      </c>
      <c r="F9" s="13" t="n">
        <v>1800</v>
      </c>
      <c r="G9" s="13" t="n">
        <v>1420</v>
      </c>
      <c r="H9" s="13" t="n">
        <v>190</v>
      </c>
      <c r="I9" s="13" t="n">
        <v>350</v>
      </c>
      <c r="J9" s="10" t="n">
        <v>1</v>
      </c>
      <c r="K9" s="14">
        <f>IF(J9=1,F9/(E9),"")</f>
        <v/>
      </c>
      <c r="L9" s="14">
        <f>IF(J9=1,K9+I9,"")</f>
        <v/>
      </c>
      <c r="M9" s="15">
        <f>IF(J9=1,L9/G9,"")</f>
        <v/>
      </c>
      <c r="N9" s="15">
        <f>IF(J9=1,L9/H9,"")</f>
        <v/>
      </c>
    </row>
    <row r="10">
      <c r="A10" s="10" t="inlineStr">
        <is>
          <t>D04</t>
        </is>
      </c>
      <c r="B10" s="11" t="inlineStr">
        <is>
          <t>TVS Auto Ltd.</t>
        </is>
      </c>
      <c r="C10" s="11" t="inlineStr">
        <is>
          <t>Supreme Drives Pvt. Ltd.</t>
        </is>
      </c>
      <c r="D10" s="11" t="inlineStr">
        <is>
          <t>100% Acquisition</t>
        </is>
      </c>
      <c r="E10" s="12" t="n">
        <v>1</v>
      </c>
      <c r="F10" s="13" t="n">
        <v>2750</v>
      </c>
      <c r="G10" s="13" t="n">
        <v>2100</v>
      </c>
      <c r="H10" s="13" t="n">
        <v>280</v>
      </c>
      <c r="I10" s="13" t="n">
        <v>460</v>
      </c>
      <c r="J10" s="10" t="n">
        <v>1</v>
      </c>
      <c r="K10" s="14">
        <f>IF(J10=1,F10/(E10),"")</f>
        <v/>
      </c>
      <c r="L10" s="14">
        <f>IF(J10=1,K10+I10,"")</f>
        <v/>
      </c>
      <c r="M10" s="15">
        <f>IF(J10=1,L10/G10,"")</f>
        <v/>
      </c>
      <c r="N10" s="15">
        <f>IF(J10=1,L10/H10,"")</f>
        <v/>
      </c>
    </row>
    <row r="11">
      <c r="A11" s="10" t="inlineStr">
        <is>
          <t>D05</t>
        </is>
      </c>
      <c r="B11" s="11" t="inlineStr">
        <is>
          <t>Hero Engineering</t>
        </is>
      </c>
      <c r="C11" s="11" t="inlineStr">
        <is>
          <t>Alpha Components Pvt. Ltd.</t>
        </is>
      </c>
      <c r="D11" s="11" t="inlineStr">
        <is>
          <t>100% Acquisition</t>
        </is>
      </c>
      <c r="E11" s="12" t="n">
        <v>1</v>
      </c>
      <c r="F11" s="13" t="n">
        <v>3500</v>
      </c>
      <c r="G11" s="13" t="n">
        <v>2700</v>
      </c>
      <c r="H11" s="13" t="n">
        <v>340</v>
      </c>
      <c r="I11" s="13" t="n">
        <v>600</v>
      </c>
      <c r="J11" s="10" t="n">
        <v>1</v>
      </c>
      <c r="K11" s="14">
        <f>IF(J11=1,F11/(E11),"")</f>
        <v/>
      </c>
      <c r="L11" s="14">
        <f>IF(J11=1,K11+I11,"")</f>
        <v/>
      </c>
      <c r="M11" s="15">
        <f>IF(J11=1,L11/G11,"")</f>
        <v/>
      </c>
      <c r="N11" s="15">
        <f>IF(J11=1,L11/H11,"")</f>
        <v/>
      </c>
    </row>
    <row r="12">
      <c r="A12" s="10" t="inlineStr">
        <is>
          <t>D06</t>
        </is>
      </c>
      <c r="B12" s="11" t="inlineStr">
        <is>
          <t>Ashok Leyland Engg.</t>
        </is>
      </c>
      <c r="C12" s="11" t="inlineStr">
        <is>
          <t>Nova Auto Parts Pvt. Ltd.</t>
        </is>
      </c>
      <c r="D12" s="11" t="inlineStr">
        <is>
          <t>100% Acquisition</t>
        </is>
      </c>
      <c r="E12" s="12" t="n">
        <v>1</v>
      </c>
      <c r="F12" s="13" t="n">
        <v>1650</v>
      </c>
      <c r="G12" s="13" t="n">
        <v>1300</v>
      </c>
      <c r="H12" s="13" t="n">
        <v>170</v>
      </c>
      <c r="I12" s="13" t="n">
        <v>300</v>
      </c>
      <c r="J12" s="10" t="n">
        <v>1</v>
      </c>
      <c r="K12" s="14">
        <f>IF(J12=1,F12/(E12),"")</f>
        <v/>
      </c>
      <c r="L12" s="14">
        <f>IF(J12=1,K12+I12,"")</f>
        <v/>
      </c>
      <c r="M12" s="15">
        <f>IF(J12=1,L12/G12,"")</f>
        <v/>
      </c>
      <c r="N12" s="15">
        <f>IF(J12=1,L12/H12,"")</f>
        <v/>
      </c>
    </row>
    <row r="13">
      <c r="A13" s="10" t="inlineStr">
        <is>
          <t>D07</t>
        </is>
      </c>
      <c r="B13" s="11" t="inlineStr">
        <is>
          <t>Eicher Motors</t>
        </is>
      </c>
      <c r="C13" s="11" t="inlineStr">
        <is>
          <t>Precision Wheels Pvt. Ltd.</t>
        </is>
      </c>
      <c r="D13" s="11" t="inlineStr">
        <is>
          <t>100% Acquisition</t>
        </is>
      </c>
      <c r="E13" s="12" t="n">
        <v>1</v>
      </c>
      <c r="F13" s="13" t="n">
        <v>2200</v>
      </c>
      <c r="G13" s="13" t="n">
        <v>1750</v>
      </c>
      <c r="H13" s="13" t="n">
        <v>230</v>
      </c>
      <c r="I13" s="13" t="n">
        <v>410</v>
      </c>
      <c r="J13" s="10" t="n">
        <v>1</v>
      </c>
      <c r="K13" s="14">
        <f>IF(J13=1,F13/(E13),"")</f>
        <v/>
      </c>
      <c r="L13" s="14">
        <f>IF(J13=1,K13+I13,"")</f>
        <v/>
      </c>
      <c r="M13" s="15">
        <f>IF(J13=1,L13/G13,"")</f>
        <v/>
      </c>
      <c r="N13" s="15">
        <f>IF(J13=1,L13/H13,"")</f>
        <v/>
      </c>
    </row>
    <row r="14">
      <c r="A14" s="10" t="inlineStr">
        <is>
          <t>D08</t>
        </is>
      </c>
      <c r="B14" s="11" t="inlineStr">
        <is>
          <t>Sona Mobility Ltd.</t>
        </is>
      </c>
      <c r="C14" s="11" t="inlineStr">
        <is>
          <t>Apex Transmissions Pvt. Ltd.</t>
        </is>
      </c>
      <c r="D14" s="11" t="inlineStr">
        <is>
          <t>100% Acquisition</t>
        </is>
      </c>
      <c r="E14" s="12" t="n">
        <v>1</v>
      </c>
      <c r="F14" s="13" t="n">
        <v>2950</v>
      </c>
      <c r="G14" s="13" t="n">
        <v>2250</v>
      </c>
      <c r="H14" s="13" t="n">
        <v>300</v>
      </c>
      <c r="I14" s="13" t="n">
        <v>510</v>
      </c>
      <c r="J14" s="10" t="n">
        <v>1</v>
      </c>
      <c r="K14" s="14">
        <f>IF(J14=1,F14/(E14),"")</f>
        <v/>
      </c>
      <c r="L14" s="14">
        <f>IF(J14=1,K14+I14,"")</f>
        <v/>
      </c>
      <c r="M14" s="15">
        <f>IF(J14=1,L14/G14,"")</f>
        <v/>
      </c>
      <c r="N14" s="15">
        <f>IF(J14=1,L14/H14,"")</f>
        <v/>
      </c>
    </row>
    <row r="15"/>
    <row r="16">
      <c r="A16" s="50" t="inlineStr">
        <is>
          <t>SECTION B — Descriptive Statistics (Selected Deals Only)</t>
        </is>
      </c>
    </row>
    <row r="17">
      <c r="A17" s="16" t="inlineStr">
        <is>
          <t>Average EV/EBITDA</t>
        </is>
      </c>
      <c r="B17" s="17">
        <f>AVERAGEIF(J7:J14,1,N7:N14)</f>
        <v/>
      </c>
      <c r="D17" s="16" t="inlineStr">
        <is>
          <t>Included deals (count)</t>
        </is>
      </c>
      <c r="E17" s="18">
        <f>COUNTIF(J7:J14,1)</f>
        <v/>
      </c>
    </row>
    <row r="18">
      <c r="A18" s="16" t="inlineStr">
        <is>
          <t>Median EV/EBITDA</t>
        </is>
      </c>
      <c r="B18" s="17" t="n"/>
    </row>
    <row r="19"/>
    <row r="20">
      <c r="A20" s="50" t="inlineStr">
        <is>
          <t>SECTION C — Target Company Valuation (Using EV/EBITDA)</t>
        </is>
      </c>
    </row>
    <row r="21" ht="29" customHeight="1" s="46">
      <c r="A21" s="19" t="inlineStr">
        <is>
          <t>Target Company</t>
        </is>
      </c>
      <c r="B21" s="11" t="inlineStr">
        <is>
          <t>Shakti Auto Components Pvt. Ltd.</t>
        </is>
      </c>
      <c r="D21" s="5" t="inlineStr">
        <is>
          <t>Using Average Multiple</t>
        </is>
      </c>
      <c r="G21" s="5" t="inlineStr">
        <is>
          <t>Using Median Multiple</t>
        </is>
      </c>
    </row>
    <row r="22">
      <c r="A22" s="19" t="inlineStr">
        <is>
          <t>Target EBITDA (₹ cr)</t>
        </is>
      </c>
      <c r="B22" s="20" t="n">
        <v>180</v>
      </c>
      <c r="D22" s="19" t="inlineStr">
        <is>
          <t>Implied EV (₹ cr)</t>
        </is>
      </c>
      <c r="E22" s="21">
        <f>B17*B22</f>
        <v/>
      </c>
      <c r="G22" s="19" t="inlineStr">
        <is>
          <t>Implied EV (₹ cr)</t>
        </is>
      </c>
      <c r="H22" s="21">
        <f>B18*B22</f>
        <v/>
      </c>
    </row>
    <row r="23">
      <c r="A23" s="19" t="inlineStr">
        <is>
          <t>Target Net Debt (₹ cr)</t>
        </is>
      </c>
      <c r="B23" s="20" t="n">
        <v>420</v>
      </c>
      <c r="D23" s="19" t="inlineStr">
        <is>
          <t>Implied Equity Value (₹ cr)</t>
        </is>
      </c>
      <c r="E23" s="21">
        <f>E22-B23</f>
        <v/>
      </c>
      <c r="G23" s="19" t="inlineStr">
        <is>
          <t>Implied Equity Value (₹ cr)</t>
        </is>
      </c>
      <c r="H23" s="21">
        <f>H22-B23</f>
        <v/>
      </c>
    </row>
    <row r="24">
      <c r="A24" s="19" t="inlineStr">
        <is>
          <t>Shares Outstanding (cr)</t>
        </is>
      </c>
      <c r="B24" s="22" t="n">
        <v>12</v>
      </c>
      <c r="D24" s="19" t="inlineStr">
        <is>
          <t>Implied Price per Share (₹)</t>
        </is>
      </c>
      <c r="E24" s="23">
        <f>(E23)/(B24)</f>
        <v/>
      </c>
      <c r="G24" s="19" t="inlineStr">
        <is>
          <t>Implied Price per Share (₹)</t>
        </is>
      </c>
      <c r="H24" s="23">
        <f>(H23)/(B24)</f>
        <v/>
      </c>
    </row>
    <row r="25"/>
    <row r="26">
      <c r="A26" s="50" t="inlineStr">
        <is>
          <t>SECTION D — Checks</t>
        </is>
      </c>
    </row>
    <row r="27" ht="87" customHeight="1" s="46">
      <c r="A27" s="24" t="inlineStr">
        <is>
          <t>Check 1: At least 3 deals included</t>
        </is>
      </c>
      <c r="B27" s="25">
        <f>IF(E17&gt;=3,"PASS","FAIL")</f>
        <v/>
      </c>
      <c r="D27" s="5" t="inlineStr">
        <is>
          <t>Case Status</t>
        </is>
      </c>
      <c r="E27" s="25">
        <f>IF(AND(B27="PASS",B28="PASS",B29="PASS"),"PASS","FAIL")</f>
        <v/>
      </c>
    </row>
    <row r="28" ht="87" customHeight="1" s="46">
      <c r="A28" s="24" t="inlineStr">
        <is>
          <t>Check 2: No DIV/0! in EV/EBITDA</t>
        </is>
      </c>
      <c r="B28" s="25">
        <f>IF(COUNTIF(N7:N14,"#DIV/0!")=0,"PASS","FAIL")</f>
        <v/>
      </c>
    </row>
    <row r="29" ht="130.5" customHeight="1" s="46">
      <c r="A29" s="24" t="inlineStr">
        <is>
          <t>Check 3: Included stakes between 0% and 100%</t>
        </is>
      </c>
      <c r="B29" s="25">
        <f>IF(SUMPRODUCT(--(J7:J14=1),--((E7:E14&lt;=0)+(E7:E14&gt;1)))=0,"PASS","FAIL")</f>
        <v/>
      </c>
    </row>
    <row r="30"/>
    <row r="31">
      <c r="A31" s="48" t="inlineStr">
        <is>
          <t>⬅ Back to INDEX</t>
        </is>
      </c>
    </row>
  </sheetData>
  <sheetProtection selectLockedCells="0" selectUnlockedCells="0" sheet="1" objects="1" insertRows="0" insertHyperlinks="1" autoFilter="0" scenarios="1" formatColumns="0" deleteColumns="0" insertColumns="0" pivotTables="0" deleteRows="0" formatCells="0" formatRows="0" sort="0" password="AE3A"/>
  <mergeCells count="7">
    <mergeCell ref="A3:N3"/>
    <mergeCell ref="A26:N26"/>
    <mergeCell ref="A20:N20"/>
    <mergeCell ref="A16:N16"/>
    <mergeCell ref="A5:N5"/>
    <mergeCell ref="A31:B31"/>
    <mergeCell ref="A1:N1"/>
  </mergeCells>
  <hyperlinks>
    <hyperlink ref="N2" location="'INDEX'!A1" display="⬅ Back to INDEX"/>
    <hyperlink ref="A31" location="'INDEX'!A1" display="⬅ Back to INDEX"/>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N31"/>
  <sheetViews>
    <sheetView topLeftCell="E1" workbookViewId="0">
      <selection activeCell="A1" sqref="A1:N1"/>
    </sheetView>
  </sheetViews>
  <sheetFormatPr baseColWidth="8" defaultRowHeight="14.5"/>
  <cols>
    <col width="7" customWidth="1" style="46" min="1" max="1"/>
    <col width="26" customWidth="1" style="46" min="2" max="3"/>
    <col width="20" customWidth="1" style="46" min="4" max="4"/>
    <col width="10" customWidth="1" style="46" min="5" max="5"/>
    <col width="16" customWidth="1" style="46" min="6" max="9"/>
    <col width="12" customWidth="1" style="46" min="10" max="10"/>
    <col width="20" customWidth="1" style="46" min="11" max="12"/>
    <col width="12" customWidth="1" style="46" min="13" max="14"/>
  </cols>
  <sheetData>
    <row r="1" ht="21" customHeight="1" s="46">
      <c r="A1" s="45" t="inlineStr">
        <is>
          <t>CASE 2 — Deal Selection Using Transaction Characteristics</t>
        </is>
      </c>
    </row>
    <row r="2">
      <c r="N2" s="9" t="inlineStr">
        <is>
          <t>⬅ Back to INDEX</t>
        </is>
      </c>
    </row>
    <row r="3">
      <c r="A3" s="49" t="inlineStr">
        <is>
          <t>Learning point: Use Deal Type + Include (0/1) to screen transactions before averaging multiples.</t>
        </is>
      </c>
    </row>
    <row r="4"/>
    <row r="5">
      <c r="A5" s="50" t="inlineStr">
        <is>
          <t>SECTION A — Comparable Transactions (Inputs)</t>
        </is>
      </c>
    </row>
    <row r="6" ht="29" customHeight="1" s="46">
      <c r="A6" s="1" t="inlineStr">
        <is>
          <t>Deal Ref</t>
        </is>
      </c>
      <c r="B6" s="1" t="inlineStr">
        <is>
          <t>Acquirer</t>
        </is>
      </c>
      <c r="C6" s="1" t="inlineStr">
        <is>
          <t>Target</t>
        </is>
      </c>
      <c r="D6" s="1" t="inlineStr">
        <is>
          <t>Deal Type</t>
        </is>
      </c>
      <c r="E6" s="1" t="inlineStr">
        <is>
          <t>Stake %</t>
        </is>
      </c>
      <c r="F6" s="1" t="inlineStr">
        <is>
          <t>Deal Value (₹ cr)</t>
        </is>
      </c>
      <c r="G6" s="1" t="inlineStr">
        <is>
          <t>Revenue (₹ cr)</t>
        </is>
      </c>
      <c r="H6" s="1" t="inlineStr">
        <is>
          <t>EBITDA (₹ cr)</t>
        </is>
      </c>
      <c r="I6" s="1" t="inlineStr">
        <is>
          <t>Net Debt (₹ cr)</t>
        </is>
      </c>
      <c r="J6" s="1" t="inlineStr">
        <is>
          <t>Include? (0/1)</t>
        </is>
      </c>
      <c r="K6" s="1" t="inlineStr">
        <is>
          <t>Equity Value @100% (₹ cr)</t>
        </is>
      </c>
      <c r="L6" s="1" t="inlineStr">
        <is>
          <t>Enterprise Value (₹ cr)</t>
        </is>
      </c>
      <c r="M6" s="1" t="inlineStr">
        <is>
          <t>EV/Revenue</t>
        </is>
      </c>
      <c r="N6" s="1" t="inlineStr">
        <is>
          <t>EV/EBITDA</t>
        </is>
      </c>
    </row>
    <row r="7">
      <c r="A7" s="10" t="inlineStr">
        <is>
          <t>D01</t>
        </is>
      </c>
      <c r="B7" s="11" t="inlineStr">
        <is>
          <t>Reliance Retail</t>
        </is>
      </c>
      <c r="C7" s="11" t="inlineStr">
        <is>
          <t>CityMart Pvt. Ltd.</t>
        </is>
      </c>
      <c r="D7" s="11" t="inlineStr">
        <is>
          <t>Strategic Acquisition</t>
        </is>
      </c>
      <c r="E7" s="12" t="n">
        <v>1</v>
      </c>
      <c r="F7" s="13" t="n">
        <v>1200</v>
      </c>
      <c r="G7" s="13" t="n">
        <v>1050</v>
      </c>
      <c r="H7" s="13" t="n">
        <v>120</v>
      </c>
      <c r="I7" s="13" t="n">
        <v>200</v>
      </c>
      <c r="J7" s="10" t="n">
        <v>1</v>
      </c>
      <c r="K7" s="14">
        <f>IF(J7=1,F7/(E7),"")</f>
        <v/>
      </c>
      <c r="L7" s="14">
        <f>IF(J7=1,K7+I7,"")</f>
        <v/>
      </c>
      <c r="M7" s="15">
        <f>IF(J7=1,L7/G7,"")</f>
        <v/>
      </c>
      <c r="N7" s="15">
        <f>IF(J7=1,L7/H7,"")</f>
        <v/>
      </c>
    </row>
    <row r="8">
      <c r="A8" s="10" t="inlineStr">
        <is>
          <t>D02</t>
        </is>
      </c>
      <c r="B8" s="11" t="inlineStr">
        <is>
          <t>Avenue Supermarts</t>
        </is>
      </c>
      <c r="C8" s="11" t="inlineStr">
        <is>
          <t>FreshBasket Pvt. Ltd.</t>
        </is>
      </c>
      <c r="D8" s="11" t="inlineStr">
        <is>
          <t>Majority Stake</t>
        </is>
      </c>
      <c r="E8" s="12" t="n">
        <v>0.6</v>
      </c>
      <c r="F8" s="13" t="n">
        <v>950</v>
      </c>
      <c r="G8" s="13" t="n">
        <v>980</v>
      </c>
      <c r="H8" s="13" t="n">
        <v>110</v>
      </c>
      <c r="I8" s="13" t="n">
        <v>180</v>
      </c>
      <c r="J8" s="10" t="n">
        <v>1</v>
      </c>
      <c r="K8" s="14">
        <f>IF(J8=1,F8/(E8),"")</f>
        <v/>
      </c>
      <c r="L8" s="14">
        <f>IF(J8=1,K8+I8,"")</f>
        <v/>
      </c>
      <c r="M8" s="15">
        <f>IF(J8=1,L8/G8,"")</f>
        <v/>
      </c>
      <c r="N8" s="15">
        <f>IF(J8=1,L8/H8,"")</f>
        <v/>
      </c>
    </row>
    <row r="9">
      <c r="A9" s="10" t="inlineStr">
        <is>
          <t>D03</t>
        </is>
      </c>
      <c r="B9" s="11" t="inlineStr">
        <is>
          <t>Future Ventures</t>
        </is>
      </c>
      <c r="C9" s="11" t="inlineStr">
        <is>
          <t>ValueShop Pvt. Ltd.</t>
        </is>
      </c>
      <c r="D9" s="11" t="inlineStr">
        <is>
          <t>Minority Stake</t>
        </is>
      </c>
      <c r="E9" s="12" t="n">
        <v>0.45</v>
      </c>
      <c r="F9" s="13" t="n">
        <v>700</v>
      </c>
      <c r="G9" s="13" t="n">
        <v>820</v>
      </c>
      <c r="H9" s="13" t="n">
        <v>95</v>
      </c>
      <c r="I9" s="13" t="n">
        <v>160</v>
      </c>
      <c r="J9" s="10" t="n">
        <v>1</v>
      </c>
      <c r="K9" s="14">
        <f>IF(J9=1,F9/(E9),"")</f>
        <v/>
      </c>
      <c r="L9" s="14">
        <f>IF(J9=1,K9+I9,"")</f>
        <v/>
      </c>
      <c r="M9" s="15">
        <f>IF(J9=1,L9/G9,"")</f>
        <v/>
      </c>
      <c r="N9" s="15">
        <f>IF(J9=1,L9/H9,"")</f>
        <v/>
      </c>
    </row>
    <row r="10">
      <c r="A10" s="10" t="inlineStr">
        <is>
          <t>D04</t>
        </is>
      </c>
      <c r="B10" s="11" t="inlineStr">
        <is>
          <t>Tata Consumer Retail</t>
        </is>
      </c>
      <c r="C10" s="11" t="inlineStr">
        <is>
          <t>UrbanNeeds Pvt. Ltd.</t>
        </is>
      </c>
      <c r="D10" s="11" t="inlineStr">
        <is>
          <t>Strategic Acquisition</t>
        </is>
      </c>
      <c r="E10" s="12" t="n">
        <v>1</v>
      </c>
      <c r="F10" s="13" t="n">
        <v>1500</v>
      </c>
      <c r="G10" s="13" t="n">
        <v>1300</v>
      </c>
      <c r="H10" s="13" t="n">
        <v>150</v>
      </c>
      <c r="I10" s="13" t="n">
        <v>260</v>
      </c>
      <c r="J10" s="10" t="n">
        <v>1</v>
      </c>
      <c r="K10" s="14">
        <f>IF(J10=1,F10/(E10),"")</f>
        <v/>
      </c>
      <c r="L10" s="14">
        <f>IF(J10=1,K10+I10,"")</f>
        <v/>
      </c>
      <c r="M10" s="15">
        <f>IF(J10=1,L10/G10,"")</f>
        <v/>
      </c>
      <c r="N10" s="15">
        <f>IF(J10=1,L10/H10,"")</f>
        <v/>
      </c>
    </row>
    <row r="11" ht="29" customHeight="1" s="46">
      <c r="A11" s="10" t="inlineStr">
        <is>
          <t>D05</t>
        </is>
      </c>
      <c r="B11" s="11" t="inlineStr">
        <is>
          <t>KKR India</t>
        </is>
      </c>
      <c r="C11" s="11" t="inlineStr">
        <is>
          <t>MegaRetail Pvt. Ltd.</t>
        </is>
      </c>
      <c r="D11" s="11" t="inlineStr">
        <is>
          <t>Leveraged Buyout (LBO)</t>
        </is>
      </c>
      <c r="E11" s="12" t="n">
        <v>0.75</v>
      </c>
      <c r="F11" s="13" t="n">
        <v>1100</v>
      </c>
      <c r="G11" s="13" t="n">
        <v>1000</v>
      </c>
      <c r="H11" s="13" t="n">
        <v>130</v>
      </c>
      <c r="I11" s="13" t="n">
        <v>220</v>
      </c>
      <c r="J11" s="10" t="n">
        <v>1</v>
      </c>
      <c r="K11" s="14">
        <f>IF(J11=1,F11/(E11),"")</f>
        <v/>
      </c>
      <c r="L11" s="14">
        <f>IF(J11=1,K11+I11,"")</f>
        <v/>
      </c>
      <c r="M11" s="15">
        <f>IF(J11=1,L11/G11,"")</f>
        <v/>
      </c>
      <c r="N11" s="15">
        <f>IF(J11=1,L11/H11,"")</f>
        <v/>
      </c>
    </row>
    <row r="12">
      <c r="A12" s="10" t="inlineStr">
        <is>
          <t>D06</t>
        </is>
      </c>
      <c r="B12" s="11" t="inlineStr">
        <is>
          <t>Aditya Birla Retail</t>
        </is>
      </c>
      <c r="C12" s="11" t="inlineStr">
        <is>
          <t>DailyChoice Pvt. Ltd.</t>
        </is>
      </c>
      <c r="D12" s="11" t="inlineStr">
        <is>
          <t>Strategic Acquisition</t>
        </is>
      </c>
      <c r="E12" s="12" t="n">
        <v>1</v>
      </c>
      <c r="F12" s="13" t="n">
        <v>850</v>
      </c>
      <c r="G12" s="13" t="n">
        <v>900</v>
      </c>
      <c r="H12" s="13" t="n">
        <v>100</v>
      </c>
      <c r="I12" s="13" t="n">
        <v>170</v>
      </c>
      <c r="J12" s="10" t="n">
        <v>1</v>
      </c>
      <c r="K12" s="14">
        <f>IF(J12=1,F12/(E12),"")</f>
        <v/>
      </c>
      <c r="L12" s="14">
        <f>IF(J12=1,K12+I12,"")</f>
        <v/>
      </c>
      <c r="M12" s="15">
        <f>IF(J12=1,L12/G12,"")</f>
        <v/>
      </c>
      <c r="N12" s="15">
        <f>IF(J12=1,L12/H12,"")</f>
        <v/>
      </c>
    </row>
    <row r="13">
      <c r="A13" s="10" t="inlineStr">
        <is>
          <t>D07</t>
        </is>
      </c>
      <c r="B13" s="11" t="inlineStr">
        <is>
          <t>Amazon India</t>
        </is>
      </c>
      <c r="C13" s="11" t="inlineStr">
        <is>
          <t>QuickBuy Pvt. Ltd.</t>
        </is>
      </c>
      <c r="D13" s="11" t="inlineStr">
        <is>
          <t>Strategic Acquisition</t>
        </is>
      </c>
      <c r="E13" s="12" t="n">
        <v>1</v>
      </c>
      <c r="F13" s="13" t="n">
        <v>1400</v>
      </c>
      <c r="G13" s="13" t="n">
        <v>1200</v>
      </c>
      <c r="H13" s="13" t="n">
        <v>140</v>
      </c>
      <c r="I13" s="13" t="n">
        <v>240</v>
      </c>
      <c r="J13" s="10" t="n">
        <v>1</v>
      </c>
      <c r="K13" s="14">
        <f>IF(J13=1,F13/(E13),"")</f>
        <v/>
      </c>
      <c r="L13" s="14">
        <f>IF(J13=1,K13+I13,"")</f>
        <v/>
      </c>
      <c r="M13" s="15">
        <f>IF(J13=1,L13/G13,"")</f>
        <v/>
      </c>
      <c r="N13" s="15">
        <f>IF(J13=1,L13/H13,"")</f>
        <v/>
      </c>
    </row>
    <row r="14">
      <c r="A14" s="10" t="inlineStr">
        <is>
          <t>D08</t>
        </is>
      </c>
      <c r="B14" s="11" t="inlineStr">
        <is>
          <t>Flipkart Group</t>
        </is>
      </c>
      <c r="C14" s="11" t="inlineStr">
        <is>
          <t>EasyShop Pvt. Ltd.</t>
        </is>
      </c>
      <c r="D14" s="11" t="inlineStr">
        <is>
          <t>Deal Incomplete</t>
        </is>
      </c>
      <c r="E14" s="12" t="n">
        <v>0.5</v>
      </c>
      <c r="F14" s="13" t="n">
        <v>780</v>
      </c>
      <c r="G14" s="13" t="n">
        <v>860</v>
      </c>
      <c r="H14" s="13" t="n">
        <v>105</v>
      </c>
      <c r="I14" s="13" t="n">
        <v>190</v>
      </c>
      <c r="J14" s="10" t="n">
        <v>1</v>
      </c>
      <c r="K14" s="14">
        <f>IF(J14=1,F14/(E14),"")</f>
        <v/>
      </c>
      <c r="L14" s="14">
        <f>IF(J14=1,K14+I14,"")</f>
        <v/>
      </c>
      <c r="M14" s="15">
        <f>IF(J14=1,L14/G14,"")</f>
        <v/>
      </c>
      <c r="N14" s="15">
        <f>IF(J14=1,L14/H14,"")</f>
        <v/>
      </c>
    </row>
    <row r="15"/>
    <row r="16">
      <c r="A16" s="50" t="inlineStr">
        <is>
          <t>SECTION B — Descriptive Statistics (Selected Deals Only)</t>
        </is>
      </c>
    </row>
    <row r="17">
      <c r="A17" s="16" t="inlineStr">
        <is>
          <t>Average EV/EBITDA</t>
        </is>
      </c>
      <c r="B17" s="17">
        <f>AVERAGEIF(J7:J14,1,N7:N14)</f>
        <v/>
      </c>
      <c r="D17" s="16" t="inlineStr">
        <is>
          <t>Included deals (count)</t>
        </is>
      </c>
      <c r="E17" s="18">
        <f>COUNTIF(J7:J14,1)</f>
        <v/>
      </c>
    </row>
    <row r="18">
      <c r="A18" s="16" t="inlineStr">
        <is>
          <t>Median EV/EBITDA</t>
        </is>
      </c>
      <c r="B18" s="17" t="n"/>
    </row>
    <row r="19"/>
    <row r="20">
      <c r="A20" s="50" t="inlineStr">
        <is>
          <t>SECTION C — Target Company Valuation (Using EV/EBITDA)</t>
        </is>
      </c>
    </row>
    <row r="21" ht="15.5" customHeight="1" s="46">
      <c r="A21" s="19" t="inlineStr">
        <is>
          <t>Target Company</t>
        </is>
      </c>
      <c r="B21" s="11" t="inlineStr">
        <is>
          <t>LMN Stores Pvt. Ltd.</t>
        </is>
      </c>
      <c r="D21" s="5" t="inlineStr">
        <is>
          <t>Using Average Multiple</t>
        </is>
      </c>
      <c r="G21" s="5" t="inlineStr">
        <is>
          <t>Using Median Multiple</t>
        </is>
      </c>
    </row>
    <row r="22">
      <c r="A22" s="19" t="inlineStr">
        <is>
          <t>Target EBITDA (₹ cr)</t>
        </is>
      </c>
      <c r="B22" s="20" t="n">
        <v>95</v>
      </c>
      <c r="D22" s="19" t="inlineStr">
        <is>
          <t>Implied EV (₹ cr)</t>
        </is>
      </c>
      <c r="E22" s="21">
        <f>B17*B22</f>
        <v/>
      </c>
      <c r="G22" s="19" t="inlineStr">
        <is>
          <t>Implied EV (₹ cr)</t>
        </is>
      </c>
      <c r="H22" s="21">
        <f>B18*B22</f>
        <v/>
      </c>
    </row>
    <row r="23">
      <c r="A23" s="19" t="inlineStr">
        <is>
          <t>Target Net Debt (₹ cr)</t>
        </is>
      </c>
      <c r="B23" s="20" t="n">
        <v>210</v>
      </c>
      <c r="D23" s="19" t="inlineStr">
        <is>
          <t>Implied Equity Value (₹ cr)</t>
        </is>
      </c>
      <c r="E23" s="21">
        <f>E22-B23</f>
        <v/>
      </c>
      <c r="G23" s="19" t="inlineStr">
        <is>
          <t>Implied Equity Value (₹ cr)</t>
        </is>
      </c>
      <c r="H23" s="21">
        <f>H22-B23</f>
        <v/>
      </c>
    </row>
    <row r="24">
      <c r="A24" s="19" t="inlineStr">
        <is>
          <t>Shares Outstanding (cr)</t>
        </is>
      </c>
      <c r="B24" s="22" t="n">
        <v>6</v>
      </c>
      <c r="D24" s="19" t="inlineStr">
        <is>
          <t>Implied Price per Share (₹)</t>
        </is>
      </c>
      <c r="E24" s="23">
        <f>(E23)/(B24)</f>
        <v/>
      </c>
      <c r="G24" s="19" t="inlineStr">
        <is>
          <t>Implied Price per Share (₹)</t>
        </is>
      </c>
      <c r="H24" s="23">
        <f>(H23)/(B24)</f>
        <v/>
      </c>
    </row>
    <row r="25"/>
    <row r="26">
      <c r="A26" s="50" t="inlineStr">
        <is>
          <t>SECTION D — Checks</t>
        </is>
      </c>
    </row>
    <row r="27" ht="87" customHeight="1" s="46">
      <c r="A27" s="24" t="inlineStr">
        <is>
          <t>Check 1: At least 3 deals included</t>
        </is>
      </c>
      <c r="B27" s="25">
        <f>IF(E17&gt;=3,"PASS","FAIL")</f>
        <v/>
      </c>
      <c r="D27" s="5" t="inlineStr">
        <is>
          <t>Case Status</t>
        </is>
      </c>
      <c r="E27" s="25">
        <f>IF(AND(B27="PASS",B28="PASS",B29="PASS"),"PASS","FAIL")</f>
        <v/>
      </c>
    </row>
    <row r="28" ht="87" customHeight="1" s="46">
      <c r="A28" s="24" t="inlineStr">
        <is>
          <t>Check 2: No DIV/0! in EV/EBITDA</t>
        </is>
      </c>
      <c r="B28" s="25">
        <f>IF(COUNTIF(N7:N14,"#DIV/0!")=0,"PASS","FAIL")</f>
        <v/>
      </c>
    </row>
    <row r="29" ht="130.5" customHeight="1" s="46">
      <c r="A29" s="24" t="inlineStr">
        <is>
          <t>Check 3: Included stakes between 0% and 100%</t>
        </is>
      </c>
      <c r="B29" s="25">
        <f>IF(SUMPRODUCT(--(J7:J14=1),--((E7:E14&lt;=0)+(E7:E14&gt;1)))=0,"PASS","FAIL")</f>
        <v/>
      </c>
    </row>
    <row r="30"/>
    <row r="31">
      <c r="A31" s="48" t="inlineStr">
        <is>
          <t>⬅ Back to INDEX</t>
        </is>
      </c>
    </row>
  </sheetData>
  <sheetProtection selectLockedCells="0" selectUnlockedCells="0" sheet="1" objects="1" insertRows="0" insertHyperlinks="1" autoFilter="0" scenarios="1" formatColumns="0" deleteColumns="0" insertColumns="0" pivotTables="0" deleteRows="0" formatCells="0" formatRows="0" sort="0" password="AE3A"/>
  <mergeCells count="7">
    <mergeCell ref="A3:N3"/>
    <mergeCell ref="A26:N26"/>
    <mergeCell ref="A20:N20"/>
    <mergeCell ref="A16:N16"/>
    <mergeCell ref="A5:N5"/>
    <mergeCell ref="A31:B31"/>
    <mergeCell ref="A1:N1"/>
  </mergeCells>
  <hyperlinks>
    <hyperlink ref="N2" location="'INDEX'!A1" display="⬅ Back to INDEX"/>
    <hyperlink ref="A31" location="'INDEX'!A1" display="⬅ Back to INDEX"/>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N31"/>
  <sheetViews>
    <sheetView workbookViewId="0">
      <selection activeCell="A1" sqref="A1:N1"/>
    </sheetView>
  </sheetViews>
  <sheetFormatPr baseColWidth="8" defaultRowHeight="14.5"/>
  <cols>
    <col width="7" customWidth="1" style="46" min="1" max="1"/>
    <col width="26" customWidth="1" style="46" min="2" max="3"/>
    <col width="20" customWidth="1" style="46" min="4" max="4"/>
    <col width="10" customWidth="1" style="46" min="5" max="5"/>
    <col width="16" customWidth="1" style="46" min="6" max="9"/>
    <col width="12" customWidth="1" style="46" min="10" max="10"/>
    <col width="20" customWidth="1" style="46" min="11" max="12"/>
    <col width="12" customWidth="1" style="46" min="13" max="14"/>
  </cols>
  <sheetData>
    <row r="1" ht="21" customHeight="1" s="46">
      <c r="A1" s="45" t="inlineStr">
        <is>
          <t>CASE 3 — Average vs Median Multiples (Outliers)</t>
        </is>
      </c>
    </row>
    <row r="2">
      <c r="N2" s="9" t="inlineStr">
        <is>
          <t>⬅ Back to INDEX</t>
        </is>
      </c>
    </row>
    <row r="3">
      <c r="A3" s="49" t="inlineStr">
        <is>
          <t>Learning point: Average can be pulled by high-multiple outliers; median is more robust.</t>
        </is>
      </c>
    </row>
    <row r="4"/>
    <row r="5">
      <c r="A5" s="50" t="inlineStr">
        <is>
          <t>SECTION A — Comparable Transactions (Inputs)</t>
        </is>
      </c>
    </row>
    <row r="6" ht="29" customHeight="1" s="46">
      <c r="A6" s="1" t="inlineStr">
        <is>
          <t>Deal Ref</t>
        </is>
      </c>
      <c r="B6" s="1" t="inlineStr">
        <is>
          <t>Acquirer</t>
        </is>
      </c>
      <c r="C6" s="1" t="inlineStr">
        <is>
          <t>Target</t>
        </is>
      </c>
      <c r="D6" s="1" t="inlineStr">
        <is>
          <t>Deal Type</t>
        </is>
      </c>
      <c r="E6" s="1" t="inlineStr">
        <is>
          <t>Stake %</t>
        </is>
      </c>
      <c r="F6" s="1" t="inlineStr">
        <is>
          <t>Deal Value (₹ cr)</t>
        </is>
      </c>
      <c r="G6" s="1" t="inlineStr">
        <is>
          <t>Revenue (₹ cr)</t>
        </is>
      </c>
      <c r="H6" s="1" t="inlineStr">
        <is>
          <t>EBITDA (₹ cr)</t>
        </is>
      </c>
      <c r="I6" s="1" t="inlineStr">
        <is>
          <t>Net Debt (₹ cr)</t>
        </is>
      </c>
      <c r="J6" s="1" t="inlineStr">
        <is>
          <t>Include? (0/1)</t>
        </is>
      </c>
      <c r="K6" s="1" t="inlineStr">
        <is>
          <t>Equity Value @100% (₹ cr)</t>
        </is>
      </c>
      <c r="L6" s="1" t="inlineStr">
        <is>
          <t>Enterprise Value (₹ cr)</t>
        </is>
      </c>
      <c r="M6" s="1" t="inlineStr">
        <is>
          <t>EV/Revenue</t>
        </is>
      </c>
      <c r="N6" s="1" t="inlineStr">
        <is>
          <t>EV/EBITDA</t>
        </is>
      </c>
    </row>
    <row r="7">
      <c r="A7" s="10" t="inlineStr">
        <is>
          <t>D01</t>
        </is>
      </c>
      <c r="B7" s="11" t="inlineStr">
        <is>
          <t>Sun Pharma</t>
        </is>
      </c>
      <c r="C7" s="11" t="inlineStr">
        <is>
          <t>Medigen Labs Pvt. Ltd.</t>
        </is>
      </c>
      <c r="D7" s="11" t="inlineStr">
        <is>
          <t>Strategic</t>
        </is>
      </c>
      <c r="E7" s="12" t="n">
        <v>1</v>
      </c>
      <c r="F7" s="13" t="n">
        <v>2100</v>
      </c>
      <c r="G7" s="13" t="n">
        <v>1600</v>
      </c>
      <c r="H7" s="13" t="n">
        <v>210</v>
      </c>
      <c r="I7" s="13" t="n">
        <v>420</v>
      </c>
      <c r="J7" s="10" t="n">
        <v>1</v>
      </c>
      <c r="K7" s="14">
        <f>IF(J7=1,F7/(E7),"")</f>
        <v/>
      </c>
      <c r="L7" s="14">
        <f>IF(J7=1,K7+I7,"")</f>
        <v/>
      </c>
      <c r="M7" s="15">
        <f>IF(J7=1,L7/G7,"")</f>
        <v/>
      </c>
      <c r="N7" s="15">
        <f>IF(J7=1,L7/H7,"")</f>
        <v/>
      </c>
    </row>
    <row r="8">
      <c r="A8" s="10" t="inlineStr">
        <is>
          <t>D02</t>
        </is>
      </c>
      <c r="B8" s="11" t="inlineStr">
        <is>
          <t>Pfizer India</t>
        </is>
      </c>
      <c r="C8" s="11" t="inlineStr">
        <is>
          <t>CureWell Pharma Pvt. Ltd.</t>
        </is>
      </c>
      <c r="D8" s="11" t="inlineStr">
        <is>
          <t>MNC Acquisition</t>
        </is>
      </c>
      <c r="E8" s="12" t="n">
        <v>1</v>
      </c>
      <c r="F8" s="13" t="n">
        <v>3800</v>
      </c>
      <c r="G8" s="13" t="n">
        <v>2400</v>
      </c>
      <c r="H8" s="13" t="n">
        <v>260</v>
      </c>
      <c r="I8" s="13" t="n">
        <v>500</v>
      </c>
      <c r="J8" s="10" t="n">
        <v>1</v>
      </c>
      <c r="K8" s="14">
        <f>IF(J8=1,F8/(E8),"")</f>
        <v/>
      </c>
      <c r="L8" s="14">
        <f>IF(J8=1,K8+I8,"")</f>
        <v/>
      </c>
      <c r="M8" s="15">
        <f>IF(J8=1,L8/G8,"")</f>
        <v/>
      </c>
      <c r="N8" s="15">
        <f>IF(J8=1,L8/H8,"")</f>
        <v/>
      </c>
    </row>
    <row r="9">
      <c r="A9" s="10" t="inlineStr">
        <is>
          <t>D03</t>
        </is>
      </c>
      <c r="B9" s="11" t="inlineStr">
        <is>
          <t>Cipla Ltd.</t>
        </is>
      </c>
      <c r="C9" s="11" t="inlineStr">
        <is>
          <t>BioHealth Pvt. Ltd.</t>
        </is>
      </c>
      <c r="D9" s="11" t="inlineStr">
        <is>
          <t>Strategic</t>
        </is>
      </c>
      <c r="E9" s="12" t="n">
        <v>1</v>
      </c>
      <c r="F9" s="13" t="n">
        <v>1750</v>
      </c>
      <c r="G9" s="13" t="n">
        <v>1350</v>
      </c>
      <c r="H9" s="13" t="n">
        <v>180</v>
      </c>
      <c r="I9" s="13" t="n">
        <v>360</v>
      </c>
      <c r="J9" s="10" t="n">
        <v>1</v>
      </c>
      <c r="K9" s="14">
        <f>IF(J9=1,F9/(E9),"")</f>
        <v/>
      </c>
      <c r="L9" s="14">
        <f>IF(J9=1,K9+I9,"")</f>
        <v/>
      </c>
      <c r="M9" s="15">
        <f>IF(J9=1,L9/G9,"")</f>
        <v/>
      </c>
      <c r="N9" s="15">
        <f>IF(J9=1,L9/H9,"")</f>
        <v/>
      </c>
    </row>
    <row r="10">
      <c r="A10" s="10" t="inlineStr">
        <is>
          <t>D04</t>
        </is>
      </c>
      <c r="B10" s="11" t="inlineStr">
        <is>
          <t>Novartis India</t>
        </is>
      </c>
      <c r="C10" s="11" t="inlineStr">
        <is>
          <t>LifeCare Pharma Pvt. Ltd.</t>
        </is>
      </c>
      <c r="D10" s="11" t="inlineStr">
        <is>
          <t>MNC Acquisition</t>
        </is>
      </c>
      <c r="E10" s="12" t="n">
        <v>1</v>
      </c>
      <c r="F10" s="13" t="n">
        <v>4200</v>
      </c>
      <c r="G10" s="13" t="n">
        <v>2700</v>
      </c>
      <c r="H10" s="13" t="n">
        <v>280</v>
      </c>
      <c r="I10" s="13" t="n">
        <v>540</v>
      </c>
      <c r="J10" s="10" t="n">
        <v>1</v>
      </c>
      <c r="K10" s="14">
        <f>IF(J10=1,F10/(E10),"")</f>
        <v/>
      </c>
      <c r="L10" s="14">
        <f>IF(J10=1,K10+I10,"")</f>
        <v/>
      </c>
      <c r="M10" s="15">
        <f>IF(J10=1,L10/G10,"")</f>
        <v/>
      </c>
      <c r="N10" s="15">
        <f>IF(J10=1,L10/H10,"")</f>
        <v/>
      </c>
    </row>
    <row r="11">
      <c r="A11" s="10" t="inlineStr">
        <is>
          <t>D05</t>
        </is>
      </c>
      <c r="B11" s="11" t="inlineStr">
        <is>
          <t>Dr. Reddy’s Labs</t>
        </is>
      </c>
      <c r="C11" s="11" t="inlineStr">
        <is>
          <t>PureDrugs Pvt. Ltd.</t>
        </is>
      </c>
      <c r="D11" s="11" t="inlineStr">
        <is>
          <t>Strategic</t>
        </is>
      </c>
      <c r="E11" s="12" t="n">
        <v>1</v>
      </c>
      <c r="F11" s="13" t="n">
        <v>2300</v>
      </c>
      <c r="G11" s="13" t="n">
        <v>1800</v>
      </c>
      <c r="H11" s="13" t="n">
        <v>220</v>
      </c>
      <c r="I11" s="13" t="n">
        <v>410</v>
      </c>
      <c r="J11" s="10" t="n">
        <v>1</v>
      </c>
      <c r="K11" s="14">
        <f>IF(J11=1,F11/(E11),"")</f>
        <v/>
      </c>
      <c r="L11" s="14">
        <f>IF(J11=1,K11+I11,"")</f>
        <v/>
      </c>
      <c r="M11" s="15">
        <f>IF(J11=1,L11/G11,"")</f>
        <v/>
      </c>
      <c r="N11" s="15">
        <f>IF(J11=1,L11/H11,"")</f>
        <v/>
      </c>
    </row>
    <row r="12">
      <c r="A12" s="10" t="inlineStr">
        <is>
          <t>D06</t>
        </is>
      </c>
      <c r="B12" s="11" t="inlineStr">
        <is>
          <t>Lupin Ltd.</t>
        </is>
      </c>
      <c r="C12" s="11" t="inlineStr">
        <is>
          <t>WellGen Pharma Pvt. Ltd.</t>
        </is>
      </c>
      <c r="D12" s="11" t="inlineStr">
        <is>
          <t>Strategic</t>
        </is>
      </c>
      <c r="E12" s="12" t="n">
        <v>1</v>
      </c>
      <c r="F12" s="13" t="n">
        <v>1600</v>
      </c>
      <c r="G12" s="13" t="n">
        <v>1250</v>
      </c>
      <c r="H12" s="13" t="n">
        <v>160</v>
      </c>
      <c r="I12" s="13" t="n">
        <v>300</v>
      </c>
      <c r="J12" s="10" t="n">
        <v>1</v>
      </c>
      <c r="K12" s="14">
        <f>IF(J12=1,F12/(E12),"")</f>
        <v/>
      </c>
      <c r="L12" s="14">
        <f>IF(J12=1,K12+I12,"")</f>
        <v/>
      </c>
      <c r="M12" s="15">
        <f>IF(J12=1,L12/G12,"")</f>
        <v/>
      </c>
      <c r="N12" s="15">
        <f>IF(J12=1,L12/H12,"")</f>
        <v/>
      </c>
    </row>
    <row r="13">
      <c r="A13" s="10" t="inlineStr">
        <is>
          <t>D07</t>
        </is>
      </c>
      <c r="B13" s="11" t="inlineStr">
        <is>
          <t>Aurobindo Pharma</t>
        </is>
      </c>
      <c r="C13" s="11" t="inlineStr">
        <is>
          <t>NovaCure Pvt. Ltd.</t>
        </is>
      </c>
      <c r="D13" s="11" t="inlineStr">
        <is>
          <t>Strategic</t>
        </is>
      </c>
      <c r="E13" s="12" t="n">
        <v>1</v>
      </c>
      <c r="F13" s="13" t="n">
        <v>2050</v>
      </c>
      <c r="G13" s="13" t="n">
        <v>1550</v>
      </c>
      <c r="H13" s="13" t="n">
        <v>200</v>
      </c>
      <c r="I13" s="13" t="n">
        <v>390</v>
      </c>
      <c r="J13" s="10" t="n">
        <v>1</v>
      </c>
      <c r="K13" s="14">
        <f>IF(J13=1,F13/(E13),"")</f>
        <v/>
      </c>
      <c r="L13" s="14">
        <f>IF(J13=1,K13+I13,"")</f>
        <v/>
      </c>
      <c r="M13" s="15">
        <f>IF(J13=1,L13/G13,"")</f>
        <v/>
      </c>
      <c r="N13" s="15">
        <f>IF(J13=1,L13/H13,"")</f>
        <v/>
      </c>
    </row>
    <row r="14">
      <c r="A14" s="10" t="inlineStr">
        <is>
          <t>D08</t>
        </is>
      </c>
      <c r="B14" s="11" t="inlineStr">
        <is>
          <t>Glenmark Pharma</t>
        </is>
      </c>
      <c r="C14" s="11" t="inlineStr">
        <is>
          <t>Healix Pharma Pvt. Ltd.</t>
        </is>
      </c>
      <c r="D14" s="11" t="inlineStr">
        <is>
          <t>Strategic</t>
        </is>
      </c>
      <c r="E14" s="12" t="n">
        <v>1</v>
      </c>
      <c r="F14" s="13" t="n">
        <v>1900</v>
      </c>
      <c r="G14" s="13" t="n">
        <v>1450</v>
      </c>
      <c r="H14" s="13" t="n">
        <v>190</v>
      </c>
      <c r="I14" s="13" t="n">
        <v>350</v>
      </c>
      <c r="J14" s="10" t="n">
        <v>1</v>
      </c>
      <c r="K14" s="14">
        <f>IF(J14=1,F14/(E14),"")</f>
        <v/>
      </c>
      <c r="L14" s="14">
        <f>IF(J14=1,K14+I14,"")</f>
        <v/>
      </c>
      <c r="M14" s="15">
        <f>IF(J14=1,L14/G14,"")</f>
        <v/>
      </c>
      <c r="N14" s="15">
        <f>IF(J14=1,L14/H14,"")</f>
        <v/>
      </c>
    </row>
    <row r="15"/>
    <row r="16">
      <c r="A16" s="50" t="inlineStr">
        <is>
          <t>SECTION B — Descriptive Statistics (Selected Deals Only)</t>
        </is>
      </c>
    </row>
    <row r="17">
      <c r="A17" s="16" t="inlineStr">
        <is>
          <t>Average EV/EBITDA</t>
        </is>
      </c>
      <c r="B17" s="17">
        <f>AVERAGEIF(J7:J14,1,N7:N14)</f>
        <v/>
      </c>
      <c r="D17" s="16" t="inlineStr">
        <is>
          <t>Included deals (count)</t>
        </is>
      </c>
      <c r="E17" s="18">
        <f>COUNTIF(J7:J14,1)</f>
        <v/>
      </c>
    </row>
    <row r="18">
      <c r="A18" s="16" t="inlineStr">
        <is>
          <t>Median EV/EBITDA</t>
        </is>
      </c>
      <c r="B18" s="17" t="n"/>
    </row>
    <row r="19"/>
    <row r="20">
      <c r="A20" s="50" t="inlineStr">
        <is>
          <t>SECTION C — Target Company Valuation (Using EV/EBITDA)</t>
        </is>
      </c>
    </row>
    <row r="21" ht="15.5" customHeight="1" s="46">
      <c r="A21" s="19" t="inlineStr">
        <is>
          <t>Target Company</t>
        </is>
      </c>
      <c r="B21" s="11" t="inlineStr">
        <is>
          <t>GHI Pharma Pvt. Ltd.</t>
        </is>
      </c>
      <c r="D21" s="5" t="inlineStr">
        <is>
          <t>Using Average Multiple</t>
        </is>
      </c>
      <c r="G21" s="5" t="inlineStr">
        <is>
          <t>Using Median Multiple</t>
        </is>
      </c>
    </row>
    <row r="22">
      <c r="A22" s="19" t="inlineStr">
        <is>
          <t>Target EBITDA (₹ cr)</t>
        </is>
      </c>
      <c r="B22" s="20" t="n">
        <v>140</v>
      </c>
      <c r="D22" s="19" t="inlineStr">
        <is>
          <t>Implied EV (₹ cr)</t>
        </is>
      </c>
      <c r="E22" s="21">
        <f>B17*B22</f>
        <v/>
      </c>
      <c r="G22" s="19" t="inlineStr">
        <is>
          <t>Implied EV (₹ cr)</t>
        </is>
      </c>
      <c r="H22" s="21">
        <f>B18*B22</f>
        <v/>
      </c>
    </row>
    <row r="23">
      <c r="A23" s="19" t="inlineStr">
        <is>
          <t>Target Net Debt (₹ cr)</t>
        </is>
      </c>
      <c r="B23" s="20" t="n">
        <v>300</v>
      </c>
      <c r="D23" s="19" t="inlineStr">
        <is>
          <t>Implied Equity Value (₹ cr)</t>
        </is>
      </c>
      <c r="E23" s="21">
        <f>E22-B23</f>
        <v/>
      </c>
      <c r="G23" s="19" t="inlineStr">
        <is>
          <t>Implied Equity Value (₹ cr)</t>
        </is>
      </c>
      <c r="H23" s="21">
        <f>H22-B23</f>
        <v/>
      </c>
    </row>
    <row r="24">
      <c r="A24" s="19" t="inlineStr">
        <is>
          <t>Shares Outstanding (cr)</t>
        </is>
      </c>
      <c r="B24" s="22" t="n">
        <v>10</v>
      </c>
      <c r="D24" s="19" t="inlineStr">
        <is>
          <t>Implied Price per Share (₹)</t>
        </is>
      </c>
      <c r="E24" s="23">
        <f>(E23)/(B24)</f>
        <v/>
      </c>
      <c r="G24" s="19" t="inlineStr">
        <is>
          <t>Implied Price per Share (₹)</t>
        </is>
      </c>
      <c r="H24" s="23">
        <f>(H23)/(B24)</f>
        <v/>
      </c>
    </row>
    <row r="25"/>
    <row r="26">
      <c r="A26" s="50" t="inlineStr">
        <is>
          <t>SECTION D — Checks</t>
        </is>
      </c>
    </row>
    <row r="27" ht="87" customHeight="1" s="46">
      <c r="A27" s="24" t="inlineStr">
        <is>
          <t>Check 1: At least 3 deals included</t>
        </is>
      </c>
      <c r="B27" s="25">
        <f>IF(E17&gt;=3,"PASS","FAIL")</f>
        <v/>
      </c>
      <c r="D27" s="5" t="inlineStr">
        <is>
          <t>Case Status</t>
        </is>
      </c>
      <c r="E27" s="25">
        <f>IF(AND(B27="PASS",B28="PASS",B29="PASS"),"PASS","FAIL")</f>
        <v/>
      </c>
    </row>
    <row r="28" ht="87" customHeight="1" s="46">
      <c r="A28" s="24" t="inlineStr">
        <is>
          <t>Check 2: No DIV/0! in EV/EBITDA</t>
        </is>
      </c>
      <c r="B28" s="25">
        <f>IF(COUNTIF(N7:N14,"#DIV/0!")=0,"PASS","FAIL")</f>
        <v/>
      </c>
    </row>
    <row r="29" ht="130.5" customHeight="1" s="46">
      <c r="A29" s="24" t="inlineStr">
        <is>
          <t>Check 3: Included stakes between 0% and 100%</t>
        </is>
      </c>
      <c r="B29" s="25">
        <f>IF(SUMPRODUCT(--(J7:J14=1),--((E7:E14&lt;=0)+(E7:E14&gt;1)))=0,"PASS","FAIL")</f>
        <v/>
      </c>
    </row>
    <row r="30"/>
    <row r="31">
      <c r="A31" s="48" t="inlineStr">
        <is>
          <t>⬅ Back to INDEX</t>
        </is>
      </c>
    </row>
  </sheetData>
  <sheetProtection selectLockedCells="0" selectUnlockedCells="0" sheet="1" objects="1" insertRows="0" insertHyperlinks="1" autoFilter="0" scenarios="1" formatColumns="0" deleteColumns="0" insertColumns="0" pivotTables="0" deleteRows="0" formatCells="0" formatRows="0" sort="0" password="AE3A"/>
  <mergeCells count="7">
    <mergeCell ref="A3:N3"/>
    <mergeCell ref="A26:N26"/>
    <mergeCell ref="A20:N20"/>
    <mergeCell ref="A16:N16"/>
    <mergeCell ref="A5:N5"/>
    <mergeCell ref="A31:B31"/>
    <mergeCell ref="A1:N1"/>
  </mergeCells>
  <hyperlinks>
    <hyperlink ref="N2" location="'INDEX'!A1" display="⬅ Back to INDEX"/>
    <hyperlink ref="A31" location="'INDEX'!A1" display="⬅ Back to INDEX"/>
  </hyperlink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N31"/>
  <sheetViews>
    <sheetView topLeftCell="C1" workbookViewId="0">
      <selection activeCell="K7" sqref="K7"/>
    </sheetView>
  </sheetViews>
  <sheetFormatPr baseColWidth="8" defaultRowHeight="14.5"/>
  <cols>
    <col width="7" customWidth="1" style="46" min="1" max="1"/>
    <col width="26" customWidth="1" style="46" min="2" max="3"/>
    <col width="20" customWidth="1" style="46" min="4" max="4"/>
    <col width="10" customWidth="1" style="46" min="5" max="5"/>
    <col width="16" customWidth="1" style="46" min="6" max="9"/>
    <col width="12" customWidth="1" style="46" min="10" max="10"/>
    <col width="20" customWidth="1" style="46" min="11" max="12"/>
    <col width="12" customWidth="1" style="46" min="13" max="14"/>
  </cols>
  <sheetData>
    <row r="1" ht="21" customHeight="1" s="46">
      <c r="A1" s="45" t="inlineStr">
        <is>
          <t>CASE 4 — Normalising Partial Stake Deals to 100% Equity Value</t>
        </is>
      </c>
    </row>
    <row r="2">
      <c r="N2" s="9" t="inlineStr">
        <is>
          <t>⬅ Back to INDEX</t>
        </is>
      </c>
    </row>
    <row r="3">
      <c r="A3" s="49" t="inlineStr">
        <is>
          <t>Learning point: Scale partial stake deal values to 100% equity before computing EV multiples.</t>
        </is>
      </c>
    </row>
    <row r="4"/>
    <row r="5">
      <c r="A5" s="50" t="inlineStr">
        <is>
          <t>SECTION A — Comparable Transactions (Inputs)</t>
        </is>
      </c>
    </row>
    <row r="6" ht="29" customHeight="1" s="46">
      <c r="A6" s="1" t="inlineStr">
        <is>
          <t>Deal Ref</t>
        </is>
      </c>
      <c r="B6" s="1" t="inlineStr">
        <is>
          <t>Acquirer</t>
        </is>
      </c>
      <c r="C6" s="1" t="inlineStr">
        <is>
          <t>Target</t>
        </is>
      </c>
      <c r="D6" s="1" t="inlineStr">
        <is>
          <t>Deal Type</t>
        </is>
      </c>
      <c r="E6" s="1" t="inlineStr">
        <is>
          <t>Stake %</t>
        </is>
      </c>
      <c r="F6" s="1" t="inlineStr">
        <is>
          <t>Deal Value (₹ cr)</t>
        </is>
      </c>
      <c r="G6" s="1" t="inlineStr">
        <is>
          <t>Revenue (₹ cr)</t>
        </is>
      </c>
      <c r="H6" s="1" t="inlineStr">
        <is>
          <t>EBITDA (₹ cr)</t>
        </is>
      </c>
      <c r="I6" s="1" t="inlineStr">
        <is>
          <t>Net Debt (₹ cr)</t>
        </is>
      </c>
      <c r="J6" s="1" t="inlineStr">
        <is>
          <t>Include? (0/1)</t>
        </is>
      </c>
      <c r="K6" s="1" t="inlineStr">
        <is>
          <t>Equity Value @100% (₹ cr)</t>
        </is>
      </c>
      <c r="L6" s="1" t="inlineStr">
        <is>
          <t>Enterprise Value (₹ cr)</t>
        </is>
      </c>
      <c r="M6" s="1" t="inlineStr">
        <is>
          <t>EV/Revenue</t>
        </is>
      </c>
      <c r="N6" s="1" t="inlineStr">
        <is>
          <t>EV/EBITDA</t>
        </is>
      </c>
    </row>
    <row r="7">
      <c r="A7" s="10" t="inlineStr">
        <is>
          <t>D01</t>
        </is>
      </c>
      <c r="B7" s="11" t="inlineStr">
        <is>
          <t>L&amp;T Ltd.</t>
        </is>
      </c>
      <c r="C7" s="11" t="inlineStr">
        <is>
          <t>Eastern BuildCo Pvt. Ltd.</t>
        </is>
      </c>
      <c r="D7" s="11" t="inlineStr">
        <is>
          <t>Majority Stake</t>
        </is>
      </c>
      <c r="E7" s="12" t="n">
        <v>0.7</v>
      </c>
      <c r="F7" s="13" t="n">
        <v>1400</v>
      </c>
      <c r="G7" s="13" t="n">
        <v>2100</v>
      </c>
      <c r="H7" s="13" t="n">
        <v>260</v>
      </c>
      <c r="I7" s="13" t="n">
        <v>780</v>
      </c>
      <c r="J7" s="10" t="n">
        <v>1</v>
      </c>
      <c r="K7" s="14">
        <f>IF(J7=1,F7/(E7),"")</f>
        <v/>
      </c>
      <c r="L7" s="14">
        <f>IF(J7=1,K7+I7,"")</f>
        <v/>
      </c>
      <c r="M7" s="15">
        <f>IF(J7=1,L7/G7,"")</f>
        <v/>
      </c>
      <c r="N7" s="15">
        <f>IF(J7=1,L7/H7,"")</f>
        <v/>
      </c>
    </row>
    <row r="8">
      <c r="A8" s="10" t="inlineStr">
        <is>
          <t>D02</t>
        </is>
      </c>
      <c r="B8" s="11" t="inlineStr">
        <is>
          <t>GMR Group</t>
        </is>
      </c>
      <c r="C8" s="11" t="inlineStr">
        <is>
          <t>Skyline Infra Pvt. Ltd.</t>
        </is>
      </c>
      <c r="D8" s="11" t="inlineStr">
        <is>
          <t>Majority Stake</t>
        </is>
      </c>
      <c r="E8" s="12" t="n">
        <v>0.6</v>
      </c>
      <c r="F8" s="13" t="n">
        <v>1800</v>
      </c>
      <c r="G8" s="13" t="n">
        <v>2400</v>
      </c>
      <c r="H8" s="13" t="n">
        <v>300</v>
      </c>
      <c r="I8" s="13" t="n">
        <v>850</v>
      </c>
      <c r="J8" s="10" t="n">
        <v>1</v>
      </c>
      <c r="K8" s="14">
        <f>IF(J8=1,F8/(E8),"")</f>
        <v/>
      </c>
      <c r="L8" s="14">
        <f>IF(J8=1,K8+I8,"")</f>
        <v/>
      </c>
      <c r="M8" s="15">
        <f>IF(J8=1,L8/G8,"")</f>
        <v/>
      </c>
      <c r="N8" s="15">
        <f>IF(J8=1,L8/H8,"")</f>
        <v/>
      </c>
    </row>
    <row r="9">
      <c r="A9" s="10" t="inlineStr">
        <is>
          <t>D03</t>
        </is>
      </c>
      <c r="B9" s="11" t="inlineStr">
        <is>
          <t>Adani Infra</t>
        </is>
      </c>
      <c r="C9" s="11" t="inlineStr">
        <is>
          <t>MetroWorks Pvt. Ltd.</t>
        </is>
      </c>
      <c r="D9" s="11" t="inlineStr">
        <is>
          <t>Full Acquisition</t>
        </is>
      </c>
      <c r="E9" s="12" t="n">
        <v>1</v>
      </c>
      <c r="F9" s="13" t="n">
        <v>2200</v>
      </c>
      <c r="G9" s="13" t="n">
        <v>2800</v>
      </c>
      <c r="H9" s="13" t="n">
        <v>340</v>
      </c>
      <c r="I9" s="13" t="n">
        <v>920</v>
      </c>
      <c r="J9" s="10" t="n">
        <v>1</v>
      </c>
      <c r="K9" s="14">
        <f>IF(J9=1,F9/(E9),"")</f>
        <v/>
      </c>
      <c r="L9" s="14">
        <f>IF(J9=1,K9+I9,"")</f>
        <v/>
      </c>
      <c r="M9" s="15">
        <f>IF(J9=1,L9/G9,"")</f>
        <v/>
      </c>
      <c r="N9" s="15">
        <f>IF(J9=1,L9/H9,"")</f>
        <v/>
      </c>
    </row>
    <row r="10">
      <c r="A10" s="10" t="inlineStr">
        <is>
          <t>D04</t>
        </is>
      </c>
      <c r="B10" s="11" t="inlineStr">
        <is>
          <t>IRB Infrastructure</t>
        </is>
      </c>
      <c r="C10" s="11" t="inlineStr">
        <is>
          <t>RoadLink Pvt. Ltd.</t>
        </is>
      </c>
      <c r="D10" s="11" t="inlineStr">
        <is>
          <t>Majority Stake</t>
        </is>
      </c>
      <c r="E10" s="12" t="n">
        <v>0.55</v>
      </c>
      <c r="F10" s="13" t="n">
        <v>1250</v>
      </c>
      <c r="G10" s="13" t="n">
        <v>1900</v>
      </c>
      <c r="H10" s="13" t="n">
        <v>230</v>
      </c>
      <c r="I10" s="13" t="n">
        <v>700</v>
      </c>
      <c r="J10" s="10" t="n">
        <v>1</v>
      </c>
      <c r="K10" s="14">
        <f>IF(J10=1,F10/(E10),"")</f>
        <v/>
      </c>
      <c r="L10" s="14">
        <f>IF(J10=1,K10+I10,"")</f>
        <v/>
      </c>
      <c r="M10" s="15">
        <f>IF(J10=1,L10/G10,"")</f>
        <v/>
      </c>
      <c r="N10" s="15">
        <f>IF(J10=1,L10/H10,"")</f>
        <v/>
      </c>
    </row>
    <row r="11">
      <c r="A11" s="10" t="inlineStr">
        <is>
          <t>D05</t>
        </is>
      </c>
      <c r="B11" s="11" t="inlineStr">
        <is>
          <t>NCC Ltd.</t>
        </is>
      </c>
      <c r="C11" s="11" t="inlineStr">
        <is>
          <t>PowerBuild Pvt. Ltd.</t>
        </is>
      </c>
      <c r="D11" s="11" t="inlineStr">
        <is>
          <t>Full Acquisition</t>
        </is>
      </c>
      <c r="E11" s="12" t="n">
        <v>1</v>
      </c>
      <c r="F11" s="13" t="n">
        <v>2600</v>
      </c>
      <c r="G11" s="13" t="n">
        <v>3100</v>
      </c>
      <c r="H11" s="13" t="n">
        <v>380</v>
      </c>
      <c r="I11" s="13" t="n">
        <v>1050</v>
      </c>
      <c r="J11" s="10" t="n">
        <v>1</v>
      </c>
      <c r="K11" s="14">
        <f>IF(J11=1,F11/(E11),"")</f>
        <v/>
      </c>
      <c r="L11" s="14">
        <f>IF(J11=1,K11+I11,"")</f>
        <v/>
      </c>
      <c r="M11" s="15">
        <f>IF(J11=1,L11/G11,"")</f>
        <v/>
      </c>
      <c r="N11" s="15">
        <f>IF(J11=1,L11/H11,"")</f>
        <v/>
      </c>
    </row>
    <row r="12">
      <c r="A12" s="10" t="inlineStr">
        <is>
          <t>D06</t>
        </is>
      </c>
      <c r="B12" s="11" t="inlineStr">
        <is>
          <t>Dilip Buildcon</t>
        </is>
      </c>
      <c r="C12" s="11" t="inlineStr">
        <is>
          <t>UrbanConstruct Pvt. Ltd.</t>
        </is>
      </c>
      <c r="D12" s="11" t="inlineStr">
        <is>
          <t>Majority Stake</t>
        </is>
      </c>
      <c r="E12" s="12" t="n">
        <v>0.65</v>
      </c>
      <c r="F12" s="13" t="n">
        <v>1500</v>
      </c>
      <c r="G12" s="13" t="n">
        <v>2200</v>
      </c>
      <c r="H12" s="13" t="n">
        <v>270</v>
      </c>
      <c r="I12" s="13" t="n">
        <v>810</v>
      </c>
      <c r="J12" s="10" t="n">
        <v>1</v>
      </c>
      <c r="K12" s="14">
        <f>IF(J12=1,F12/(E12),"")</f>
        <v/>
      </c>
      <c r="L12" s="14">
        <f>IF(J12=1,K12+I12,"")</f>
        <v/>
      </c>
      <c r="M12" s="15">
        <f>IF(J12=1,L12/G12,"")</f>
        <v/>
      </c>
      <c r="N12" s="15">
        <f>IF(J12=1,L12/H12,"")</f>
        <v/>
      </c>
    </row>
    <row r="13">
      <c r="A13" s="10" t="inlineStr">
        <is>
          <t>D07</t>
        </is>
      </c>
      <c r="B13" s="11" t="inlineStr">
        <is>
          <t>Ashoka Buildcon</t>
        </is>
      </c>
      <c r="C13" s="11" t="inlineStr">
        <is>
          <t>Highway Systems Pvt. Ltd.</t>
        </is>
      </c>
      <c r="D13" s="11" t="inlineStr">
        <is>
          <t>Majority Stake</t>
        </is>
      </c>
      <c r="E13" s="12" t="n">
        <v>0.75</v>
      </c>
      <c r="F13" s="13" t="n">
        <v>1350</v>
      </c>
      <c r="G13" s="13" t="n">
        <v>2000</v>
      </c>
      <c r="H13" s="13" t="n">
        <v>250</v>
      </c>
      <c r="I13" s="13" t="n">
        <v>760</v>
      </c>
      <c r="J13" s="10" t="n">
        <v>1</v>
      </c>
      <c r="K13" s="14">
        <f>IF(J13=1,F13/(E13),"")</f>
        <v/>
      </c>
      <c r="L13" s="14">
        <f>IF(J13=1,K13+I13,"")</f>
        <v/>
      </c>
      <c r="M13" s="15">
        <f>IF(J13=1,L13/G13,"")</f>
        <v/>
      </c>
      <c r="N13" s="15">
        <f>IF(J13=1,L13/H13,"")</f>
        <v/>
      </c>
    </row>
    <row r="14">
      <c r="A14" s="10" t="inlineStr">
        <is>
          <t>D08</t>
        </is>
      </c>
      <c r="B14" s="11" t="inlineStr">
        <is>
          <t>Tata Projects</t>
        </is>
      </c>
      <c r="C14" s="11" t="inlineStr">
        <is>
          <t>InfraCore Pvt. Ltd.</t>
        </is>
      </c>
      <c r="D14" s="11" t="inlineStr">
        <is>
          <t>Full Acquisition</t>
        </is>
      </c>
      <c r="E14" s="12" t="n">
        <v>1</v>
      </c>
      <c r="F14" s="13" t="n">
        <v>2400</v>
      </c>
      <c r="G14" s="13" t="n">
        <v>2900</v>
      </c>
      <c r="H14" s="13" t="n">
        <v>360</v>
      </c>
      <c r="I14" s="13" t="n">
        <v>980</v>
      </c>
      <c r="J14" s="10" t="n">
        <v>1</v>
      </c>
      <c r="K14" s="14">
        <f>IF(J14=1,F14/(E14),"")</f>
        <v/>
      </c>
      <c r="L14" s="14">
        <f>IF(J14=1,K14+I14,"")</f>
        <v/>
      </c>
      <c r="M14" s="15">
        <f>IF(J14=1,L14/G14,"")</f>
        <v/>
      </c>
      <c r="N14" s="15">
        <f>IF(J14=1,L14/H14,"")</f>
        <v/>
      </c>
    </row>
    <row r="15"/>
    <row r="16">
      <c r="A16" s="50" t="inlineStr">
        <is>
          <t>SECTION B — Descriptive Statistics (Selected Deals Only)</t>
        </is>
      </c>
    </row>
    <row r="17">
      <c r="A17" s="16" t="inlineStr">
        <is>
          <t>Average EV/EBITDA</t>
        </is>
      </c>
      <c r="B17" s="17">
        <f>AVERAGEIF(J7:J14,1,N7:N14)</f>
        <v/>
      </c>
      <c r="D17" s="16" t="inlineStr">
        <is>
          <t>Included deals (count)</t>
        </is>
      </c>
      <c r="E17" s="18">
        <f>COUNTIF(J7:J14,1)</f>
        <v/>
      </c>
    </row>
    <row r="18">
      <c r="A18" s="16" t="inlineStr">
        <is>
          <t>Median EV/EBITDA</t>
        </is>
      </c>
      <c r="B18" s="17" t="n"/>
    </row>
    <row r="19"/>
    <row r="20">
      <c r="A20" s="50" t="inlineStr">
        <is>
          <t>SECTION C — Target Company Valuation (Using EV/EBITDA)</t>
        </is>
      </c>
    </row>
    <row r="21" ht="15.5" customHeight="1" s="46">
      <c r="A21" s="19" t="inlineStr">
        <is>
          <t>Target Company</t>
        </is>
      </c>
      <c r="B21" s="11" t="inlineStr">
        <is>
          <t>MNO Projects Pvt. Ltd.</t>
        </is>
      </c>
      <c r="D21" s="5" t="inlineStr">
        <is>
          <t>Using Average Multiple</t>
        </is>
      </c>
      <c r="G21" s="5" t="inlineStr">
        <is>
          <t>Using Median Multiple</t>
        </is>
      </c>
    </row>
    <row r="22">
      <c r="A22" s="19" t="inlineStr">
        <is>
          <t>Target EBITDA (₹ cr)</t>
        </is>
      </c>
      <c r="B22" s="20" t="n">
        <v>220</v>
      </c>
      <c r="D22" s="19" t="inlineStr">
        <is>
          <t>Implied EV (₹ cr)</t>
        </is>
      </c>
      <c r="E22" s="21">
        <f>B17*B22</f>
        <v/>
      </c>
      <c r="G22" s="19" t="inlineStr">
        <is>
          <t>Implied EV (₹ cr)</t>
        </is>
      </c>
      <c r="H22" s="21">
        <f>B18*B22</f>
        <v/>
      </c>
    </row>
    <row r="23">
      <c r="A23" s="19" t="inlineStr">
        <is>
          <t>Target Net Debt (₹ cr)</t>
        </is>
      </c>
      <c r="B23" s="20" t="n">
        <v>650</v>
      </c>
      <c r="D23" s="19" t="inlineStr">
        <is>
          <t>Implied Equity Value (₹ cr)</t>
        </is>
      </c>
      <c r="E23" s="21">
        <f>E22-B23</f>
        <v/>
      </c>
      <c r="G23" s="19" t="inlineStr">
        <is>
          <t>Implied Equity Value (₹ cr)</t>
        </is>
      </c>
      <c r="H23" s="21">
        <f>H22-B23</f>
        <v/>
      </c>
    </row>
    <row r="24">
      <c r="A24" s="19" t="inlineStr">
        <is>
          <t>Shares Outstanding (cr)</t>
        </is>
      </c>
      <c r="B24" s="22" t="n">
        <v>15</v>
      </c>
      <c r="D24" s="19" t="inlineStr">
        <is>
          <t>Implied Price per Share (₹)</t>
        </is>
      </c>
      <c r="E24" s="23">
        <f>(E23)/(B24)</f>
        <v/>
      </c>
      <c r="G24" s="19" t="inlineStr">
        <is>
          <t>Implied Price per Share (₹)</t>
        </is>
      </c>
      <c r="H24" s="23">
        <f>(H23)/(B24)</f>
        <v/>
      </c>
    </row>
    <row r="25"/>
    <row r="26">
      <c r="A26" s="50" t="inlineStr">
        <is>
          <t>SECTION D — Checks</t>
        </is>
      </c>
    </row>
    <row r="27" ht="87" customHeight="1" s="46">
      <c r="A27" s="24" t="inlineStr">
        <is>
          <t>Check 1: At least 3 deals included</t>
        </is>
      </c>
      <c r="B27" s="25">
        <f>IF(E17&gt;=3,"PASS","FAIL")</f>
        <v/>
      </c>
      <c r="D27" s="5" t="inlineStr">
        <is>
          <t>Case Status</t>
        </is>
      </c>
      <c r="E27" s="25">
        <f>IF(AND(B27="PASS",B28="PASS",B29="PASS"),"PASS","FAIL")</f>
        <v/>
      </c>
    </row>
    <row r="28" ht="87" customHeight="1" s="46">
      <c r="A28" s="24" t="inlineStr">
        <is>
          <t>Check 2: No DIV/0! in EV/EBITDA</t>
        </is>
      </c>
      <c r="B28" s="25">
        <f>IF(COUNTIF(N7:N14,"#DIV/0!")=0,"PASS","FAIL")</f>
        <v/>
      </c>
    </row>
    <row r="29" ht="130.5" customHeight="1" s="46">
      <c r="A29" s="24" t="inlineStr">
        <is>
          <t>Check 3: Included stakes between 0% and 100%</t>
        </is>
      </c>
      <c r="B29" s="25">
        <f>IF(SUMPRODUCT(--(J7:J14=1),--((E7:E14&lt;=0)+(E7:E14&gt;1)))=0,"PASS","FAIL")</f>
        <v/>
      </c>
    </row>
    <row r="30"/>
    <row r="31">
      <c r="A31" s="48" t="inlineStr">
        <is>
          <t>⬅ Back to INDEX</t>
        </is>
      </c>
    </row>
  </sheetData>
  <sheetProtection selectLockedCells="0" selectUnlockedCells="0" sheet="1" objects="1" insertRows="0" insertHyperlinks="1" autoFilter="0" scenarios="1" formatColumns="0" deleteColumns="0" insertColumns="0" pivotTables="0" deleteRows="0" formatCells="0" formatRows="0" sort="0" password="AE3A"/>
  <mergeCells count="7">
    <mergeCell ref="A3:N3"/>
    <mergeCell ref="A26:N26"/>
    <mergeCell ref="A20:N20"/>
    <mergeCell ref="A16:N16"/>
    <mergeCell ref="A5:N5"/>
    <mergeCell ref="A31:B31"/>
    <mergeCell ref="A1:N1"/>
  </mergeCells>
  <hyperlinks>
    <hyperlink ref="N2" location="'INDEX'!A1" display="⬅ Back to INDEX"/>
    <hyperlink ref="A31" location="'INDEX'!A1" display="⬅ Back to INDEX"/>
  </hyperlink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N31"/>
  <sheetViews>
    <sheetView topLeftCell="E1" workbookViewId="0">
      <selection activeCell="A1" sqref="A1:XFD1048576"/>
    </sheetView>
  </sheetViews>
  <sheetFormatPr baseColWidth="8" defaultRowHeight="14.5"/>
  <cols>
    <col width="7" customWidth="1" style="46" min="1" max="1"/>
    <col width="26" customWidth="1" style="46" min="2" max="3"/>
    <col width="20" customWidth="1" style="46" min="4" max="4"/>
    <col width="10" customWidth="1" style="46" min="5" max="5"/>
    <col width="16" customWidth="1" style="46" min="6" max="9"/>
    <col width="12" customWidth="1" style="46" min="10" max="10"/>
    <col width="20" customWidth="1" style="46" min="11" max="12"/>
    <col width="12" customWidth="1" style="46" min="13" max="14"/>
  </cols>
  <sheetData>
    <row r="1" ht="21" customHeight="1" s="46">
      <c r="A1" s="45" t="inlineStr">
        <is>
          <t>CASE 5 — Integrated PTM (Judgment + Selection)</t>
        </is>
      </c>
    </row>
    <row r="2">
      <c r="N2" s="9" t="inlineStr">
        <is>
          <t>⬅ Back to INDEX</t>
        </is>
      </c>
    </row>
    <row r="3">
      <c r="A3" s="49" t="inlineStr">
        <is>
          <t>Learning point: PTM requires judgment: select deals, compute multiples, interpret outputs.</t>
        </is>
      </c>
    </row>
    <row r="4"/>
    <row r="5">
      <c r="A5" s="50" t="inlineStr">
        <is>
          <t>SECTION A — Comparable Transactions (Inputs)</t>
        </is>
      </c>
    </row>
    <row r="6" ht="29" customHeight="1" s="46">
      <c r="A6" s="1" t="inlineStr">
        <is>
          <t>Deal Ref</t>
        </is>
      </c>
      <c r="B6" s="1" t="inlineStr">
        <is>
          <t>Acquirer</t>
        </is>
      </c>
      <c r="C6" s="1" t="inlineStr">
        <is>
          <t>Target</t>
        </is>
      </c>
      <c r="D6" s="1" t="inlineStr">
        <is>
          <t>Deal Type</t>
        </is>
      </c>
      <c r="E6" s="1" t="inlineStr">
        <is>
          <t>Stake %</t>
        </is>
      </c>
      <c r="F6" s="1" t="inlineStr">
        <is>
          <t>Deal Value (₹ cr)</t>
        </is>
      </c>
      <c r="G6" s="1" t="inlineStr">
        <is>
          <t>Revenue (₹ cr)</t>
        </is>
      </c>
      <c r="H6" s="1" t="inlineStr">
        <is>
          <t>EBITDA (₹ cr)</t>
        </is>
      </c>
      <c r="I6" s="1" t="inlineStr">
        <is>
          <t>Net Debt (₹ cr)</t>
        </is>
      </c>
      <c r="J6" s="1" t="inlineStr">
        <is>
          <t>Include? (0/1)</t>
        </is>
      </c>
      <c r="K6" s="1" t="inlineStr">
        <is>
          <t>Equity Value @100% (₹ cr)</t>
        </is>
      </c>
      <c r="L6" s="1" t="inlineStr">
        <is>
          <t>Enterprise Value (₹ cr)</t>
        </is>
      </c>
      <c r="M6" s="1" t="inlineStr">
        <is>
          <t>EV/Revenue</t>
        </is>
      </c>
      <c r="N6" s="1" t="inlineStr">
        <is>
          <t>EV/EBITDA</t>
        </is>
      </c>
    </row>
    <row r="7">
      <c r="A7" s="10" t="inlineStr">
        <is>
          <t>D01</t>
        </is>
      </c>
      <c r="B7" s="11" t="inlineStr">
        <is>
          <t>Hindustan Unilever</t>
        </is>
      </c>
      <c r="C7" s="11" t="inlineStr">
        <is>
          <t>FreshHarvest Foods Pvt. Ltd.</t>
        </is>
      </c>
      <c r="D7" s="11" t="inlineStr">
        <is>
          <t>Premium Brand</t>
        </is>
      </c>
      <c r="E7" s="12" t="n">
        <v>1</v>
      </c>
      <c r="F7" s="13" t="n">
        <v>1600</v>
      </c>
      <c r="G7" s="13" t="n">
        <v>1450</v>
      </c>
      <c r="H7" s="13" t="n">
        <v>170</v>
      </c>
      <c r="I7" s="13" t="n">
        <v>220</v>
      </c>
      <c r="J7" s="10" t="n">
        <v>1</v>
      </c>
      <c r="K7" s="14">
        <f>IF(J7=1,F7/(E7),"")</f>
        <v/>
      </c>
      <c r="L7" s="14">
        <f>IF(J7=1,K7+I7,"")</f>
        <v/>
      </c>
      <c r="M7" s="15">
        <f>IF(J7=1,L7/G7,"")</f>
        <v/>
      </c>
      <c r="N7" s="15">
        <f>IF(J7=1,L7/H7,"")</f>
        <v/>
      </c>
    </row>
    <row r="8">
      <c r="A8" s="10" t="inlineStr">
        <is>
          <t>D02</t>
        </is>
      </c>
      <c r="B8" s="11" t="inlineStr">
        <is>
          <t>ITC Ltd.</t>
        </is>
      </c>
      <c r="C8" s="11" t="inlineStr">
        <is>
          <t>DailyGrain Foods Pvt. Ltd.</t>
        </is>
      </c>
      <c r="D8" s="11" t="inlineStr">
        <is>
          <t>Distressed</t>
        </is>
      </c>
      <c r="E8" s="12" t="n">
        <v>1</v>
      </c>
      <c r="F8" s="13" t="n">
        <v>1100</v>
      </c>
      <c r="G8" s="13" t="n">
        <v>1200</v>
      </c>
      <c r="H8" s="13" t="n">
        <v>140</v>
      </c>
      <c r="I8" s="13" t="n">
        <v>190</v>
      </c>
      <c r="J8" s="10" t="n">
        <v>1</v>
      </c>
      <c r="K8" s="14">
        <f>IF(J8=1,F8/(E8),"")</f>
        <v/>
      </c>
      <c r="L8" s="14">
        <f>IF(J8=1,K8+I8,"")</f>
        <v/>
      </c>
      <c r="M8" s="15">
        <f>IF(J8=1,L8/G8,"")</f>
        <v/>
      </c>
      <c r="N8" s="15">
        <f>IF(J8=1,L8/H8,"")</f>
        <v/>
      </c>
    </row>
    <row r="9">
      <c r="A9" s="10" t="inlineStr">
        <is>
          <t>D03</t>
        </is>
      </c>
      <c r="B9" s="11" t="inlineStr">
        <is>
          <t>Nestlé India</t>
        </is>
      </c>
      <c r="C9" s="11" t="inlineStr">
        <is>
          <t>NutriChoice Pvt. Ltd.</t>
        </is>
      </c>
      <c r="D9" s="11" t="inlineStr">
        <is>
          <t>Strategic</t>
        </is>
      </c>
      <c r="E9" s="12" t="n">
        <v>1</v>
      </c>
      <c r="F9" s="13" t="n">
        <v>1900</v>
      </c>
      <c r="G9" s="13" t="n">
        <v>1650</v>
      </c>
      <c r="H9" s="13" t="n">
        <v>185</v>
      </c>
      <c r="I9" s="13" t="n">
        <v>260</v>
      </c>
      <c r="J9" s="10" t="n">
        <v>1</v>
      </c>
      <c r="K9" s="14">
        <f>IF(J9=1,F9/(E9),"")</f>
        <v/>
      </c>
      <c r="L9" s="14">
        <f>IF(J9=1,K9+I9,"")</f>
        <v/>
      </c>
      <c r="M9" s="15">
        <f>IF(J9=1,L9/G9,"")</f>
        <v/>
      </c>
      <c r="N9" s="15">
        <f>IF(J9=1,L9/H9,"")</f>
        <v/>
      </c>
    </row>
    <row r="10">
      <c r="A10" s="10" t="inlineStr">
        <is>
          <t>D04</t>
        </is>
      </c>
      <c r="B10" s="11" t="inlineStr">
        <is>
          <t>Britannia Industries</t>
        </is>
      </c>
      <c r="C10" s="11" t="inlineStr">
        <is>
          <t>RoyalTaste Foods Pvt. Ltd.</t>
        </is>
      </c>
      <c r="D10" s="11" t="inlineStr">
        <is>
          <t>Premium Brand</t>
        </is>
      </c>
      <c r="E10" s="12" t="n">
        <v>1</v>
      </c>
      <c r="F10" s="13" t="n">
        <v>2300</v>
      </c>
      <c r="G10" s="13" t="n">
        <v>1900</v>
      </c>
      <c r="H10" s="13" t="n">
        <v>210</v>
      </c>
      <c r="I10" s="13" t="n">
        <v>300</v>
      </c>
      <c r="J10" s="10" t="n">
        <v>1</v>
      </c>
      <c r="K10" s="14">
        <f>IF(J10=1,F10/(E10),"")</f>
        <v/>
      </c>
      <c r="L10" s="14">
        <f>IF(J10=1,K10+I10,"")</f>
        <v/>
      </c>
      <c r="M10" s="15">
        <f>IF(J10=1,L10/G10,"")</f>
        <v/>
      </c>
      <c r="N10" s="15">
        <f>IF(J10=1,L10/H10,"")</f>
        <v/>
      </c>
    </row>
    <row r="11" ht="29" customHeight="1" s="46">
      <c r="A11" s="10" t="inlineStr">
        <is>
          <t>D05</t>
        </is>
      </c>
      <c r="B11" s="11" t="inlineStr">
        <is>
          <t>Blackstone India</t>
        </is>
      </c>
      <c r="C11" s="11" t="inlineStr">
        <is>
          <t>FoodBasket Pvt. Ltd.</t>
        </is>
      </c>
      <c r="D11" s="11" t="inlineStr">
        <is>
          <t>Leveraged Buyout (LBO)</t>
        </is>
      </c>
      <c r="E11" s="12" t="n">
        <v>0.75</v>
      </c>
      <c r="F11" s="13" t="n">
        <v>1250</v>
      </c>
      <c r="G11" s="13" t="n">
        <v>1300</v>
      </c>
      <c r="H11" s="13" t="n">
        <v>150</v>
      </c>
      <c r="I11" s="13" t="n">
        <v>200</v>
      </c>
      <c r="J11" s="10" t="n">
        <v>1</v>
      </c>
      <c r="K11" s="14">
        <f>IF(J11=1,F11/(E11),"")</f>
        <v/>
      </c>
      <c r="L11" s="14">
        <f>IF(J11=1,K11+I11,"")</f>
        <v/>
      </c>
      <c r="M11" s="15">
        <f>IF(J11=1,L11/G11,"")</f>
        <v/>
      </c>
      <c r="N11" s="15">
        <f>IF(J11=1,L11/H11,"")</f>
        <v/>
      </c>
    </row>
    <row r="12">
      <c r="A12" s="10" t="inlineStr">
        <is>
          <t>D06</t>
        </is>
      </c>
      <c r="B12" s="11" t="inlineStr">
        <is>
          <t>Marico Ltd.</t>
        </is>
      </c>
      <c r="C12" s="11" t="inlineStr">
        <is>
          <t>HomeDelights Pvt. Ltd.</t>
        </is>
      </c>
      <c r="D12" s="11" t="inlineStr">
        <is>
          <t>Strategic</t>
        </is>
      </c>
      <c r="E12" s="12" t="n">
        <v>1</v>
      </c>
      <c r="F12" s="13" t="n">
        <v>1450</v>
      </c>
      <c r="G12" s="13" t="n">
        <v>1400</v>
      </c>
      <c r="H12" s="13" t="n">
        <v>165</v>
      </c>
      <c r="I12" s="13" t="n">
        <v>230</v>
      </c>
      <c r="J12" s="10" t="n">
        <v>1</v>
      </c>
      <c r="K12" s="14">
        <f>IF(J12=1,F12/(E12),"")</f>
        <v/>
      </c>
      <c r="L12" s="14">
        <f>IF(J12=1,K12+I12,"")</f>
        <v/>
      </c>
      <c r="M12" s="15">
        <f>IF(J12=1,L12/G12,"")</f>
        <v/>
      </c>
      <c r="N12" s="15">
        <f>IF(J12=1,L12/H12,"")</f>
        <v/>
      </c>
    </row>
    <row r="13">
      <c r="A13" s="10" t="inlineStr">
        <is>
          <t>D07</t>
        </is>
      </c>
      <c r="B13" s="11" t="inlineStr">
        <is>
          <t>Dabur India</t>
        </is>
      </c>
      <c r="C13" s="11" t="inlineStr">
        <is>
          <t>NatureFoods Pvt. Ltd.</t>
        </is>
      </c>
      <c r="D13" s="11" t="inlineStr">
        <is>
          <t>Strategic</t>
        </is>
      </c>
      <c r="E13" s="12" t="n">
        <v>1</v>
      </c>
      <c r="F13" s="13" t="n">
        <v>2100</v>
      </c>
      <c r="G13" s="13" t="n">
        <v>1800</v>
      </c>
      <c r="H13" s="13" t="n">
        <v>195</v>
      </c>
      <c r="I13" s="13" t="n">
        <v>280</v>
      </c>
      <c r="J13" s="10" t="n">
        <v>1</v>
      </c>
      <c r="K13" s="14">
        <f>IF(J13=1,F13/(E13),"")</f>
        <v/>
      </c>
      <c r="L13" s="14">
        <f>IF(J13=1,K13+I13,"")</f>
        <v/>
      </c>
      <c r="M13" s="15">
        <f>IF(J13=1,L13/G13,"")</f>
        <v/>
      </c>
      <c r="N13" s="15">
        <f>IF(J13=1,L13/H13,"")</f>
        <v/>
      </c>
    </row>
    <row r="14">
      <c r="A14" s="10" t="inlineStr">
        <is>
          <t>D08</t>
        </is>
      </c>
      <c r="B14" s="11" t="inlineStr">
        <is>
          <t>Godrej Consumer</t>
        </is>
      </c>
      <c r="C14" s="11" t="inlineStr">
        <is>
          <t>TasteHub Pvt. Ltd.</t>
        </is>
      </c>
      <c r="D14" s="11" t="inlineStr">
        <is>
          <t>Majority Stake</t>
        </is>
      </c>
      <c r="E14" s="12" t="n">
        <v>0.6</v>
      </c>
      <c r="F14" s="13" t="n">
        <v>1300</v>
      </c>
      <c r="G14" s="13" t="n">
        <v>1350</v>
      </c>
      <c r="H14" s="13" t="n">
        <v>155</v>
      </c>
      <c r="I14" s="13" t="n">
        <v>210</v>
      </c>
      <c r="J14" s="10" t="n">
        <v>1</v>
      </c>
      <c r="K14" s="14">
        <f>IF(J14=1,F14/(E14),"")</f>
        <v/>
      </c>
      <c r="L14" s="14">
        <f>IF(J14=1,K14+I14,"")</f>
        <v/>
      </c>
      <c r="M14" s="15">
        <f>IF(J14=1,L14/G14,"")</f>
        <v/>
      </c>
      <c r="N14" s="15">
        <f>IF(J14=1,L14/H14,"")</f>
        <v/>
      </c>
    </row>
    <row r="15"/>
    <row r="16">
      <c r="A16" s="50" t="inlineStr">
        <is>
          <t>SECTION B — Descriptive Statistics (Selected Deals Only)</t>
        </is>
      </c>
    </row>
    <row r="17">
      <c r="A17" s="16" t="inlineStr">
        <is>
          <t>Average EV/EBITDA</t>
        </is>
      </c>
      <c r="B17" s="17">
        <f>AVERAGEIF(J7:J14,1,N7:N14)</f>
        <v/>
      </c>
      <c r="D17" s="16" t="inlineStr">
        <is>
          <t>Included deals (count)</t>
        </is>
      </c>
      <c r="E17" s="18">
        <f>COUNTIF(J7:J14,1)</f>
        <v/>
      </c>
    </row>
    <row r="18">
      <c r="A18" s="16" t="inlineStr">
        <is>
          <t>Median EV/EBITDA</t>
        </is>
      </c>
      <c r="B18" s="17" t="n"/>
    </row>
    <row r="19"/>
    <row r="20">
      <c r="A20" s="50" t="inlineStr">
        <is>
          <t>SECTION C — Target Company Valuation (Using EV/EBITDA)</t>
        </is>
      </c>
    </row>
    <row r="21" ht="15.5" customHeight="1" s="46">
      <c r="A21" s="19" t="inlineStr">
        <is>
          <t>Target Company</t>
        </is>
      </c>
      <c r="B21" s="11" t="inlineStr">
        <is>
          <t>UVW Foods Pvt. Ltd.</t>
        </is>
      </c>
      <c r="D21" s="5" t="inlineStr">
        <is>
          <t>Using Average Multiple</t>
        </is>
      </c>
      <c r="G21" s="5" t="inlineStr">
        <is>
          <t>Using Median Multiple</t>
        </is>
      </c>
    </row>
    <row r="22">
      <c r="A22" s="19" t="inlineStr">
        <is>
          <t>Target EBITDA (₹ cr)</t>
        </is>
      </c>
      <c r="B22" s="20" t="n">
        <v>125</v>
      </c>
      <c r="D22" s="19" t="inlineStr">
        <is>
          <t>Implied EV (₹ cr)</t>
        </is>
      </c>
      <c r="E22" s="21">
        <f>B17*B22</f>
        <v/>
      </c>
      <c r="G22" s="19" t="inlineStr">
        <is>
          <t>Implied EV (₹ cr)</t>
        </is>
      </c>
      <c r="H22" s="21">
        <f>B18*B22</f>
        <v/>
      </c>
    </row>
    <row r="23">
      <c r="A23" s="19" t="inlineStr">
        <is>
          <t>Target Net Debt (₹ cr)</t>
        </is>
      </c>
      <c r="B23" s="20" t="n">
        <v>180</v>
      </c>
      <c r="D23" s="19" t="inlineStr">
        <is>
          <t>Implied Equity Value (₹ cr)</t>
        </is>
      </c>
      <c r="E23" s="21">
        <f>E22-B23</f>
        <v/>
      </c>
      <c r="G23" s="19" t="inlineStr">
        <is>
          <t>Implied Equity Value (₹ cr)</t>
        </is>
      </c>
      <c r="H23" s="21">
        <f>H22-B23</f>
        <v/>
      </c>
    </row>
    <row r="24">
      <c r="A24" s="19" t="inlineStr">
        <is>
          <t>Shares Outstanding (cr)</t>
        </is>
      </c>
      <c r="B24" s="22" t="n">
        <v>8</v>
      </c>
      <c r="D24" s="19" t="inlineStr">
        <is>
          <t>Implied Price per Share (₹)</t>
        </is>
      </c>
      <c r="E24" s="23">
        <f>(E23)/(B24)</f>
        <v/>
      </c>
      <c r="G24" s="19" t="inlineStr">
        <is>
          <t>Implied Price per Share (₹)</t>
        </is>
      </c>
      <c r="H24" s="23">
        <f>(H23)/(B24)</f>
        <v/>
      </c>
    </row>
    <row r="25"/>
    <row r="26">
      <c r="A26" s="50" t="inlineStr">
        <is>
          <t>SECTION D — Checks</t>
        </is>
      </c>
    </row>
    <row r="27" ht="87" customHeight="1" s="46">
      <c r="A27" s="24" t="inlineStr">
        <is>
          <t>Check 1: At least 3 deals included</t>
        </is>
      </c>
      <c r="B27" s="25">
        <f>IF(E17&gt;=3,"PASS","FAIL")</f>
        <v/>
      </c>
      <c r="D27" s="5" t="inlineStr">
        <is>
          <t>Case Status</t>
        </is>
      </c>
      <c r="E27" s="25">
        <f>IF(AND(B27="PASS",B28="PASS",B29="PASS"),"PASS","FAIL")</f>
        <v/>
      </c>
    </row>
    <row r="28" ht="87" customHeight="1" s="46">
      <c r="A28" s="24" t="inlineStr">
        <is>
          <t>Check 2: No DIV/0! in EV/EBITDA</t>
        </is>
      </c>
      <c r="B28" s="25">
        <f>IF(COUNTIF(N7:N14,"#DIV/0!")=0,"PASS","FAIL")</f>
        <v/>
      </c>
    </row>
    <row r="29" ht="130.5" customHeight="1" s="46">
      <c r="A29" s="24" t="inlineStr">
        <is>
          <t>Check 3: Included stakes between 0% and 100%</t>
        </is>
      </c>
      <c r="B29" s="25">
        <f>IF(SUMPRODUCT(--(J7:J14=1),--((E7:E14&lt;=0)+(E7:E14&gt;1)))=0,"PASS","FAIL")</f>
        <v/>
      </c>
    </row>
    <row r="30"/>
    <row r="31">
      <c r="A31" s="48" t="inlineStr">
        <is>
          <t>⬅ Back to INDEX</t>
        </is>
      </c>
    </row>
  </sheetData>
  <sheetProtection selectLockedCells="0" selectUnlockedCells="0" sheet="1" objects="1" insertRows="0" insertHyperlinks="1" autoFilter="0" scenarios="1" formatColumns="0" deleteColumns="0" insertColumns="0" pivotTables="0" deleteRows="0" formatCells="0" formatRows="0" sort="0" password="AE3A"/>
  <mergeCells count="7">
    <mergeCell ref="A3:N3"/>
    <mergeCell ref="A26:N26"/>
    <mergeCell ref="A20:N20"/>
    <mergeCell ref="A16:N16"/>
    <mergeCell ref="A5:N5"/>
    <mergeCell ref="A31:B31"/>
    <mergeCell ref="A1:N1"/>
  </mergeCells>
  <hyperlinks>
    <hyperlink ref="N2" location="'INDEX'!A1" display="⬅ Back to INDEX"/>
    <hyperlink ref="A31" location="'INDEX'!A1" display="⬅ Back to INDEX"/>
  </hyperlink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2"/>
  <sheetViews>
    <sheetView workbookViewId="0">
      <selection activeCell="F7" sqref="F7"/>
    </sheetView>
  </sheetViews>
  <sheetFormatPr baseColWidth="8" defaultRowHeight="14.5"/>
  <cols>
    <col width="10" customWidth="1" style="46" min="1" max="1"/>
    <col width="34" customWidth="1" style="46" min="2" max="2"/>
    <col width="16" customWidth="1" style="46" min="3" max="4"/>
    <col width="18" customWidth="1" style="46" min="5" max="5"/>
    <col width="12" customWidth="1" style="46" min="6" max="6"/>
  </cols>
  <sheetData>
    <row r="1" ht="21" customHeight="1" s="46">
      <c r="A1" s="45" t="inlineStr">
        <is>
          <t>Workbook Checks Summary</t>
        </is>
      </c>
    </row>
    <row r="2"/>
    <row r="3">
      <c r="A3" s="1" t="inlineStr">
        <is>
          <t>Case</t>
        </is>
      </c>
      <c r="B3" s="1" t="inlineStr">
        <is>
          <t>Sheet (click to open)</t>
        </is>
      </c>
      <c r="C3" s="1" t="inlineStr">
        <is>
          <t>Included Deals</t>
        </is>
      </c>
      <c r="D3" s="1" t="inlineStr">
        <is>
          <t>Avg EV/EBITDA</t>
        </is>
      </c>
      <c r="E3" s="1" t="inlineStr">
        <is>
          <t>Median EV/EBITDA</t>
        </is>
      </c>
      <c r="F3" s="1" t="inlineStr">
        <is>
          <t>Status</t>
        </is>
      </c>
    </row>
    <row r="4">
      <c r="A4" s="2" t="inlineStr">
        <is>
          <t>Case 1</t>
        </is>
      </c>
      <c r="B4" s="26" t="inlineStr">
        <is>
          <t>CASE_1_ControlPremium_100pct</t>
        </is>
      </c>
      <c r="C4" s="27">
        <f>CASE_1_ControlPremium_100pct!E17</f>
        <v/>
      </c>
      <c r="D4" s="28">
        <f>CASE_1_ControlPremium_100pct!B17</f>
        <v/>
      </c>
      <c r="E4" s="28">
        <f>CASE_1_ControlPremium_100pct!B18</f>
        <v/>
      </c>
      <c r="F4" s="2">
        <f>CASE_1_ControlPremium_100pct!E27</f>
        <v/>
      </c>
    </row>
    <row r="5">
      <c r="A5" s="2" t="inlineStr">
        <is>
          <t>Case 2</t>
        </is>
      </c>
      <c r="B5" s="26" t="inlineStr">
        <is>
          <t>CASE_2_DealSelection_Include01</t>
        </is>
      </c>
      <c r="C5" s="27">
        <f>CASE_2_DealSelection_Include01!E17</f>
        <v/>
      </c>
      <c r="D5" s="28">
        <f>CASE_2_DealSelection_Include01!B17</f>
        <v/>
      </c>
      <c r="E5" s="28">
        <f>CASE_2_DealSelection_Include01!B18</f>
        <v/>
      </c>
      <c r="F5" s="2">
        <f>CASE_2_DealSelection_Include01!E27</f>
        <v/>
      </c>
    </row>
    <row r="6">
      <c r="A6" s="2" t="inlineStr">
        <is>
          <t>Case 3</t>
        </is>
      </c>
      <c r="B6" s="26" t="inlineStr">
        <is>
          <t>CASE_3_AvgVsMedian_Outliers</t>
        </is>
      </c>
      <c r="C6" s="27">
        <f>CASE_3_AvgVsMedian_Outliers!E17</f>
        <v/>
      </c>
      <c r="D6" s="28">
        <f>CASE_3_AvgVsMedian_Outliers!B17</f>
        <v/>
      </c>
      <c r="E6" s="28">
        <f>CASE_3_AvgVsMedian_Outliers!B18</f>
        <v/>
      </c>
      <c r="F6" s="2">
        <f>CASE_3_AvgVsMedian_Outliers!E27</f>
        <v/>
      </c>
    </row>
    <row r="7">
      <c r="A7" s="2" t="inlineStr">
        <is>
          <t>Case 4</t>
        </is>
      </c>
      <c r="B7" s="26" t="inlineStr">
        <is>
          <t>CASE_4_PartialStake_Normalization</t>
        </is>
      </c>
      <c r="C7" s="27">
        <f>CASE_4_PartialStake_Normalizati!E17</f>
        <v/>
      </c>
      <c r="D7" s="28">
        <f>CASE_4_PartialStake_Normalizati!B17</f>
        <v/>
      </c>
      <c r="E7" s="28">
        <f>CASE_4_PartialStake_Normalizati!B18</f>
        <v/>
      </c>
      <c r="F7" s="28">
        <f>CASE_4_PartialStake_Normalizati!E27</f>
        <v/>
      </c>
    </row>
    <row r="8">
      <c r="A8" s="2" t="inlineStr">
        <is>
          <t>Case 5</t>
        </is>
      </c>
      <c r="B8" s="26" t="inlineStr">
        <is>
          <t>CASE_5_Judgment_Integrated</t>
        </is>
      </c>
      <c r="C8" s="27">
        <f>CASE_5_Judgment_Integrated!E17</f>
        <v/>
      </c>
      <c r="D8" s="28">
        <f>CASE_5_Judgment_Integrated!B17</f>
        <v/>
      </c>
      <c r="E8" s="28">
        <f>CASE_5_Judgment_Integrated!B18</f>
        <v/>
      </c>
      <c r="F8" s="2">
        <f>CASE_5_Judgment_Integrated!E27</f>
        <v/>
      </c>
    </row>
    <row r="9"/>
    <row r="10"/>
    <row r="11"/>
    <row r="12">
      <c r="A12" s="47" t="inlineStr">
        <is>
          <t>Unit note: Deal values, Revenue, EBITDA, Net Debt are in ₹ crore; Shares Outstanding is in crore shares.</t>
        </is>
      </c>
    </row>
  </sheetData>
  <sheetProtection selectLockedCells="0" selectUnlockedCells="0" sheet="1" objects="1" insertRows="0" insertHyperlinks="1" autoFilter="0" scenarios="1" formatColumns="0" deleteColumns="0" insertColumns="0" pivotTables="0" deleteRows="0" formatCells="0" formatRows="0" sort="0" password="AE3A"/>
  <mergeCells count="2">
    <mergeCell ref="A1:F1"/>
    <mergeCell ref="A12:F12"/>
  </mergeCells>
  <hyperlinks>
    <hyperlink ref="B4" location="'CASE_1_ControlPremium_100pct'!A1" display="CASE_1_ControlPremium_100pct"/>
    <hyperlink ref="B5" location="'CASE_2_DealSelection_Include01'!A1" display="CASE_2_DealSelection_Include01"/>
    <hyperlink ref="B6" location="'CASE_3_AvgVsMedian_Outliers'!A1" display="CASE_3_AvgVsMedian_Outliers"/>
    <hyperlink ref="B7" location="'CASE_4_PartialStake_Normalization'!A1" display="CASE_4_PartialStake_Normalization"/>
    <hyperlink ref="B8" location="'CASE_5_Judgment_Integrated'!A1" display="CASE_5_Judgment_Integrated"/>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2025-12-23T10:51:11Z</dcterms:created>
  <dcterms:modified xmlns:dcterms="http://purl.org/dc/terms/" xmlns:xsi="http://www.w3.org/2001/XMLSchema-instance" xsi:type="dcterms:W3CDTF">2026-01-02T06:38:46Z</dcterms:modified>
  <cp:lastModifiedBy>srikanthyadav444p</cp:lastModifiedBy>
</cp:coreProperties>
</file>