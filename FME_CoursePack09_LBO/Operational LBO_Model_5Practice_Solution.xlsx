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workbookPassword="AE3A" lockStructure="1"/>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CoverPage" sheetId="1" state="visible" r:id="rId1"/>
    <sheet xmlns:r="http://schemas.openxmlformats.org/officeDocument/2006/relationships" name="Operational_LBO_Model" sheetId="2" state="visible" r:id="rId2"/>
  </sheets>
  <definedNames/>
  <calcPr calcId="191029" fullCalcOnLoad="1"/>
</workbook>
</file>

<file path=xl/styles.xml><?xml version="1.0" encoding="utf-8"?>
<styleSheet xmlns="http://schemas.openxmlformats.org/spreadsheetml/2006/main">
  <numFmts count="3">
    <numFmt numFmtId="164" formatCode="_ [$₹-4009]\ * #,##0.00_ ;_ [$₹-4009]\ * \-#,##0.00_ ;_ [$₹-4009]\ * &quot;-&quot;??_ ;_ @_ "/>
    <numFmt numFmtId="165" formatCode="0\ &quot;Times&quot;"/>
    <numFmt numFmtId="166" formatCode="_ [$₹-4009]\ * #,##0_ ;_ [$₹-4009]\ * \-#,##0_ ;_ [$₹-4009]\ * &quot;-&quot;??_ ;_ @_ "/>
  </numFmts>
  <fonts count="17">
    <font>
      <name val="Calibri"/>
      <family val="2"/>
      <color theme="1"/>
      <sz val="11"/>
      <scheme val="minor"/>
    </font>
    <font>
      <name val="Calibri"/>
      <family val="2"/>
      <color theme="1"/>
      <sz val="11"/>
      <scheme val="minor"/>
    </font>
    <font>
      <name val="Yu Gothic"/>
      <family val="2"/>
      <b val="1"/>
      <sz val="10"/>
    </font>
    <font>
      <name val="Yu Gothic UI"/>
      <family val="2"/>
      <b val="1"/>
      <sz val="11"/>
    </font>
    <font>
      <name val="Yu Gothic UI"/>
      <family val="2"/>
      <sz val="11"/>
    </font>
    <font>
      <name val="Yu Gothic"/>
      <family val="2"/>
      <sz val="10"/>
    </font>
    <font>
      <name val="Yu Gothic UI"/>
      <family val="2"/>
      <sz val="10"/>
    </font>
    <font>
      <name val="Yu Gothic UI"/>
      <family val="2"/>
      <b val="1"/>
      <sz val="10"/>
    </font>
    <font>
      <name val="Yu Gothic UI Semibold"/>
      <family val="2"/>
      <sz val="10"/>
    </font>
    <font>
      <name val="Yu Gothic UI Semibold"/>
      <family val="2"/>
      <b val="1"/>
      <sz val="10"/>
    </font>
    <font>
      <name val="Calibri"/>
      <family val="2"/>
      <b val="1"/>
      <color theme="1"/>
      <sz val="11"/>
      <scheme val="minor"/>
    </font>
    <font>
      <name val="Calibri"/>
      <family val="2"/>
      <b val="1"/>
      <color rgb="FF0070C0"/>
      <sz val="24"/>
      <scheme val="minor"/>
    </font>
    <font>
      <name val="Calibri"/>
      <family val="2"/>
      <b val="1"/>
      <color theme="8" tint="-0.249977111117893"/>
      <sz val="18"/>
      <scheme val="minor"/>
    </font>
    <font>
      <name val="Calibri"/>
      <family val="2"/>
      <i val="1"/>
      <color theme="9" tint="-0.499984740745262"/>
      <sz val="11"/>
      <scheme val="minor"/>
    </font>
    <font>
      <name val="Calibri"/>
      <family val="2"/>
      <b val="1"/>
      <color theme="7" tint="-0.249977111117893"/>
      <sz val="18"/>
      <scheme val="minor"/>
    </font>
    <font>
      <name val="Calibri"/>
      <family val="2"/>
      <b val="1"/>
      <color theme="1"/>
      <sz val="18"/>
      <scheme val="minor"/>
    </font>
    <font>
      <name val="Cambria"/>
      <family val="1"/>
      <i val="1"/>
      <color theme="9" tint="-0.249977111117893"/>
      <sz val="11"/>
      <scheme val="major"/>
    </font>
  </fonts>
  <fills count="11">
    <fill>
      <patternFill/>
    </fill>
    <fill>
      <patternFill patternType="gray125"/>
    </fill>
    <fill>
      <patternFill patternType="solid">
        <fgColor theme="3" tint="0.7999816888943144"/>
        <bgColor indexed="64"/>
      </patternFill>
    </fill>
    <fill>
      <patternFill patternType="solid">
        <fgColor theme="6" tint="0.7999816888943144"/>
        <bgColor indexed="64"/>
      </patternFill>
    </fill>
    <fill>
      <patternFill patternType="solid">
        <fgColor theme="8"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theme="4" tint="0.7999816888943144"/>
        <bgColor indexed="64"/>
      </patternFill>
    </fill>
    <fill>
      <patternFill patternType="solid">
        <fgColor rgb="FF0070C0"/>
        <bgColor indexed="64"/>
      </patternFill>
    </fill>
    <fill>
      <patternFill patternType="solid">
        <fgColor theme="5" tint="0.3999755851924192"/>
        <bgColor indexed="64"/>
      </patternFill>
    </fill>
    <fill>
      <patternFill patternType="solid">
        <fgColor theme="8" tint="0.3999755851924192"/>
        <bgColor indexed="64"/>
      </patternFill>
    </fill>
  </fills>
  <borders count="13">
    <border>
      <left/>
      <right/>
      <top/>
      <bottom/>
      <diagonal/>
    </border>
    <border>
      <left style="hair">
        <color rgb="FF00AAD2"/>
      </left>
      <right style="hair">
        <color rgb="FF00AAD2"/>
      </right>
      <top style="hair">
        <color rgb="FF00AAD2"/>
      </top>
      <bottom style="hair">
        <color rgb="FF00AAD2"/>
      </bottom>
      <diagonal/>
    </border>
    <border>
      <left/>
      <right/>
      <top/>
      <bottom style="medium">
        <color rgb="FF0070C0"/>
      </bottom>
      <diagonal/>
    </border>
    <border>
      <left/>
      <right style="hair">
        <color rgb="FF00AAD2"/>
      </right>
      <top style="hair">
        <color rgb="FF00AAD2"/>
      </top>
      <bottom/>
      <diagonal/>
    </border>
    <border>
      <left style="hair">
        <color rgb="FF00AAD2"/>
      </left>
      <right style="hair">
        <color rgb="FF00AAD2"/>
      </right>
      <top style="hair">
        <color rgb="FF00AAD2"/>
      </top>
      <bottom/>
      <diagonal/>
    </border>
    <border>
      <left style="hair">
        <color rgb="FF0070C0"/>
      </left>
      <right style="hair">
        <color rgb="FF00AAD2"/>
      </right>
      <top style="medium">
        <color rgb="FF0070C0"/>
      </top>
      <bottom/>
      <diagonal/>
    </border>
    <border>
      <left style="hair">
        <color rgb="FF00AAD2"/>
      </left>
      <right style="hair">
        <color rgb="FF00AAD2"/>
      </right>
      <top style="medium">
        <color rgb="FF0070C0"/>
      </top>
      <bottom/>
      <diagonal/>
    </border>
    <border>
      <left style="hair">
        <color rgb="FF0070C0"/>
      </left>
      <right style="hair">
        <color rgb="FF00AAD2"/>
      </right>
      <top style="hair">
        <color rgb="FF00AAD2"/>
      </top>
      <bottom/>
      <diagonal/>
    </border>
    <border>
      <left style="hair">
        <color rgb="FF0070C0"/>
      </left>
      <right style="hair">
        <color rgb="FF00AAD2"/>
      </right>
      <top style="hair">
        <color rgb="FF00AAD2"/>
      </top>
      <bottom style="hair">
        <color rgb="FF0070C0"/>
      </bottom>
      <diagonal/>
    </border>
    <border>
      <left style="hair">
        <color rgb="FF00AAD2"/>
      </left>
      <right style="hair">
        <color rgb="FF00AAD2"/>
      </right>
      <top style="hair">
        <color rgb="FF00AAD2"/>
      </top>
      <bottom style="hair">
        <color rgb="FF0070C0"/>
      </bottom>
      <diagonal/>
    </border>
    <border>
      <left style="hair">
        <color rgb="FF0070C0"/>
      </left>
      <right style="hair">
        <color rgb="FF00AAD2"/>
      </right>
      <top style="hair">
        <color rgb="FF0070C0"/>
      </top>
      <bottom/>
      <diagonal/>
    </border>
    <border>
      <left style="hair">
        <color rgb="FF00AAD2"/>
      </left>
      <right style="hair">
        <color rgb="FF00AAD2"/>
      </right>
      <top style="hair">
        <color rgb="FF0070C0"/>
      </top>
      <bottom/>
      <diagonal/>
    </border>
    <border>
      <left style="thin">
        <color auto="1"/>
      </left>
      <right style="thin">
        <color auto="1"/>
      </right>
      <top style="thin">
        <color auto="1"/>
      </top>
      <bottom style="thin">
        <color auto="1"/>
      </bottom>
      <diagonal/>
    </border>
  </borders>
  <cellStyleXfs count="3">
    <xf numFmtId="0" fontId="1" fillId="0" borderId="0"/>
    <xf numFmtId="9" fontId="1" fillId="0" borderId="0"/>
    <xf numFmtId="0" fontId="1" fillId="0" borderId="0"/>
  </cellStyleXfs>
  <cellXfs count="93">
    <xf numFmtId="0" fontId="0" fillId="0" borderId="0" pivotButton="0" quotePrefix="0" xfId="0"/>
    <xf numFmtId="0" fontId="2"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5" fillId="0" borderId="0" pivotButton="0" quotePrefix="1" xfId="0"/>
    <xf numFmtId="0" fontId="3" fillId="2" borderId="0" applyAlignment="1" pivotButton="0" quotePrefix="0" xfId="0">
      <alignment horizontal="left"/>
    </xf>
    <xf numFmtId="0" fontId="4" fillId="2" borderId="0" pivotButton="0" quotePrefix="0" xfId="0"/>
    <xf numFmtId="0" fontId="5" fillId="2" borderId="0" pivotButton="0" quotePrefix="0" xfId="0"/>
    <xf numFmtId="0" fontId="6" fillId="2" borderId="0" pivotButton="0" quotePrefix="0" xfId="0"/>
    <xf numFmtId="164" fontId="6" fillId="2" borderId="1" applyAlignment="1" pivotButton="0" quotePrefix="0" xfId="0">
      <alignment horizontal="center"/>
    </xf>
    <xf numFmtId="9" fontId="6" fillId="2" borderId="1" applyAlignment="1" pivotButton="0" quotePrefix="0" xfId="1">
      <alignment horizontal="center"/>
    </xf>
    <xf numFmtId="165" fontId="6" fillId="2" borderId="1" applyAlignment="1" pivotButton="0" quotePrefix="0" xfId="0">
      <alignment horizontal="center"/>
    </xf>
    <xf numFmtId="0" fontId="3" fillId="3" borderId="0" applyAlignment="1" pivotButton="0" quotePrefix="0" xfId="0">
      <alignment horizontal="left"/>
    </xf>
    <xf numFmtId="0" fontId="4" fillId="3" borderId="0" pivotButton="0" quotePrefix="0" xfId="0"/>
    <xf numFmtId="0" fontId="5" fillId="3" borderId="0" pivotButton="0" quotePrefix="0" xfId="0"/>
    <xf numFmtId="0" fontId="6" fillId="3" borderId="0" pivotButton="0" quotePrefix="0" xfId="0"/>
    <xf numFmtId="164" fontId="7" fillId="3" borderId="1" applyAlignment="1" pivotButton="0" quotePrefix="0" xfId="0">
      <alignment horizontal="center"/>
    </xf>
    <xf numFmtId="0" fontId="3" fillId="4" borderId="0" applyAlignment="1" pivotButton="0" quotePrefix="0" xfId="0">
      <alignment horizontal="left"/>
    </xf>
    <xf numFmtId="0" fontId="4" fillId="4" borderId="0" pivotButton="0" quotePrefix="0" xfId="0"/>
    <xf numFmtId="0" fontId="5" fillId="4" borderId="0" pivotButton="0" quotePrefix="0" xfId="0"/>
    <xf numFmtId="0" fontId="7" fillId="4" borderId="2" pivotButton="0" quotePrefix="0" xfId="0"/>
    <xf numFmtId="1" fontId="7" fillId="4" borderId="2" pivotButton="0" quotePrefix="0" xfId="0"/>
    <xf numFmtId="0" fontId="7" fillId="4" borderId="0" pivotButton="0" quotePrefix="0" xfId="0"/>
    <xf numFmtId="1" fontId="7" fillId="4" borderId="0" pivotButton="0" quotePrefix="0" xfId="0"/>
    <xf numFmtId="0" fontId="6" fillId="4" borderId="0" pivotButton="0" quotePrefix="0" xfId="0"/>
    <xf numFmtId="37" fontId="6" fillId="4" borderId="5" applyAlignment="1" pivotButton="0" quotePrefix="0" xfId="0">
      <alignment horizontal="right"/>
    </xf>
    <xf numFmtId="37" fontId="6" fillId="4" borderId="6" applyAlignment="1" pivotButton="0" quotePrefix="0" xfId="0">
      <alignment horizontal="right"/>
    </xf>
    <xf numFmtId="37" fontId="6" fillId="4" borderId="7" applyAlignment="1" pivotButton="0" quotePrefix="0" xfId="0">
      <alignment horizontal="right"/>
    </xf>
    <xf numFmtId="37" fontId="6" fillId="4" borderId="3" applyAlignment="1" pivotButton="0" quotePrefix="0" xfId="0">
      <alignment horizontal="right"/>
    </xf>
    <xf numFmtId="37" fontId="6" fillId="4" borderId="7" applyAlignment="1" pivotButton="0" quotePrefix="1" xfId="0">
      <alignment horizontal="right"/>
    </xf>
    <xf numFmtId="37" fontId="6" fillId="4" borderId="4" applyAlignment="1" pivotButton="0" quotePrefix="0" xfId="0">
      <alignment horizontal="right"/>
    </xf>
    <xf numFmtId="37" fontId="7" fillId="4" borderId="8" applyAlignment="1" pivotButton="0" quotePrefix="1" xfId="0">
      <alignment horizontal="right"/>
    </xf>
    <xf numFmtId="37" fontId="7" fillId="4" borderId="9" applyAlignment="1" pivotButton="0" quotePrefix="0" xfId="0">
      <alignment horizontal="right"/>
    </xf>
    <xf numFmtId="0" fontId="3" fillId="5" borderId="0" applyAlignment="1" pivotButton="0" quotePrefix="0" xfId="0">
      <alignment horizontal="left"/>
    </xf>
    <xf numFmtId="0" fontId="4" fillId="5" borderId="0" pivotButton="0" quotePrefix="0" xfId="0"/>
    <xf numFmtId="0" fontId="5" fillId="5" borderId="0" pivotButton="0" quotePrefix="0" xfId="0"/>
    <xf numFmtId="0" fontId="7" fillId="5" borderId="2" pivotButton="0" quotePrefix="0" xfId="0"/>
    <xf numFmtId="1" fontId="7" fillId="5" borderId="2" pivotButton="0" quotePrefix="0" xfId="0"/>
    <xf numFmtId="0" fontId="7" fillId="5" borderId="0" pivotButton="0" quotePrefix="0" xfId="0"/>
    <xf numFmtId="1" fontId="7" fillId="5" borderId="0" pivotButton="0" quotePrefix="0" xfId="0"/>
    <xf numFmtId="0" fontId="6" fillId="5" borderId="0" pivotButton="0" quotePrefix="0" xfId="0"/>
    <xf numFmtId="37" fontId="6" fillId="5" borderId="10" applyAlignment="1" pivotButton="0" quotePrefix="0" xfId="0">
      <alignment horizontal="right"/>
    </xf>
    <xf numFmtId="37" fontId="6" fillId="5" borderId="11" applyAlignment="1" pivotButton="0" quotePrefix="0" xfId="0">
      <alignment horizontal="right"/>
    </xf>
    <xf numFmtId="37" fontId="6" fillId="5" borderId="7" applyAlignment="1" pivotButton="0" quotePrefix="0" xfId="0">
      <alignment horizontal="right"/>
    </xf>
    <xf numFmtId="37" fontId="6" fillId="5" borderId="4" applyAlignment="1" pivotButton="0" quotePrefix="0" xfId="0">
      <alignment horizontal="right"/>
    </xf>
    <xf numFmtId="37" fontId="6" fillId="5" borderId="7" applyAlignment="1" pivotButton="0" quotePrefix="1" xfId="0">
      <alignment horizontal="right"/>
    </xf>
    <xf numFmtId="37" fontId="7" fillId="5" borderId="8" applyAlignment="1" pivotButton="0" quotePrefix="1" xfId="0">
      <alignment horizontal="right"/>
    </xf>
    <xf numFmtId="37" fontId="7" fillId="5" borderId="9" applyAlignment="1" pivotButton="0" quotePrefix="0" xfId="0">
      <alignment horizontal="right"/>
    </xf>
    <xf numFmtId="0" fontId="3" fillId="6" borderId="0" applyAlignment="1" pivotButton="0" quotePrefix="0" xfId="0">
      <alignment horizontal="left"/>
    </xf>
    <xf numFmtId="0" fontId="4" fillId="6" borderId="0" pivotButton="0" quotePrefix="0" xfId="0"/>
    <xf numFmtId="0" fontId="5" fillId="6" borderId="0" pivotButton="0" quotePrefix="0" xfId="0"/>
    <xf numFmtId="0" fontId="6" fillId="6" borderId="0" pivotButton="0" quotePrefix="0" xfId="0"/>
    <xf numFmtId="0" fontId="8" fillId="6" borderId="0" pivotButton="0" quotePrefix="0" xfId="0"/>
    <xf numFmtId="10" fontId="9" fillId="6" borderId="1" applyAlignment="1" pivotButton="0" quotePrefix="0" xfId="1">
      <alignment horizontal="center"/>
    </xf>
    <xf numFmtId="0" fontId="8" fillId="6" borderId="0" applyAlignment="1" pivotButton="0" quotePrefix="1" xfId="0">
      <alignment wrapText="1"/>
    </xf>
    <xf numFmtId="166" fontId="7" fillId="6" borderId="1" applyAlignment="1" pivotButton="0" quotePrefix="0" xfId="0">
      <alignment horizontal="right"/>
    </xf>
    <xf numFmtId="165" fontId="9" fillId="6" borderId="1" applyAlignment="1" pivotButton="0" quotePrefix="0" xfId="0">
      <alignment horizontal="center"/>
    </xf>
    <xf numFmtId="0" fontId="10" fillId="4" borderId="12" applyAlignment="1" pivotButton="0" quotePrefix="0" xfId="0">
      <alignment horizontal="center" vertical="center" wrapText="1"/>
    </xf>
    <xf numFmtId="0" fontId="0" fillId="4" borderId="12" applyAlignment="1" pivotButton="0" quotePrefix="0" xfId="0">
      <alignment vertical="center" wrapText="1"/>
    </xf>
    <xf numFmtId="3" fontId="0" fillId="4" borderId="12" applyAlignment="1" pivotButton="0" quotePrefix="0" xfId="0">
      <alignment vertical="center" wrapText="1"/>
    </xf>
    <xf numFmtId="3" fontId="0" fillId="4" borderId="12" pivotButton="0" quotePrefix="0" xfId="0"/>
    <xf numFmtId="37" fontId="0" fillId="4" borderId="12" applyAlignment="1" pivotButton="0" quotePrefix="0" xfId="0">
      <alignment vertical="center" wrapText="1"/>
    </xf>
    <xf numFmtId="0" fontId="5" fillId="4" borderId="12" pivotButton="0" quotePrefix="0" xfId="0"/>
    <xf numFmtId="0" fontId="10" fillId="4" borderId="12" applyAlignment="1" pivotButton="0" quotePrefix="0" xfId="0">
      <alignment vertical="center" wrapText="1"/>
    </xf>
    <xf numFmtId="0" fontId="6" fillId="4" borderId="12" pivotButton="0" quotePrefix="0" xfId="0"/>
    <xf numFmtId="37" fontId="5" fillId="4" borderId="12" pivotButton="0" quotePrefix="0" xfId="0"/>
    <xf numFmtId="37" fontId="2" fillId="4" borderId="12" pivotButton="0" quotePrefix="0" xfId="0"/>
    <xf numFmtId="164" fontId="5" fillId="4" borderId="12" pivotButton="0" quotePrefix="0" xfId="0"/>
    <xf numFmtId="0" fontId="2" fillId="4" borderId="12" applyAlignment="1" pivotButton="0" quotePrefix="0" xfId="0">
      <alignment horizontal="center"/>
    </xf>
    <xf numFmtId="4" fontId="7" fillId="3" borderId="1" applyAlignment="1" pivotButton="0" quotePrefix="0" xfId="0">
      <alignment horizontal="center"/>
    </xf>
    <xf numFmtId="4" fontId="5" fillId="4" borderId="12" pivotButton="0" quotePrefix="0" xfId="0"/>
    <xf numFmtId="37" fontId="7" fillId="4" borderId="3" applyAlignment="1" pivotButton="0" quotePrefix="0" xfId="0">
      <alignment horizontal="right"/>
    </xf>
    <xf numFmtId="37" fontId="7" fillId="5" borderId="4" applyAlignment="1" pivotButton="0" quotePrefix="0" xfId="0">
      <alignment horizontal="right"/>
    </xf>
    <xf numFmtId="1" fontId="0" fillId="4" borderId="12" applyAlignment="1" pivotButton="0" quotePrefix="0" xfId="0">
      <alignment vertical="center" wrapText="1"/>
    </xf>
    <xf numFmtId="37" fontId="6" fillId="0" borderId="0" applyAlignment="1" pivotButton="0" quotePrefix="0" xfId="0">
      <alignment horizontal="left"/>
    </xf>
    <xf numFmtId="0" fontId="11" fillId="0" borderId="0" applyAlignment="1" pivotButton="0" quotePrefix="0" xfId="2">
      <alignment vertical="center"/>
    </xf>
    <xf numFmtId="0" fontId="1" fillId="0" borderId="0" pivotButton="0" quotePrefix="0" xfId="2"/>
    <xf numFmtId="0" fontId="12" fillId="0" borderId="0" applyAlignment="1" pivotButton="0" quotePrefix="0" xfId="2">
      <alignment vertical="center"/>
    </xf>
    <xf numFmtId="0" fontId="13" fillId="0" borderId="0" pivotButton="0" quotePrefix="0" xfId="2"/>
    <xf numFmtId="0" fontId="14" fillId="0" borderId="0" applyAlignment="1" pivotButton="0" quotePrefix="0" xfId="2">
      <alignment vertical="center"/>
    </xf>
    <xf numFmtId="0" fontId="15" fillId="8" borderId="0" applyAlignment="1" pivotButton="0" quotePrefix="0" xfId="2">
      <alignment vertical="center"/>
    </xf>
    <xf numFmtId="0" fontId="1" fillId="8" borderId="0" pivotButton="0" quotePrefix="0" xfId="2"/>
    <xf numFmtId="0" fontId="15" fillId="9" borderId="0" applyAlignment="1" pivotButton="0" quotePrefix="0" xfId="2">
      <alignment vertical="center"/>
    </xf>
    <xf numFmtId="0" fontId="10" fillId="5" borderId="0" applyAlignment="1" pivotButton="0" quotePrefix="0" xfId="2">
      <alignment vertical="top" wrapText="1"/>
    </xf>
    <xf numFmtId="0" fontId="1" fillId="0" borderId="0" applyAlignment="1" pivotButton="0" quotePrefix="0" xfId="2">
      <alignment horizontal="left" vertical="center" indent="1"/>
    </xf>
    <xf numFmtId="0" fontId="10" fillId="0" borderId="0" pivotButton="0" quotePrefix="0" xfId="2"/>
    <xf numFmtId="0" fontId="10" fillId="0" borderId="0" applyAlignment="1" pivotButton="0" quotePrefix="0" xfId="2">
      <alignment horizontal="left" vertical="center" indent="1"/>
    </xf>
    <xf numFmtId="0" fontId="15" fillId="10" borderId="0" applyAlignment="1" pivotButton="0" quotePrefix="0" xfId="0">
      <alignment vertical="center"/>
    </xf>
    <xf numFmtId="0" fontId="16" fillId="0" borderId="0" applyAlignment="1" pivotButton="0" quotePrefix="0" xfId="0">
      <alignment wrapText="1"/>
    </xf>
    <xf numFmtId="0" fontId="1" fillId="7" borderId="0" applyAlignment="1" pivotButton="0" quotePrefix="0" xfId="2">
      <alignment horizontal="justify" vertical="justify" wrapText="1"/>
    </xf>
    <xf numFmtId="0" fontId="1" fillId="7" borderId="0" applyAlignment="1" pivotButton="0" quotePrefix="0" xfId="2">
      <alignment horizontal="left" vertical="top" wrapText="1"/>
    </xf>
    <xf numFmtId="0" fontId="1" fillId="3" borderId="0" applyAlignment="1" pivotButton="0" quotePrefix="0" xfId="2">
      <alignment horizontal="justify" vertical="justify" wrapText="1"/>
    </xf>
  </cellXfs>
  <cellStyles count="3">
    <cellStyle name="Normal" xfId="0" builtinId="0"/>
    <cellStyle name="Percent" xfId="1" builtinId="5"/>
    <cellStyle name="Normal 2"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editAs="oneCell">
    <from>
      <col>0</col>
      <colOff>0</colOff>
      <row>17</row>
      <rowOff>0</rowOff>
    </from>
    <to>
      <col>2</col>
      <colOff>603250</colOff>
      <row>27</row>
      <rowOff>171450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0" y="8953500"/>
          <a:ext cx="1822450" cy="20129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J33"/>
  <sheetViews>
    <sheetView tabSelected="1" topLeftCell="A5" workbookViewId="0">
      <selection activeCell="J7" sqref="J7"/>
    </sheetView>
  </sheetViews>
  <sheetFormatPr baseColWidth="8" defaultRowHeight="14.5"/>
  <cols>
    <col width="8.7265625" customWidth="1" style="77" min="1" max="6"/>
    <col width="13.90625" customWidth="1" style="77" min="7" max="7"/>
    <col width="5.6328125" customWidth="1" style="77" min="8" max="8"/>
    <col width="71.6328125" customWidth="1" style="77" min="9" max="9"/>
    <col width="7.1796875" customWidth="1" style="77" min="10" max="10"/>
    <col width="8.7265625" customWidth="1" style="77" min="11" max="16384"/>
  </cols>
  <sheetData>
    <row r="1" ht="31" customHeight="1">
      <c r="A1" s="76" t="inlineStr">
        <is>
          <t>FINANCIAL MODELING USING EXCEL</t>
        </is>
      </c>
    </row>
    <row r="2"/>
    <row r="3" ht="23.5" customHeight="1">
      <c r="A3" s="78" t="inlineStr">
        <is>
          <t>Operational Leveraged Buyout (LBO) Model Using Excel</t>
        </is>
      </c>
    </row>
    <row r="4"/>
    <row r="5" ht="23.5" customHeight="1">
      <c r="A5" s="79" t="inlineStr">
        <is>
          <t>Cash Flow–Driven Debt Servicing and Equity Return Analysis</t>
        </is>
      </c>
      <c r="I5" s="88" t="inlineStr">
        <is>
          <t>Learning Philosophy</t>
        </is>
      </c>
    </row>
    <row r="6"/>
    <row r="7" ht="28.5" customHeight="1">
      <c r="A7" s="80" t="inlineStr">
        <is>
          <t>Workbook Purpose</t>
        </is>
      </c>
      <c r="I7" s="89" t="inlineStr">
        <is>
          <t>In leveraged buyouts, value is created only when operating cash flows can sustainably support leverage and deliver disciplined equity returns.</t>
        </is>
      </c>
    </row>
    <row r="8"/>
    <row r="9" ht="132.5" customHeight="1">
      <c r="A9" s="90" t="inlineStr">
        <is>
          <t>This workbook is a fully operational Leveraged Buyout (LBO) model built in Excel, with primary emphasis on operating cash flows, debt servicing capacity, and equity value creation. The model evaluates whether a business can sustain acquisition-related leverage through internally generated cash flows and assesses the resulting returns to equity investors over the investment horizon.
Unlike purely valuation-focused models, this workbook centers on operational feasibility. It demonstrates how revenue growth, operating margins, working capital management, capital expenditure, and financing structure jointly determine debt repayment profiles and exit outcomes. The workbook reflects analytical practices used in private equity, leveraged finance, and credit-focused investment analysis.</t>
        </is>
      </c>
    </row>
    <row r="10"/>
    <row r="11"/>
    <row r="12"/>
    <row r="13"/>
    <row r="14"/>
    <row r="15" ht="23.5" customHeight="1">
      <c r="A15" s="81" t="inlineStr">
        <is>
          <t>Key Concepts Covered</t>
        </is>
      </c>
      <c r="B15" s="82" t="n"/>
      <c r="C15" s="82" t="n"/>
      <c r="D15" s="82" t="n"/>
      <c r="E15" s="82" t="n"/>
      <c r="F15" s="82" t="n"/>
      <c r="G15" s="82" t="n"/>
      <c r="I15" s="83" t="inlineStr">
        <is>
          <t>Excel Functions Used</t>
        </is>
      </c>
    </row>
    <row r="16" ht="311.5" customHeight="1">
      <c r="A16" s="91" t="inlineStr">
        <is>
          <t>Leveraged buyout transaction structure and logic
Sources and uses of funds at acquisition
Operating performance forecasting and cash flow generation
Free cash flow available for debt service
Debt tranche structure, interest, and principal repayment
Cash sweep mechanisms and leverage evolution
Equity contribution, exit value, and equity proceeds
Internal Rate of Return (IRR) and Multiple of Invested Capital (MOIC)
Sensitivity of returns to operating and financing assumptions</t>
        </is>
      </c>
      <c r="I16" s="84" t="inlineStr">
        <is>
          <t xml:space="preserve">The following Excel functions are used accurately and completely in this workbook to support operating forecasts, debt mechanics, valuation, and return analysis:
SUM – Aggregates operating results, cash flows, and financing balances
IF – Applies conditional logic for cash sweeps, debt repayment rules, and scenario controls
IFERROR – Handles numerical edge cases and maintains model stability
ABS – Enforces disciplined cash-flow and financing sign conventions
ROUND – Ensures numerical clarity and clean presentation of outputs
MAX / MIN – Applies constraints such as minimum cash balances and repayment limits
AVERAGE – Computes representative operating assumptions where required
NPV – Discounts equity cash flows in structured valuation blocks
IRR – Computes internal rate of return to equity investors
XIRR – Computes return using exact cash-flow dates where applicable
INDEX – Retrieves period-specific operating, debt, and valuation inputs dynamically
MATCH – Locates corresponding rows or columns within structured model tables
INDEX–MATCH – Enables flexible and auditable cross-sheet referencing
SUMPRODUCT – Computes weighted averages and blended rates (e.g., cost of debt)
PERCENTAGE CALCULATIONS – Used for margins, growth rates, leverage ratios, and ownership
CHOOSE – Facilitates structured selection among alternative scenarios or cases
HYPERLINK – Provides navigation across index, operating model, debt schedules, and returns analysis
The workbook emphasizes cash-flow discipline, clear separation of operating and financing logic, and audit-friendly linkage across all model components.
</t>
        </is>
      </c>
    </row>
    <row r="17">
      <c r="A17" s="85" t="n"/>
    </row>
    <row r="18">
      <c r="A18" s="85" t="n"/>
      <c r="E18" s="92" t="inlineStr">
        <is>
          <t>Srikanth Potharla is an accounting and finance educator with over fifteen years of teaching and industry-oriented experience. Currently serving as Assistant Professor at ICFAI Business School, Hyderabad, he specializes in financial modeling using Excel, valuation, and data analytics. His work bridges theory and practice through structured models, real-world applications, and hands-on learning resources designed for MBA, professional, and global learners.</t>
        </is>
      </c>
      <c r="I18" s="86" t="n"/>
    </row>
    <row r="19">
      <c r="A19" s="85" t="n"/>
    </row>
    <row r="20">
      <c r="A20" s="85" t="n"/>
      <c r="I20" s="86" t="n"/>
    </row>
    <row r="21">
      <c r="A21" s="85" t="n"/>
    </row>
    <row r="22">
      <c r="A22" s="85" t="n"/>
      <c r="I22" s="86" t="n"/>
    </row>
    <row r="23">
      <c r="A23" s="85" t="n"/>
    </row>
    <row r="24">
      <c r="A24" s="85" t="n"/>
      <c r="I24" s="86" t="n"/>
    </row>
    <row r="25">
      <c r="A25" s="85" t="n"/>
    </row>
    <row r="26">
      <c r="A26" s="85" t="n"/>
      <c r="I26" s="86" t="n"/>
    </row>
    <row r="27">
      <c r="A27" s="85" t="n"/>
    </row>
    <row r="28">
      <c r="A28" s="85" t="n"/>
      <c r="I28" s="86" t="n"/>
    </row>
    <row r="29">
      <c r="A29" s="85" t="n"/>
    </row>
    <row r="30">
      <c r="A30" s="85" t="n"/>
      <c r="I30" s="86" t="n"/>
    </row>
    <row r="31">
      <c r="A31" s="85" t="n"/>
      <c r="I31" s="85" t="n"/>
    </row>
    <row r="32">
      <c r="A32" s="85" t="n"/>
      <c r="I32" s="87" t="n"/>
    </row>
    <row r="33">
      <c r="A33" s="85" t="n"/>
    </row>
  </sheetData>
  <sheetProtection selectLockedCells="0" selectUnlockedCells="0" sheet="1" objects="1" insertRows="0" insertHyperlinks="1" autoFilter="0" scenarios="1" formatColumns="0" deleteColumns="0" insertColumns="0" pivotTables="0" deleteRows="0" formatCells="0" formatRows="0" sort="0" password="AE3A"/>
  <mergeCells count="3">
    <mergeCell ref="A16:G16"/>
    <mergeCell ref="A9:J9"/>
    <mergeCell ref="E18:H28"/>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57"/>
  <sheetViews>
    <sheetView showGridLines="0" topLeftCell="B7" zoomScale="85" zoomScaleNormal="85" workbookViewId="0">
      <selection activeCell="D13" sqref="D13"/>
    </sheetView>
  </sheetViews>
  <sheetFormatPr baseColWidth="8" defaultColWidth="9.1796875" defaultRowHeight="16.5"/>
  <cols>
    <col width="6.26953125" customWidth="1" style="3" min="1" max="1"/>
    <col width="46.453125" customWidth="1" style="3" min="2" max="2"/>
    <col width="15" customWidth="1" style="3" min="3" max="3"/>
    <col width="35.453125" customWidth="1" style="3" min="4" max="4"/>
    <col width="20.26953125" bestFit="1" customWidth="1" style="3" min="5" max="5"/>
    <col width="14" bestFit="1" customWidth="1" style="3" min="6" max="6"/>
    <col width="15.453125" customWidth="1" style="3" min="7" max="7"/>
    <col width="11.81640625" bestFit="1" customWidth="1" style="3" min="8" max="8"/>
    <col width="11.36328125" bestFit="1" customWidth="1" style="3" min="9" max="9"/>
    <col width="11.08984375" bestFit="1" customWidth="1" style="3" min="10" max="10"/>
    <col width="11.36328125" bestFit="1" customWidth="1" style="3" min="11" max="11"/>
    <col width="9.1796875" customWidth="1" style="3" min="12" max="16384"/>
  </cols>
  <sheetData>
    <row r="1" ht="17" customFormat="1" customHeight="1" s="1">
      <c r="B1" s="6" t="inlineStr">
        <is>
          <t>LBO MODEL Inputs</t>
        </is>
      </c>
      <c r="C1" s="7" t="n"/>
      <c r="D1" s="2" t="n"/>
      <c r="E1" s="1" t="inlineStr">
        <is>
          <t>Debt Service Schedule</t>
        </is>
      </c>
    </row>
    <row r="2">
      <c r="B2" s="8" t="n"/>
      <c r="C2" s="8" t="n"/>
      <c r="E2" s="58" t="n"/>
      <c r="F2" s="69" t="n"/>
      <c r="G2" s="64" t="n">
        <v>2026</v>
      </c>
      <c r="H2" s="64">
        <f>G2+1</f>
        <v/>
      </c>
      <c r="I2" s="64">
        <f>H2+1</f>
        <v/>
      </c>
      <c r="J2" s="64">
        <f>I2+1</f>
        <v/>
      </c>
      <c r="K2" s="64">
        <f>J2+1</f>
        <v/>
      </c>
    </row>
    <row r="3">
      <c r="B3" s="9" t="inlineStr">
        <is>
          <t>Target company's LTM sales ( ₹)</t>
        </is>
      </c>
      <c r="C3" s="10" t="n">
        <v>8000000</v>
      </c>
      <c r="D3" s="4" t="n"/>
      <c r="E3" s="58" t="inlineStr">
        <is>
          <t>Opening Debt</t>
        </is>
      </c>
      <c r="F3" s="71" t="n"/>
      <c r="G3" s="60">
        <f>C20</f>
        <v/>
      </c>
      <c r="H3" s="61">
        <f>G7</f>
        <v/>
      </c>
      <c r="I3" s="61">
        <f>H7</f>
        <v/>
      </c>
      <c r="J3" s="61">
        <f>I7</f>
        <v/>
      </c>
      <c r="K3" s="61">
        <f>J7</f>
        <v/>
      </c>
    </row>
    <row r="4">
      <c r="B4" s="9" t="inlineStr">
        <is>
          <t xml:space="preserve">Target company's LTM EBITDA margin </t>
        </is>
      </c>
      <c r="C4" s="11" t="n">
        <v>0.4</v>
      </c>
      <c r="D4" s="4" t="n"/>
      <c r="E4" s="58" t="inlineStr">
        <is>
          <t>Interest (₹)</t>
        </is>
      </c>
      <c r="F4" s="63" t="n"/>
      <c r="G4" s="59">
        <f>G3*$C$14</f>
        <v/>
      </c>
      <c r="H4" s="59">
        <f>H3*$C$14</f>
        <v/>
      </c>
      <c r="I4" s="74">
        <f>I3*$C$14</f>
        <v/>
      </c>
      <c r="J4" s="59">
        <f>J3*$C$14</f>
        <v/>
      </c>
      <c r="K4" s="59">
        <f>K3*$C$14</f>
        <v/>
      </c>
    </row>
    <row r="5">
      <c r="B5" s="9" t="inlineStr">
        <is>
          <t>Entry EV/EBITDA multiple</t>
        </is>
      </c>
      <c r="C5" s="12">
        <f>4</f>
        <v/>
      </c>
      <c r="D5" s="4" t="n"/>
      <c r="E5" s="58" t="inlineStr">
        <is>
          <t>CFADS</t>
        </is>
      </c>
      <c r="F5" s="63" t="n"/>
      <c r="G5" s="62">
        <f>G35</f>
        <v/>
      </c>
      <c r="H5" s="62">
        <f>H35</f>
        <v/>
      </c>
      <c r="I5" s="62">
        <f>I35</f>
        <v/>
      </c>
      <c r="J5" s="62">
        <f>J35</f>
        <v/>
      </c>
      <c r="K5" s="62">
        <f>K35</f>
        <v/>
      </c>
    </row>
    <row r="6">
      <c r="B6" s="9" t="inlineStr">
        <is>
          <t>Annual Sales growth - 5y projection</t>
        </is>
      </c>
      <c r="C6" s="11" t="n">
        <v>0.15</v>
      </c>
      <c r="D6" s="4" t="n"/>
      <c r="E6" s="58" t="inlineStr">
        <is>
          <t>Debt Repayment</t>
        </is>
      </c>
      <c r="F6" s="63" t="n"/>
      <c r="G6" s="62">
        <f>MIN(G3,G5)</f>
        <v/>
      </c>
      <c r="H6" s="62">
        <f>MIN(H3,H5)</f>
        <v/>
      </c>
      <c r="I6" s="62">
        <f>MIN(I3,I5)</f>
        <v/>
      </c>
      <c r="J6" s="62">
        <f>MIN(J3,J5)</f>
        <v/>
      </c>
      <c r="K6" s="62">
        <f>MIN(K3,K5)</f>
        <v/>
      </c>
    </row>
    <row r="7">
      <c r="B7" s="9" t="inlineStr">
        <is>
          <t>EBITDA margin - 5y projection</t>
        </is>
      </c>
      <c r="C7" s="11" t="n">
        <v>0.35</v>
      </c>
      <c r="D7" s="4" t="n"/>
      <c r="E7" s="58" t="inlineStr">
        <is>
          <t>Closing Debt</t>
        </is>
      </c>
      <c r="F7" s="68" t="n"/>
      <c r="G7" s="60">
        <f>G3-G6</f>
        <v/>
      </c>
      <c r="H7" s="60">
        <f>H3-H6</f>
        <v/>
      </c>
      <c r="I7" s="60">
        <f>I3-I6</f>
        <v/>
      </c>
      <c r="J7" s="60">
        <f>J3-J6</f>
        <v/>
      </c>
      <c r="K7" s="60">
        <f>K3-K6</f>
        <v/>
      </c>
    </row>
    <row r="8">
      <c r="B8" s="9" t="inlineStr">
        <is>
          <t>Corporate income tax rate - 5y projection</t>
        </is>
      </c>
      <c r="C8" s="11" t="n">
        <v>0.2</v>
      </c>
      <c r="D8" s="4" t="n"/>
      <c r="E8" s="58" t="inlineStr">
        <is>
          <t>Cash Build-up</t>
        </is>
      </c>
      <c r="F8" s="63" t="n"/>
      <c r="G8" s="62">
        <f>G5-G6</f>
        <v/>
      </c>
      <c r="H8" s="62">
        <f>H5-H6</f>
        <v/>
      </c>
      <c r="I8" s="62">
        <f>I5-I6</f>
        <v/>
      </c>
      <c r="J8" s="62">
        <f>J5-J6</f>
        <v/>
      </c>
      <c r="K8" s="62">
        <f>K5-K6</f>
        <v/>
      </c>
    </row>
    <row r="9">
      <c r="B9" s="9" t="inlineStr">
        <is>
          <t>Exit EBITDA multiple - exit after 5y</t>
        </is>
      </c>
      <c r="C9" s="12">
        <f>4</f>
        <v/>
      </c>
      <c r="D9" s="4" t="n"/>
      <c r="E9" s="65" t="inlineStr">
        <is>
          <t>Cumulative Cash Build-up</t>
        </is>
      </c>
      <c r="F9" s="63" t="n"/>
      <c r="G9" s="66" t="n"/>
      <c r="H9" s="66">
        <f>G8+H8</f>
        <v/>
      </c>
      <c r="I9" s="67">
        <f>H9+I8</f>
        <v/>
      </c>
      <c r="J9" s="67">
        <f>I9+J8</f>
        <v/>
      </c>
      <c r="K9" s="67">
        <f>J9+K8</f>
        <v/>
      </c>
    </row>
    <row r="10">
      <c r="B10" s="9" t="inlineStr">
        <is>
          <t>% of debt used for acquisition</t>
        </is>
      </c>
      <c r="C10" s="11" t="n">
        <v>0.25</v>
      </c>
      <c r="D10" s="4" t="n"/>
    </row>
    <row r="11">
      <c r="B11" s="9" t="inlineStr">
        <is>
          <t>D&amp;A as % of sales - 5y projection</t>
        </is>
      </c>
      <c r="C11" s="11">
        <f>10%</f>
        <v/>
      </c>
      <c r="D11" s="4" t="n"/>
    </row>
    <row r="12">
      <c r="B12" s="9" t="inlineStr">
        <is>
          <t>CAPEX as % of sales - 5y projection</t>
        </is>
      </c>
      <c r="C12" s="11" t="n">
        <v>0.15</v>
      </c>
      <c r="D12" s="4" t="n"/>
    </row>
    <row r="13" ht="17" customHeight="1">
      <c r="B13" s="9" t="inlineStr">
        <is>
          <t>NWC investments as % of sales - 5y projection</t>
        </is>
      </c>
      <c r="C13" s="11" t="n">
        <v>0.1</v>
      </c>
      <c r="D13" s="4" t="n"/>
      <c r="E13" s="18" t="inlineStr">
        <is>
          <t xml:space="preserve">Projected Income Statement for Five years </t>
        </is>
      </c>
      <c r="F13" s="19" t="n"/>
      <c r="G13" s="19" t="n"/>
      <c r="H13" s="19" t="n"/>
      <c r="I13" s="19" t="n"/>
      <c r="J13" s="19" t="n"/>
      <c r="K13" s="19" t="n"/>
    </row>
    <row r="14">
      <c r="B14" s="9" t="inlineStr">
        <is>
          <t>Interest rate - 5y projection</t>
        </is>
      </c>
      <c r="C14" s="11" t="n">
        <v>0.12</v>
      </c>
      <c r="D14" s="4" t="n"/>
      <c r="E14" s="20" t="n"/>
      <c r="F14" s="20" t="n"/>
      <c r="G14" s="20" t="n"/>
      <c r="H14" s="20" t="n"/>
      <c r="I14" s="20" t="n"/>
      <c r="J14" s="20" t="n"/>
      <c r="K14" s="20" t="n"/>
    </row>
    <row r="15" ht="17" customHeight="1" thickBot="1">
      <c r="B15" s="4" t="n"/>
      <c r="C15" s="4" t="n"/>
      <c r="D15" s="4" t="n"/>
      <c r="E15" s="21" t="inlineStr">
        <is>
          <t>Profit and Loss Statement( ₹)</t>
        </is>
      </c>
      <c r="F15" s="22" t="inlineStr">
        <is>
          <t>LTM</t>
        </is>
      </c>
      <c r="G15" s="22" t="n">
        <v>2026</v>
      </c>
      <c r="H15" s="22">
        <f>G15+1</f>
        <v/>
      </c>
      <c r="I15" s="22">
        <f>H15+1</f>
        <v/>
      </c>
      <c r="J15" s="22">
        <f>I15+1</f>
        <v/>
      </c>
      <c r="K15" s="22">
        <f>J15+1</f>
        <v/>
      </c>
    </row>
    <row r="16" ht="17.5" customFormat="1" customHeight="1" s="1" thickBot="1">
      <c r="B16" s="13" t="inlineStr">
        <is>
          <t>Entry Value</t>
        </is>
      </c>
      <c r="C16" s="14" t="n"/>
      <c r="D16" s="2" t="n"/>
      <c r="E16" s="23" t="n"/>
      <c r="F16" s="24" t="n">
        <v>0</v>
      </c>
      <c r="G16" s="24">
        <f>F16+1</f>
        <v/>
      </c>
      <c r="H16" s="24">
        <f>G16+1</f>
        <v/>
      </c>
      <c r="I16" s="24">
        <f>H16+1</f>
        <v/>
      </c>
      <c r="J16" s="24">
        <f>I16+1</f>
        <v/>
      </c>
      <c r="K16" s="24">
        <f>J16+1</f>
        <v/>
      </c>
      <c r="L16" s="2" t="n"/>
      <c r="M16" s="2" t="n"/>
      <c r="N16" s="2" t="n"/>
    </row>
    <row r="17">
      <c r="B17" s="15" t="n"/>
      <c r="C17" s="15" t="n"/>
      <c r="E17" s="25" t="inlineStr">
        <is>
          <t>Sales</t>
        </is>
      </c>
      <c r="F17" s="26">
        <f>C3</f>
        <v/>
      </c>
      <c r="G17" s="27">
        <f>F17*(1+$C$6)</f>
        <v/>
      </c>
      <c r="H17" s="27">
        <f>G17*(1+$C$6)</f>
        <v/>
      </c>
      <c r="I17" s="27">
        <f>H17*(1+$C$6)</f>
        <v/>
      </c>
      <c r="J17" s="27">
        <f>I17*(1+$C$6)</f>
        <v/>
      </c>
      <c r="K17" s="27">
        <f>J17*(1+$C$6)</f>
        <v/>
      </c>
    </row>
    <row r="18">
      <c r="A18" s="5" t="n"/>
      <c r="B18" s="16" t="inlineStr">
        <is>
          <t>LTM EBITDA ( ₹)</t>
        </is>
      </c>
      <c r="C18" s="17">
        <f>C3*C7</f>
        <v/>
      </c>
      <c r="D18" s="4" t="n"/>
      <c r="E18" s="25" t="inlineStr">
        <is>
          <t>EBITDA</t>
        </is>
      </c>
      <c r="F18" s="28" t="n"/>
      <c r="G18" s="29">
        <f>G17*$C$7</f>
        <v/>
      </c>
      <c r="H18" s="29">
        <f>H17*$C$7</f>
        <v/>
      </c>
      <c r="I18" s="29">
        <f>I17*$C$7</f>
        <v/>
      </c>
      <c r="J18" s="29">
        <f>J17*$C$7</f>
        <v/>
      </c>
      <c r="K18" s="29">
        <f>K17*$C$7</f>
        <v/>
      </c>
    </row>
    <row r="19">
      <c r="B19" s="16" t="inlineStr">
        <is>
          <t>Entry Enterprise Value ( ₹)</t>
        </is>
      </c>
      <c r="C19" s="70">
        <f>C18*C5</f>
        <v/>
      </c>
      <c r="D19" s="4" t="n"/>
      <c r="E19" s="25" t="inlineStr">
        <is>
          <t>D&amp;A</t>
        </is>
      </c>
      <c r="F19" s="30" t="n"/>
      <c r="G19" s="29">
        <f>G17*$C$11</f>
        <v/>
      </c>
      <c r="H19" s="29">
        <f>H17*$C$11</f>
        <v/>
      </c>
      <c r="I19" s="29">
        <f>I17*$C$11</f>
        <v/>
      </c>
      <c r="J19" s="29">
        <f>J17*$C$11</f>
        <v/>
      </c>
      <c r="K19" s="29">
        <f>K17*$C$11</f>
        <v/>
      </c>
    </row>
    <row r="20">
      <c r="B20" s="16" t="inlineStr">
        <is>
          <t>Entry Debt Balance Value ( ₹)</t>
        </is>
      </c>
      <c r="C20" s="17">
        <f>C19*C10</f>
        <v/>
      </c>
      <c r="D20" s="4" t="n"/>
      <c r="E20" s="25" t="inlineStr">
        <is>
          <t>EBIT</t>
        </is>
      </c>
      <c r="F20" s="30" t="n"/>
      <c r="G20" s="72">
        <f>G18-G19</f>
        <v/>
      </c>
      <c r="H20" s="72">
        <f>H18-H19</f>
        <v/>
      </c>
      <c r="I20" s="72">
        <f>I18-I19</f>
        <v/>
      </c>
      <c r="J20" s="72">
        <f>J18-J19</f>
        <v/>
      </c>
      <c r="K20" s="72">
        <f>K18-K19</f>
        <v/>
      </c>
    </row>
    <row r="21">
      <c r="B21" s="16" t="inlineStr">
        <is>
          <t>Entry Equity Value ( ₹)</t>
        </is>
      </c>
      <c r="C21" s="17">
        <f>C19-C20</f>
        <v/>
      </c>
      <c r="D21" s="4" t="n"/>
      <c r="E21" s="25" t="inlineStr">
        <is>
          <t>Interest expenses</t>
        </is>
      </c>
      <c r="F21" s="30" t="n"/>
      <c r="G21" s="31">
        <f>C20*C14</f>
        <v/>
      </c>
      <c r="H21" s="31">
        <f>H4</f>
        <v/>
      </c>
      <c r="I21" s="31">
        <f>I4</f>
        <v/>
      </c>
      <c r="J21" s="31">
        <f>J4</f>
        <v/>
      </c>
      <c r="K21" s="31">
        <f>K4</f>
        <v/>
      </c>
    </row>
    <row r="22">
      <c r="E22" s="25" t="inlineStr">
        <is>
          <t>EBT</t>
        </is>
      </c>
      <c r="F22" s="30" t="n"/>
      <c r="G22" s="31">
        <f>G20-G21</f>
        <v/>
      </c>
      <c r="H22" s="31">
        <f>H20-H21</f>
        <v/>
      </c>
      <c r="I22" s="31">
        <f>I20-I21</f>
        <v/>
      </c>
      <c r="J22" s="31">
        <f>J20-J21</f>
        <v/>
      </c>
      <c r="K22" s="31">
        <f>K20-K21</f>
        <v/>
      </c>
    </row>
    <row r="23" ht="17" customFormat="1" customHeight="1" s="1">
      <c r="E23" s="25" t="inlineStr">
        <is>
          <t xml:space="preserve">Income tax </t>
        </is>
      </c>
      <c r="F23" s="30" t="n"/>
      <c r="G23" s="31">
        <f>G22*$C$8</f>
        <v/>
      </c>
      <c r="H23" s="31">
        <f>H22*$C$8</f>
        <v/>
      </c>
      <c r="I23" s="31">
        <f>I22*$C$8</f>
        <v/>
      </c>
      <c r="J23" s="31">
        <f>J22*$C$8</f>
        <v/>
      </c>
      <c r="K23" s="31">
        <f>K22*$C$8</f>
        <v/>
      </c>
      <c r="L23" s="2" t="n"/>
      <c r="M23" s="2" t="n"/>
      <c r="N23" s="2" t="n"/>
    </row>
    <row r="24">
      <c r="E24" s="23" t="inlineStr">
        <is>
          <t>Net Income</t>
        </is>
      </c>
      <c r="F24" s="32" t="n"/>
      <c r="G24" s="33">
        <f>G22-G23</f>
        <v/>
      </c>
      <c r="H24" s="33">
        <f>H22-H23</f>
        <v/>
      </c>
      <c r="I24" s="33">
        <f>I22-I23</f>
        <v/>
      </c>
      <c r="J24" s="33">
        <f>J22-J23</f>
        <v/>
      </c>
      <c r="K24" s="33">
        <f>K22-K23</f>
        <v/>
      </c>
    </row>
    <row r="25" ht="17" customHeight="1">
      <c r="B25" s="49" t="inlineStr">
        <is>
          <t>Exit Value  after 2030</t>
        </is>
      </c>
      <c r="C25" s="50" t="n"/>
    </row>
    <row r="26" ht="17" customHeight="1">
      <c r="B26" s="51" t="n"/>
      <c r="C26" s="51" t="n"/>
      <c r="E26" s="34" t="inlineStr">
        <is>
          <t>Cash Flow Estimation</t>
        </is>
      </c>
      <c r="F26" s="35" t="n"/>
      <c r="G26" s="35" t="n"/>
      <c r="H26" s="35" t="n"/>
      <c r="I26" s="35" t="n"/>
      <c r="J26" s="35" t="n"/>
      <c r="K26" s="35" t="n"/>
    </row>
    <row r="27">
      <c r="B27" s="52" t="inlineStr">
        <is>
          <t>EBITDA - year 5 ( ₹)</t>
        </is>
      </c>
      <c r="C27" s="56">
        <f>K18</f>
        <v/>
      </c>
      <c r="E27" s="36" t="n"/>
      <c r="F27" s="36" t="n"/>
      <c r="G27" s="36" t="n"/>
      <c r="H27" s="36" t="n"/>
      <c r="I27" s="36" t="n"/>
      <c r="J27" s="36" t="n"/>
      <c r="K27" s="36" t="n"/>
    </row>
    <row r="28" ht="17" customHeight="1" thickBot="1">
      <c r="B28" s="52" t="inlineStr">
        <is>
          <t>Exit Enterprise Value ( ₹)</t>
        </is>
      </c>
      <c r="C28" s="56">
        <f>C27*C9</f>
        <v/>
      </c>
      <c r="E28" s="37" t="inlineStr">
        <is>
          <t>Cash Flow Estimation ( ₹)</t>
        </is>
      </c>
      <c r="F28" s="38" t="inlineStr">
        <is>
          <t>LTM</t>
        </is>
      </c>
      <c r="G28" s="38" t="n">
        <v>2026</v>
      </c>
      <c r="H28" s="38">
        <f>G28+1</f>
        <v/>
      </c>
      <c r="I28" s="38">
        <f>H28+1</f>
        <v/>
      </c>
      <c r="J28" s="38">
        <f>I28+1</f>
        <v/>
      </c>
      <c r="K28" s="38">
        <f>J28+1</f>
        <v/>
      </c>
    </row>
    <row r="29">
      <c r="B29" s="52" t="inlineStr">
        <is>
          <t>Exit Debt Balance Value ( ₹)</t>
        </is>
      </c>
      <c r="C29" s="56">
        <f>K7</f>
        <v/>
      </c>
      <c r="E29" s="39" t="n"/>
      <c r="F29" s="40" t="n"/>
      <c r="G29" s="40" t="n"/>
      <c r="H29" s="40" t="n"/>
      <c r="I29" s="40" t="n"/>
      <c r="J29" s="40" t="n"/>
      <c r="K29" s="40" t="n"/>
    </row>
    <row r="30">
      <c r="B30" s="52" t="inlineStr">
        <is>
          <t>Cumulative Cah built-up ( ₹)</t>
        </is>
      </c>
      <c r="C30" s="56">
        <f>K9</f>
        <v/>
      </c>
      <c r="E30" s="41" t="inlineStr">
        <is>
          <t>EBITDA</t>
        </is>
      </c>
      <c r="F30" s="42" t="n"/>
      <c r="G30" s="43">
        <f>G18</f>
        <v/>
      </c>
      <c r="H30" s="43">
        <f>H18</f>
        <v/>
      </c>
      <c r="I30" s="43">
        <f>I18</f>
        <v/>
      </c>
      <c r="J30" s="43">
        <f>J18</f>
        <v/>
      </c>
      <c r="K30" s="43">
        <f>K18</f>
        <v/>
      </c>
    </row>
    <row r="31">
      <c r="B31" s="52" t="inlineStr">
        <is>
          <t>Exit Equity Value ( ₹)</t>
        </is>
      </c>
      <c r="C31" s="56">
        <f>C28+C30</f>
        <v/>
      </c>
      <c r="E31" s="41" t="inlineStr">
        <is>
          <t>Interest expenses</t>
        </is>
      </c>
      <c r="F31" s="44" t="n"/>
      <c r="G31" s="45">
        <f>G21</f>
        <v/>
      </c>
      <c r="H31" s="45">
        <f>H21</f>
        <v/>
      </c>
      <c r="I31" s="45">
        <f>I21</f>
        <v/>
      </c>
      <c r="J31" s="45">
        <f>J21</f>
        <v/>
      </c>
      <c r="K31" s="45">
        <f>K21</f>
        <v/>
      </c>
    </row>
    <row r="32">
      <c r="B32" s="51" t="n"/>
      <c r="C32" s="51" t="n"/>
      <c r="E32" s="41" t="inlineStr">
        <is>
          <t xml:space="preserve">Income Tax </t>
        </is>
      </c>
      <c r="F32" s="46" t="n"/>
      <c r="G32" s="45">
        <f>G23</f>
        <v/>
      </c>
      <c r="H32" s="45">
        <f>H23</f>
        <v/>
      </c>
      <c r="I32" s="45">
        <f>I23</f>
        <v/>
      </c>
      <c r="J32" s="45">
        <f>J23</f>
        <v/>
      </c>
      <c r="K32" s="45">
        <f>K23</f>
        <v/>
      </c>
    </row>
    <row r="33" ht="17" customHeight="1">
      <c r="B33" s="49" t="inlineStr">
        <is>
          <t>Rate of Return</t>
        </is>
      </c>
      <c r="C33" s="50" t="n"/>
      <c r="E33" s="41" t="inlineStr">
        <is>
          <t>CAPEX</t>
        </is>
      </c>
      <c r="F33" s="46" t="n"/>
      <c r="G33" s="45">
        <f>G17*$C$12</f>
        <v/>
      </c>
      <c r="H33" s="45">
        <f>H17*$C$12</f>
        <v/>
      </c>
      <c r="I33" s="45">
        <f>I17*$C$12</f>
        <v/>
      </c>
      <c r="J33" s="45">
        <f>J17*$C$12</f>
        <v/>
      </c>
      <c r="K33" s="45">
        <f>K17*$C$12</f>
        <v/>
      </c>
    </row>
    <row r="34">
      <c r="B34" s="51" t="n"/>
      <c r="C34" s="51" t="n"/>
      <c r="E34" s="41" t="inlineStr">
        <is>
          <t>Change in NWC</t>
        </is>
      </c>
      <c r="F34" s="46" t="n"/>
      <c r="G34" s="45">
        <f>(G17*$C$13) - (F17*$C$13)</f>
        <v/>
      </c>
      <c r="H34" s="45">
        <f>(H17*$C$13) - (G17*$C$13)</f>
        <v/>
      </c>
      <c r="I34" s="45">
        <f>(I17*$C$13) - (H17*$C$13)</f>
        <v/>
      </c>
      <c r="J34" s="45">
        <f>(J17*$C$13) - (I17*$C$13)</f>
        <v/>
      </c>
      <c r="K34" s="45">
        <f>(K17*$C$13) - (J17*$C$13)</f>
        <v/>
      </c>
    </row>
    <row r="35">
      <c r="B35" s="53" t="inlineStr">
        <is>
          <t>MOIC - Multiple on Invested Capital (Equity)</t>
        </is>
      </c>
      <c r="C35" s="57">
        <f>C31/C21</f>
        <v/>
      </c>
      <c r="D35" s="75">
        <f>_xlfn.FORMULATEXT(C35)</f>
        <v/>
      </c>
      <c r="E35" s="41" t="inlineStr">
        <is>
          <t>Free Cash Flow</t>
        </is>
      </c>
      <c r="F35" s="46" t="n"/>
      <c r="G35" s="73">
        <f>G30-G31-G32-G33-G34</f>
        <v/>
      </c>
      <c r="H35" s="73">
        <f>H30-H31-H32-H33-H34</f>
        <v/>
      </c>
      <c r="I35" s="73">
        <f>I30-I31-I32-I33-I34</f>
        <v/>
      </c>
      <c r="J35" s="73">
        <f>J30-J31-J32-J33-J34</f>
        <v/>
      </c>
      <c r="K35" s="73">
        <f>K30-K31-K32-K33-K34</f>
        <v/>
      </c>
    </row>
    <row r="36" ht="17" customFormat="1" customHeight="1" s="1">
      <c r="B36" s="53" t="inlineStr">
        <is>
          <t>IRR - Internal Rate of Return</t>
        </is>
      </c>
      <c r="C36" s="54">
        <f>((C31/C21)^(1/K16))-1</f>
        <v/>
      </c>
      <c r="D36" s="75">
        <f>_xlfn.FORMULATEXT(C36)</f>
        <v/>
      </c>
      <c r="E36" s="39" t="n"/>
      <c r="F36" s="47" t="n"/>
      <c r="G36" s="48" t="n"/>
      <c r="H36" s="48" t="n"/>
      <c r="I36" s="48" t="n"/>
      <c r="J36" s="48" t="n"/>
      <c r="K36" s="48" t="n"/>
      <c r="L36" s="2" t="n"/>
      <c r="M36" s="2" t="n"/>
      <c r="N36" s="2" t="n"/>
    </row>
    <row r="37" ht="32.5" customHeight="1">
      <c r="B37" s="55" t="inlineStr">
        <is>
          <t>The Rule of 72 IRR - applicable only if your MOIC is close to 2!!!</t>
        </is>
      </c>
      <c r="C37" s="54" t="n"/>
    </row>
    <row r="38" ht="32.5" customHeight="1">
      <c r="B38" s="55" t="inlineStr">
        <is>
          <t>The Rule of 114 IRR - applicable only if your MOIC is close to 3!!!</t>
        </is>
      </c>
      <c r="C38" s="54" t="n"/>
    </row>
    <row r="39" ht="32.5" customHeight="1">
      <c r="B39" s="55" t="inlineStr">
        <is>
          <t>The Rule of 144 IRR - applicable only if your MOIC is close to 4!!!</t>
        </is>
      </c>
      <c r="C39" s="54" t="n"/>
    </row>
    <row r="40"/>
    <row r="41"/>
    <row r="42">
      <c r="B42" s="52" t="n"/>
    </row>
    <row r="43"/>
    <row r="44"/>
    <row r="45"/>
    <row r="46"/>
    <row r="47"/>
    <row r="48"/>
    <row r="49" ht="17" customFormat="1" customHeight="1" s="1">
      <c r="D49" s="2" t="n"/>
      <c r="E49" s="2" t="n"/>
      <c r="F49" s="2" t="n"/>
      <c r="G49" s="2" t="n"/>
      <c r="H49" s="2" t="n"/>
      <c r="I49" s="2" t="n"/>
      <c r="J49" s="2" t="n"/>
      <c r="K49" s="2" t="n"/>
      <c r="L49" s="2" t="n"/>
      <c r="M49" s="2" t="n"/>
      <c r="N49" s="2" t="n"/>
    </row>
    <row r="50"/>
    <row r="51"/>
    <row r="52"/>
    <row r="53"/>
    <row r="54"/>
    <row r="55"/>
    <row r="56"/>
    <row r="57" ht="17" customFormat="1" customHeight="1" s="1">
      <c r="D57" s="2" t="n"/>
      <c r="E57" s="2" t="n"/>
      <c r="F57" s="2" t="n"/>
      <c r="G57" s="2" t="n"/>
      <c r="H57" s="2" t="n"/>
      <c r="I57" s="2" t="n"/>
      <c r="J57" s="2" t="n"/>
      <c r="K57" s="2" t="n"/>
      <c r="L57" s="2" t="n"/>
      <c r="M57" s="2" t="n"/>
      <c r="N57" s="2" t="n"/>
    </row>
  </sheetData>
  <sheetProtection selectLockedCells="0" selectUnlockedCells="0" sheet="1" objects="1" insertRows="0" insertHyperlinks="1" autoFilter="0" scenarios="1" formatColumns="0" deleteColumns="0" insertColumns="0" pivotTables="0" deleteRows="0" formatCells="0" formatRows="0" sort="0" password="AE3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Windows User</dc:creator>
  <dcterms:created xmlns:dcterms="http://purl.org/dc/terms/" xmlns:xsi="http://www.w3.org/2001/XMLSchema-instance" xsi:type="dcterms:W3CDTF">2023-08-23T07:55:43Z</dcterms:created>
  <dcterms:modified xmlns:dcterms="http://purl.org/dc/terms/" xmlns:xsi="http://www.w3.org/2001/XMLSchema-instance" xsi:type="dcterms:W3CDTF">2026-01-02T06:53:57Z</dcterms:modified>
  <cp:lastModifiedBy>srikanthyadav444p</cp:lastModifiedBy>
</cp:coreProperties>
</file>