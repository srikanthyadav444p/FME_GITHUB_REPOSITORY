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1_FMCG" sheetId="3" state="visible" r:id="rId3"/>
    <sheet xmlns:r="http://schemas.openxmlformats.org/officeDocument/2006/relationships" name="P2_IT_Services" sheetId="4" state="visible" r:id="rId4"/>
    <sheet xmlns:r="http://schemas.openxmlformats.org/officeDocument/2006/relationships" name="P3_Pharma" sheetId="5" state="visible" r:id="rId5"/>
    <sheet xmlns:r="http://schemas.openxmlformats.org/officeDocument/2006/relationships" name="P4_Auto_Components" sheetId="6" state="visible" r:id="rId6"/>
    <sheet xmlns:r="http://schemas.openxmlformats.org/officeDocument/2006/relationships" name="P5_Hospitals" sheetId="7" state="visible" r:id="rId7"/>
  </sheets>
  <definedNames/>
  <calcPr calcId="191029" fullCalcOnLoad="1"/>
</workbook>
</file>

<file path=xl/styles.xml><?xml version="1.0" encoding="utf-8"?>
<styleSheet xmlns="http://schemas.openxmlformats.org/spreadsheetml/2006/main">
  <numFmts count="5">
    <numFmt numFmtId="164" formatCode="\₹\ ###,##0"/>
    <numFmt numFmtId="165" formatCode="0.0%"/>
    <numFmt numFmtId="166" formatCode="0.0&quot;×&quot;"/>
    <numFmt numFmtId="167" formatCode="0.00&quot; Times&quot;"/>
    <numFmt numFmtId="168" formatCode="0.0"/>
  </numFmts>
  <fonts count="20">
    <font>
      <name val="Calibri"/>
      <family val="2"/>
      <color theme="1"/>
      <sz val="11"/>
      <scheme val="minor"/>
    </font>
    <font>
      <name val="Calibri"/>
      <family val="2"/>
      <b val="1"/>
      <sz val="11"/>
    </font>
    <font>
      <name val="Calibri"/>
      <family val="2"/>
      <b val="1"/>
      <sz val="11"/>
    </font>
    <font>
      <name val="Calibri"/>
      <family val="2"/>
      <sz val="10"/>
    </font>
    <font>
      <name val="Calibri"/>
      <family val="2"/>
      <b val="1"/>
      <sz val="10"/>
    </font>
    <font>
      <name val="Calibri"/>
      <family val="2"/>
      <b val="1"/>
      <sz val="12"/>
    </font>
    <font>
      <name val="Calibri"/>
      <family val="2"/>
      <color rgb="FF555555"/>
      <sz val="9"/>
    </font>
    <font>
      <name val="Calibri"/>
      <family val="2"/>
      <b val="1"/>
      <color rgb="FFFFFFFF"/>
      <sz val="14"/>
    </font>
    <font>
      <name val="Calibri"/>
      <family val="2"/>
      <b val="1"/>
      <sz val="11"/>
    </font>
    <font>
      <name val="Calibri"/>
      <family val="2"/>
      <b val="1"/>
      <color rgb="FFFFFFFF"/>
      <sz val="14"/>
    </font>
    <font>
      <name val="Calibri"/>
      <family val="2"/>
      <b val="1"/>
      <sz val="11"/>
    </font>
    <font>
      <name val="Calibri"/>
      <family val="2"/>
      <b val="1"/>
      <color rgb="FF0563C1"/>
      <sz val="11"/>
      <u val="single"/>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7" tint="-0.249977111117893"/>
      <sz val="18"/>
      <scheme val="minor"/>
    </font>
    <font>
      <name val="Calibri"/>
      <family val="2"/>
      <b val="1"/>
      <color theme="1"/>
      <sz val="18"/>
      <scheme val="minor"/>
    </font>
    <font>
      <name val="Cambria"/>
      <family val="1"/>
      <i val="1"/>
      <color theme="9" tint="-0.249977111117893"/>
      <sz val="11"/>
      <scheme val="major"/>
    </font>
  </fonts>
  <fills count="19">
    <fill>
      <patternFill/>
    </fill>
    <fill>
      <patternFill patternType="gray125"/>
    </fill>
    <fill>
      <patternFill patternType="solid">
        <fgColor rgb="FFFFF2CC"/>
      </patternFill>
    </fill>
    <fill>
      <patternFill patternType="solid">
        <fgColor rgb="FFFFF7DD"/>
      </patternFill>
    </fill>
    <fill>
      <patternFill patternType="solid">
        <fgColor rgb="FFF2F2F2"/>
      </patternFill>
    </fill>
    <fill>
      <patternFill patternType="solid">
        <fgColor rgb="FFE2F0D9"/>
      </patternFill>
    </fill>
    <fill>
      <patternFill patternType="solid">
        <fgColor rgb="FFFBE5D6"/>
      </patternFill>
    </fill>
    <fill>
      <patternFill patternType="solid">
        <fgColor rgb="FFFCE4D6"/>
      </patternFill>
    </fill>
    <fill>
      <patternFill patternType="solid">
        <fgColor rgb="FFC00000"/>
      </patternFill>
    </fill>
    <fill>
      <patternFill patternType="solid">
        <fgColor rgb="FFFFD966"/>
      </patternFill>
    </fill>
    <fill>
      <patternFill patternType="solid">
        <fgColor rgb="FFF2F2F2"/>
      </patternFill>
    </fill>
    <fill>
      <patternFill patternType="solid">
        <fgColor rgb="FFFFFFFF"/>
      </patternFill>
    </fill>
    <fill>
      <patternFill patternType="solid">
        <fgColor rgb="FF1F4E79"/>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8" tint="0.3999755851924192"/>
        <bgColor indexed="64"/>
      </patternFill>
    </fill>
  </fills>
  <borders count="11">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right/>
      <top style="thin">
        <color rgb="FF9E9E9E"/>
      </top>
      <bottom/>
      <diagonal/>
    </border>
    <border>
      <left/>
      <right style="thin">
        <color rgb="FF9E9E9E"/>
      </right>
      <top style="thin">
        <color rgb="FF9E9E9E"/>
      </top>
      <bottom/>
      <diagonal/>
    </border>
    <border>
      <left/>
      <right/>
      <top style="thin">
        <color rgb="FF999999"/>
      </top>
      <bottom/>
      <diagonal/>
    </border>
    <border>
      <left/>
      <right style="thin">
        <color rgb="FF999999"/>
      </right>
      <top style="thin">
        <color rgb="FF999999"/>
      </top>
      <bottom/>
      <diagonal/>
    </border>
  </borders>
  <cellStyleXfs count="3">
    <xf numFmtId="0" fontId="12" fillId="0" borderId="0"/>
    <xf numFmtId="9" fontId="12" fillId="0" borderId="0"/>
    <xf numFmtId="0" fontId="12" fillId="0" borderId="0"/>
  </cellStyleXfs>
  <cellXfs count="78">
    <xf numFmtId="0" fontId="0" fillId="0" borderId="0" pivotButton="0" quotePrefix="0" xfId="0"/>
    <xf numFmtId="0" fontId="1" fillId="0" borderId="0" applyAlignment="1" pivotButton="0" quotePrefix="0" xfId="0">
      <alignment horizontal="left" vertical="center" wrapText="1"/>
    </xf>
    <xf numFmtId="0" fontId="0" fillId="0" borderId="0" applyAlignment="1" pivotButton="0" quotePrefix="0" xfId="0">
      <alignment horizontal="left" vertical="center" wrapText="1"/>
    </xf>
    <xf numFmtId="0" fontId="3" fillId="3" borderId="1" applyAlignment="1" pivotButton="0" quotePrefix="0" xfId="0">
      <alignment horizontal="left" vertical="center" wrapText="1"/>
    </xf>
    <xf numFmtId="164" fontId="3" fillId="2" borderId="1" applyAlignment="1" pivotButton="0" quotePrefix="0" xfId="0">
      <alignment horizontal="right" vertical="center"/>
    </xf>
    <xf numFmtId="0" fontId="3" fillId="3" borderId="1" applyAlignment="1" pivotButton="0" quotePrefix="0" xfId="0">
      <alignment horizontal="center" vertical="center" wrapText="1"/>
    </xf>
    <xf numFmtId="165" fontId="3" fillId="2" borderId="1" applyAlignment="1" pivotButton="0" quotePrefix="0" xfId="0">
      <alignment horizontal="right" vertical="center"/>
    </xf>
    <xf numFmtId="0" fontId="3" fillId="5" borderId="1" applyAlignment="1" pivotButton="0" quotePrefix="0" xfId="0">
      <alignment horizontal="left" vertical="center" wrapText="1"/>
    </xf>
    <xf numFmtId="164" fontId="3" fillId="5" borderId="1" applyAlignment="1" pivotButton="0" quotePrefix="0" xfId="0">
      <alignment horizontal="right" vertical="center"/>
    </xf>
    <xf numFmtId="166" fontId="3" fillId="2" borderId="1" applyAlignment="1" pivotButton="0" quotePrefix="0" xfId="0">
      <alignment horizontal="right" vertical="center"/>
    </xf>
    <xf numFmtId="167" fontId="3" fillId="6" borderId="1" applyAlignment="1" pivotButton="0" quotePrefix="0" xfId="0">
      <alignment horizontal="right" vertical="center"/>
    </xf>
    <xf numFmtId="0" fontId="6" fillId="6" borderId="1" applyAlignment="1" pivotButton="0" quotePrefix="0" xfId="0">
      <alignment horizontal="left" vertical="center" wrapText="1"/>
    </xf>
    <xf numFmtId="10" fontId="3" fillId="6" borderId="1" applyAlignment="1" pivotButton="0" quotePrefix="0" xfId="0">
      <alignment horizontal="right" vertical="center"/>
    </xf>
    <xf numFmtId="168" fontId="3" fillId="6" borderId="1" applyAlignment="1" pivotButton="0" quotePrefix="0" xfId="0">
      <alignment horizontal="right" vertical="center"/>
    </xf>
    <xf numFmtId="0" fontId="1" fillId="4" borderId="1" applyAlignment="1" pivotButton="0" quotePrefix="0" xfId="0">
      <alignment horizontal="left" vertical="center" wrapText="1"/>
    </xf>
    <xf numFmtId="0" fontId="3" fillId="4" borderId="1" applyAlignment="1" pivotButton="0" quotePrefix="0" xfId="0">
      <alignment horizontal="left" vertical="center" wrapText="1"/>
    </xf>
    <xf numFmtId="164" fontId="3" fillId="4" borderId="1" applyAlignment="1" pivotButton="0" quotePrefix="0" xfId="0">
      <alignment horizontal="right" vertical="center"/>
    </xf>
    <xf numFmtId="0" fontId="4" fillId="4" borderId="1" applyAlignment="1" pivotButton="0" quotePrefix="0" xfId="0">
      <alignment horizontal="left" vertical="center" wrapText="1"/>
    </xf>
    <xf numFmtId="0" fontId="1" fillId="5" borderId="1" applyAlignment="1" pivotButton="0" quotePrefix="0" xfId="0">
      <alignment horizontal="left" vertical="center" wrapText="1"/>
    </xf>
    <xf numFmtId="0" fontId="3" fillId="7" borderId="1" applyAlignment="1" pivotButton="0" quotePrefix="0" xfId="0">
      <alignment horizontal="left" vertical="center" wrapText="1"/>
    </xf>
    <xf numFmtId="0" fontId="10" fillId="0" borderId="0" applyAlignment="1" pivotButton="0" quotePrefix="0" xfId="0">
      <alignment horizontal="center" vertical="center"/>
    </xf>
    <xf numFmtId="0" fontId="0" fillId="0"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8" fillId="10" borderId="4" applyAlignment="1" pivotButton="0" quotePrefix="0" xfId="0">
      <alignment horizontal="center" vertical="center"/>
    </xf>
    <xf numFmtId="0" fontId="8" fillId="11" borderId="4" applyAlignment="1" pivotButton="0" quotePrefix="0" xfId="0">
      <alignment horizontal="center" vertical="center"/>
    </xf>
    <xf numFmtId="3" fontId="0" fillId="0" borderId="4" applyAlignment="1" pivotButton="0" quotePrefix="0" xfId="0">
      <alignment horizontal="center" vertical="center"/>
    </xf>
    <xf numFmtId="164" fontId="3" fillId="5" borderId="1" applyAlignment="1" pivotButton="0" quotePrefix="0" xfId="0">
      <alignment horizontal="center" vertical="center"/>
    </xf>
    <xf numFmtId="0" fontId="8" fillId="11" borderId="4" applyAlignment="1" pivotButton="0" quotePrefix="0" xfId="0">
      <alignment horizontal="left" vertical="center"/>
    </xf>
    <xf numFmtId="0" fontId="3" fillId="5" borderId="1" applyAlignment="1" pivotButton="0" quotePrefix="0" xfId="0">
      <alignment horizontal="center" vertical="center" wrapText="1"/>
    </xf>
    <xf numFmtId="167" fontId="3" fillId="6" borderId="1" applyAlignment="1" pivotButton="0" quotePrefix="0" xfId="0">
      <alignment horizontal="center" vertical="center"/>
    </xf>
    <xf numFmtId="0" fontId="6" fillId="6" borderId="1" applyAlignment="1" pivotButton="0" quotePrefix="0" xfId="0">
      <alignment horizontal="center" vertical="center" wrapText="1"/>
    </xf>
    <xf numFmtId="10" fontId="3" fillId="6" borderId="1" applyAlignment="1" pivotButton="0" quotePrefix="0" xfId="0">
      <alignment horizontal="left" vertical="center"/>
    </xf>
    <xf numFmtId="168" fontId="3" fillId="6" borderId="1" applyAlignment="1" pivotButton="0" quotePrefix="0" xfId="0">
      <alignment horizontal="center" vertical="center"/>
    </xf>
    <xf numFmtId="168" fontId="3" fillId="6" borderId="1" applyAlignment="1" pivotButton="0" quotePrefix="0" xfId="0">
      <alignment horizontal="left" vertical="center"/>
    </xf>
    <xf numFmtId="164" fontId="3" fillId="7" borderId="1" applyAlignment="1" pivotButton="0" quotePrefix="0" xfId="0">
      <alignment horizontal="left" vertical="center"/>
    </xf>
    <xf numFmtId="10" fontId="6" fillId="6" borderId="1" applyAlignment="1" pivotButton="0" quotePrefix="0" xfId="1">
      <alignment horizontal="left" vertical="center" wrapText="1"/>
    </xf>
    <xf numFmtId="0" fontId="0" fillId="0" borderId="0" applyAlignment="1" pivotButton="0" quotePrefix="0" xfId="0">
      <alignment horizontal="right"/>
    </xf>
    <xf numFmtId="3" fontId="0" fillId="0" borderId="4" applyAlignment="1" pivotButton="0" quotePrefix="0" xfId="0">
      <alignment horizontal="right" vertical="center"/>
    </xf>
    <xf numFmtId="0" fontId="6" fillId="6" borderId="1" applyAlignment="1" pivotButton="0" quotePrefix="0" xfId="0">
      <alignment horizontal="right" vertical="center" wrapText="1"/>
    </xf>
    <xf numFmtId="10" fontId="6" fillId="6" borderId="1" applyAlignment="1" pivotButton="0" quotePrefix="0" xfId="1">
      <alignment horizontal="right" vertical="center" wrapText="1"/>
    </xf>
    <xf numFmtId="0" fontId="8" fillId="10" borderId="4" applyAlignment="1" pivotButton="0" quotePrefix="0" xfId="0">
      <alignment horizontal="right" vertical="center"/>
    </xf>
    <xf numFmtId="0" fontId="8" fillId="11" borderId="4" applyAlignment="1" pivotButton="0" quotePrefix="0" xfId="0">
      <alignment horizontal="right" vertical="center"/>
    </xf>
    <xf numFmtId="0" fontId="14" fillId="0" borderId="0" applyAlignment="1" pivotButton="0" quotePrefix="0" xfId="2">
      <alignment vertical="center"/>
    </xf>
    <xf numFmtId="0" fontId="12" fillId="0" borderId="0" pivotButton="0" quotePrefix="0" xfId="2"/>
    <xf numFmtId="0" fontId="15" fillId="0" borderId="0" applyAlignment="1" pivotButton="0" quotePrefix="0" xfId="2">
      <alignment vertical="center"/>
    </xf>
    <xf numFmtId="0" fontId="16" fillId="0" borderId="0" pivotButton="0" quotePrefix="0" xfId="2"/>
    <xf numFmtId="0" fontId="17" fillId="0" borderId="0" applyAlignment="1" pivotButton="0" quotePrefix="0" xfId="2">
      <alignment vertical="center"/>
    </xf>
    <xf numFmtId="0" fontId="18" fillId="14" borderId="0" applyAlignment="1" pivotButton="0" quotePrefix="0" xfId="2">
      <alignment vertical="center"/>
    </xf>
    <xf numFmtId="0" fontId="12" fillId="14" borderId="0" pivotButton="0" quotePrefix="0" xfId="2"/>
    <xf numFmtId="0" fontId="18" fillId="15" borderId="0" applyAlignment="1" pivotButton="0" quotePrefix="0" xfId="2">
      <alignment vertical="center"/>
    </xf>
    <xf numFmtId="0" fontId="13" fillId="16" borderId="0" applyAlignment="1" pivotButton="0" quotePrefix="0" xfId="2">
      <alignment vertical="top" wrapText="1"/>
    </xf>
    <xf numFmtId="0" fontId="12" fillId="0" borderId="0" applyAlignment="1" pivotButton="0" quotePrefix="0" xfId="2">
      <alignment horizontal="left" vertical="center" indent="1"/>
    </xf>
    <xf numFmtId="0" fontId="13" fillId="0" borderId="0" pivotButton="0" quotePrefix="0" xfId="2"/>
    <xf numFmtId="0" fontId="13" fillId="0" borderId="0" applyAlignment="1" pivotButton="0" quotePrefix="0" xfId="2">
      <alignment horizontal="left" vertical="center" indent="1"/>
    </xf>
    <xf numFmtId="0" fontId="18" fillId="18" borderId="0" applyAlignment="1" pivotButton="0" quotePrefix="0" xfId="0">
      <alignment vertical="center"/>
    </xf>
    <xf numFmtId="0" fontId="19" fillId="0" borderId="0" applyAlignment="1" pivotButton="0" quotePrefix="0" xfId="0">
      <alignment wrapText="1"/>
    </xf>
    <xf numFmtId="0" fontId="12" fillId="13" borderId="0" applyAlignment="1" pivotButton="0" quotePrefix="0" xfId="2">
      <alignment horizontal="justify" vertical="justify" wrapText="1"/>
    </xf>
    <xf numFmtId="0" fontId="12" fillId="13" borderId="0" applyAlignment="1" pivotButton="0" quotePrefix="0" xfId="2">
      <alignment horizontal="left" vertical="top" wrapText="1"/>
    </xf>
    <xf numFmtId="0" fontId="12" fillId="17" borderId="0" applyAlignment="1" pivotButton="0" quotePrefix="0" xfId="2">
      <alignment horizontal="justify" vertical="justify" wrapText="1"/>
    </xf>
    <xf numFmtId="0" fontId="9" fillId="12" borderId="0" applyAlignment="1" pivotButton="0" quotePrefix="0" xfId="0">
      <alignment horizontal="center" vertical="center"/>
    </xf>
    <xf numFmtId="0" fontId="0" fillId="0" borderId="0" pivotButton="0" quotePrefix="0" xfId="0"/>
    <xf numFmtId="0" fontId="8" fillId="9" borderId="4" applyAlignment="1" pivotButton="0" quotePrefix="0" xfId="0">
      <alignment horizontal="left" vertical="center"/>
    </xf>
    <xf numFmtId="0" fontId="0" fillId="0" borderId="5" pivotButton="0" quotePrefix="0" xfId="0"/>
    <xf numFmtId="0" fontId="0" fillId="0" borderId="6" pivotButton="0" quotePrefix="0" xfId="0"/>
    <xf numFmtId="0" fontId="3" fillId="6" borderId="1" applyAlignment="1" pivotButton="0" quotePrefix="0" xfId="0">
      <alignment horizontal="left" vertical="center" wrapText="1"/>
    </xf>
    <xf numFmtId="0" fontId="0" fillId="0" borderId="2" pivotButton="0" quotePrefix="0" xfId="0"/>
    <xf numFmtId="0" fontId="0" fillId="0" borderId="3" pivotButton="0" quotePrefix="0" xfId="0"/>
    <xf numFmtId="0" fontId="7" fillId="8" borderId="1" applyAlignment="1" pivotButton="0" quotePrefix="0" xfId="0">
      <alignment horizontal="left" vertical="center"/>
    </xf>
    <xf numFmtId="0" fontId="2" fillId="5"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2" borderId="1" applyAlignment="1" pivotButton="0" quotePrefix="0" xfId="0">
      <alignment horizontal="left" vertical="center" wrapText="1"/>
    </xf>
    <xf numFmtId="0" fontId="2" fillId="4"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8" fillId="9" borderId="4" applyAlignment="1" pivotButton="0" quotePrefix="0" xfId="0">
      <alignment horizontal="right" vertical="center"/>
    </xf>
    <xf numFmtId="0" fontId="0" fillId="0" borderId="5" applyAlignment="1" pivotButton="0" quotePrefix="0" xfId="0">
      <alignment horizontal="right"/>
    </xf>
    <xf numFmtId="0" fontId="0" fillId="0" borderId="6" applyAlignment="1" pivotButton="0" quotePrefix="0" xfId="0">
      <alignment horizontal="right"/>
    </xf>
  </cellXfs>
  <cellStyles count="3">
    <cellStyle name="Normal" xfId="0" builtinId="0"/>
    <cellStyle name="Percent" xfId="1" builtinId="5"/>
    <cellStyle name="Normal 2" xfId="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9535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5" workbookViewId="0">
      <selection activeCell="I8" sqref="I8"/>
    </sheetView>
  </sheetViews>
  <sheetFormatPr baseColWidth="8" defaultRowHeight="14.5"/>
  <cols>
    <col width="8.7265625" customWidth="1" style="44" min="1" max="6"/>
    <col width="13.90625" customWidth="1" style="44" min="7" max="7"/>
    <col width="5.6328125" customWidth="1" style="44" min="8" max="8"/>
    <col width="71.6328125" customWidth="1" style="44" min="9" max="9"/>
    <col width="7.1796875" customWidth="1" style="44" min="10" max="10"/>
    <col width="8.7265625" customWidth="1" style="44" min="11" max="16384"/>
  </cols>
  <sheetData>
    <row r="1" ht="31" customHeight="1" s="61">
      <c r="A1" s="43" t="inlineStr">
        <is>
          <t>FINANCIAL MODELING USING EXCEL</t>
        </is>
      </c>
    </row>
    <row r="2"/>
    <row r="3" ht="23.5" customHeight="1" s="61">
      <c r="A3" s="45" t="inlineStr">
        <is>
          <t>Operational Leveraged Buyout (LBO) – Multiple Problems Workbook Using Excel</t>
        </is>
      </c>
    </row>
    <row r="4" ht="23.5" customHeight="1" s="61">
      <c r="I4" s="55" t="inlineStr">
        <is>
          <t>Learning Philosophy</t>
        </is>
      </c>
    </row>
    <row r="5">
      <c r="A5" s="46" t="inlineStr">
        <is>
          <t>Cash Flow–Driven Leverage Sustainability and Equity Return Analysis</t>
        </is>
      </c>
    </row>
    <row r="6" ht="28.5" customHeight="1" s="61">
      <c r="I6" s="56" t="inlineStr">
        <is>
          <t>Operational LBO mastery is built by testing leverage against cash flows across multiple scenarios—not by relying on a single model.</t>
        </is>
      </c>
    </row>
    <row r="7" ht="23.5" customHeight="1" s="61">
      <c r="A7" s="47" t="inlineStr">
        <is>
          <t>Workbook Purpose</t>
        </is>
      </c>
    </row>
    <row r="8"/>
    <row r="9" ht="132.5" customHeight="1" s="61">
      <c r="A9" s="57" t="inlineStr">
        <is>
          <t>This workbook is a problem-based Operational LBO practice set comprising five structured LBO problems, each designed to test and reinforce understanding of operating cash flows, debt servicing capacity, and equity value creation under leverage. Unlike a single integrated case, this workbook exposes learners to varying operating assumptions, financing structures, and cash sweep rules, requiring disciplined analysis across multiple scenarios.
The objective is to build operational judgment in leveraged transactions—assessing whether a business can support acquisition debt through internally generated cash flows and evaluating the resulting equity returns at exit. Excel is used as a transparent, auditable platform to link operating performance with financing mechanics and investor outcomes, mirroring private equity and leveraged finance practice.</t>
        </is>
      </c>
    </row>
    <row r="10"/>
    <row r="11"/>
    <row r="12"/>
    <row r="13"/>
    <row r="14"/>
    <row r="15" ht="23.5" customHeight="1" s="61">
      <c r="A15" s="48" t="inlineStr">
        <is>
          <t>Key Concepts Covered</t>
        </is>
      </c>
      <c r="B15" s="49" t="n"/>
      <c r="C15" s="49" t="n"/>
      <c r="D15" s="49" t="n"/>
      <c r="E15" s="49" t="n"/>
      <c r="F15" s="49" t="n"/>
      <c r="G15" s="49" t="n"/>
      <c r="I15" s="50" t="inlineStr">
        <is>
          <t>Excel Functions Used</t>
        </is>
      </c>
    </row>
    <row r="16" ht="311.5" customHeight="1" s="61">
      <c r="A16" s="58" t="inlineStr">
        <is>
          <t>Leveraged buyout transaction logic and deal structure
Sources and uses of funds across multiple problem settings
Operating forecast drivers: revenue growth, margins, working capital, capex
Free cash flow available for debt service
Debt tranches, interest computation, and principal amortization
Cash sweep mechanisms and leverage evolution over time
Minimum cash constraints and repayment priority rules
Exit valuation assumptions and equity proceeds
Equity IRR and MOIC interpretation across scenarios
Sensitivity of outcomes to operating and financing assumptions</t>
        </is>
      </c>
      <c r="I16" s="51" t="inlineStr">
        <is>
          <t xml:space="preserve">The following Excel functions are used accurately and completely across the five LBO problems to support operating forecasts, debt mechanics, valuation, and return analysis:
SUM – Aggregates operating results, cash flows, and financing balances
IF – Implements conditional logic for cash sweeps, repayment waterfalls, and constraints
IFERROR – Handles numerical edge cases and maintains model robustness
ABS – Enforces disciplined cash-flow and financing sign conventions
ROUND – Ensures numerical clarity and reporting precision
MAX / MIN – Applies bounds such as minimum cash balances and repayment limits
AVERAGE – Computes representative assumptions where applicable
NPV – Discounts equity cash flows in structured valuation blocks
IRR – Computes internal rate of return to equity investors (periodic cash flows)
XIRR – Computes equity returns using exact cash-flow dates where applicable
INDEX – Retrieves period-specific operating, debt, and valuation inputs dynamically
MATCH – Locates corresponding rows or columns within structured model tables
INDEX–MATCH – Enables flexible, auditable cross-sheet referencing
SUMPRODUCT – Computes weighted averages and blended rates (e.g., blended cost of debt)
PERCENTAGE CALCULATIONS – Used for growth rates, margins, leverage ratios, ownership, and exit assumptions
CHOOSE – Facilitates structured selection among alternative scenarios or problem settings
HYPERLINK – Provides navigation across index, problem sheets, operating models, debt schedules, and returns summaries
The workbook emphasizes cash-flow discipline, clear separation of operating and financing logic, and consistent application of repayment rules across multiple LBO scenarios.
</t>
        </is>
      </c>
    </row>
    <row r="17">
      <c r="A17" s="52" t="n"/>
    </row>
    <row r="18">
      <c r="A18" s="52" t="n"/>
      <c r="E18" s="59"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53" t="n"/>
    </row>
    <row r="19">
      <c r="A19" s="52" t="n"/>
    </row>
    <row r="20">
      <c r="A20" s="52" t="n"/>
      <c r="I20" s="53" t="n"/>
    </row>
    <row r="21">
      <c r="A21" s="52" t="n"/>
    </row>
    <row r="22">
      <c r="A22" s="52" t="n"/>
      <c r="I22" s="53" t="n"/>
    </row>
    <row r="23">
      <c r="A23" s="52" t="n"/>
    </row>
    <row r="24">
      <c r="A24" s="52" t="n"/>
      <c r="I24" s="53" t="n"/>
    </row>
    <row r="25">
      <c r="A25" s="52" t="n"/>
    </row>
    <row r="26">
      <c r="A26" s="52" t="n"/>
      <c r="I26" s="53" t="n"/>
    </row>
    <row r="27">
      <c r="A27" s="52" t="n"/>
    </row>
    <row r="28">
      <c r="A28" s="52" t="n"/>
      <c r="I28" s="53" t="n"/>
    </row>
    <row r="29">
      <c r="A29" s="52" t="n"/>
    </row>
    <row r="30">
      <c r="A30" s="52" t="n"/>
      <c r="I30" s="53" t="n"/>
    </row>
    <row r="31">
      <c r="A31" s="52" t="n"/>
      <c r="I31" s="52" t="n"/>
    </row>
    <row r="32">
      <c r="A32" s="52" t="n"/>
      <c r="I32" s="54" t="n"/>
    </row>
    <row r="33">
      <c r="A33" s="52"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8"/>
  <sheetViews>
    <sheetView workbookViewId="0">
      <selection activeCell="B4" sqref="B4"/>
    </sheetView>
  </sheetViews>
  <sheetFormatPr baseColWidth="8" defaultRowHeight="14.5"/>
  <cols>
    <col width="40" customWidth="1" style="61" min="1" max="1"/>
    <col width="12" customWidth="1" style="61" min="2" max="2"/>
    <col width="2" customWidth="1" style="61" min="3" max="4"/>
  </cols>
  <sheetData>
    <row r="1" ht="24" customHeight="1" s="61">
      <c r="A1" s="60" t="inlineStr">
        <is>
          <t>Operational LBO Models – Index</t>
        </is>
      </c>
    </row>
    <row r="2"/>
    <row r="3">
      <c r="A3" s="20" t="inlineStr">
        <is>
          <t>Sheet</t>
        </is>
      </c>
      <c r="B3" s="20" t="inlineStr">
        <is>
          <t>Link</t>
        </is>
      </c>
    </row>
    <row r="4">
      <c r="A4" s="21" t="inlineStr">
        <is>
          <t>P1_FMCG</t>
        </is>
      </c>
      <c r="B4" s="22" t="inlineStr">
        <is>
          <t>Go</t>
        </is>
      </c>
    </row>
    <row r="5">
      <c r="A5" s="21" t="inlineStr">
        <is>
          <t>P2_IT_Services</t>
        </is>
      </c>
      <c r="B5" s="22" t="inlineStr">
        <is>
          <t>Go</t>
        </is>
      </c>
    </row>
    <row r="6">
      <c r="A6" s="21" t="inlineStr">
        <is>
          <t>P3_Pharma</t>
        </is>
      </c>
      <c r="B6" s="22" t="inlineStr">
        <is>
          <t>Go</t>
        </is>
      </c>
    </row>
    <row r="7">
      <c r="A7" s="21" t="inlineStr">
        <is>
          <t>P4_Auto_Components</t>
        </is>
      </c>
      <c r="B7" s="22" t="inlineStr">
        <is>
          <t>Go</t>
        </is>
      </c>
    </row>
    <row r="8">
      <c r="A8" s="21" t="inlineStr">
        <is>
          <t>P5_Hospitals</t>
        </is>
      </c>
      <c r="B8" s="22" t="inlineStr">
        <is>
          <t>Go</t>
        </is>
      </c>
    </row>
  </sheetData>
  <sheetProtection selectLockedCells="0" selectUnlockedCells="0" sheet="1" objects="1" insertRows="0" insertHyperlinks="1" autoFilter="0" scenarios="1" formatColumns="0" deleteColumns="0" insertColumns="0" pivotTables="0" deleteRows="0" formatCells="0" formatRows="0" sort="0" password="AE3A"/>
  <mergeCells count="1">
    <mergeCell ref="A1:D1"/>
  </mergeCells>
  <hyperlinks>
    <hyperlink ref="B4" location="'P1_FMCG'!A1" display="Go"/>
    <hyperlink ref="B5" location="'P2_IT_Services'!A1" display="Go"/>
    <hyperlink ref="B6" location="'P3_Pharma'!A1" display="Go"/>
    <hyperlink ref="B7" location="'P4_Auto_Components'!A1" display="Go"/>
    <hyperlink ref="B8" location="'P5_Hospitals'!A1" display="Go"/>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3"/>
  <sheetViews>
    <sheetView zoomScale="85" zoomScaleNormal="85" workbookViewId="0">
      <selection activeCell="O6" sqref="O6"/>
    </sheetView>
  </sheetViews>
  <sheetFormatPr baseColWidth="8" defaultRowHeight="14.5"/>
  <cols>
    <col width="2" customWidth="1" style="61" min="1" max="1"/>
    <col width="34" customWidth="1" style="61" min="2" max="2"/>
    <col width="18" customWidth="1" style="61" min="3" max="3"/>
    <col width="12" customWidth="1" style="61" min="4" max="4"/>
    <col width="16" customWidth="1" style="61" min="5" max="8"/>
    <col width="2" customWidth="1" style="61" min="9" max="9"/>
    <col width="32" customWidth="1" style="61" min="10" max="10"/>
    <col width="18" customWidth="1" style="61" min="11" max="11"/>
    <col width="14" customWidth="1" style="61" min="12" max="15"/>
    <col width="15.36328125" bestFit="1" customWidth="1" style="61" min="17" max="17"/>
    <col width="9.54296875" bestFit="1" customWidth="1" style="61" min="18" max="22"/>
  </cols>
  <sheetData>
    <row r="1" ht="18.5" customHeight="1" s="61">
      <c r="A1" s="23" t="inlineStr">
        <is>
          <t>← Back to Index</t>
        </is>
      </c>
      <c r="B1" s="68" t="inlineStr">
        <is>
          <t>LBO Model – FMCG (Packaged Food)</t>
        </is>
      </c>
      <c r="C1" s="66" t="n"/>
      <c r="D1" s="66" t="n"/>
      <c r="E1" s="66" t="n"/>
      <c r="F1" s="66" t="n"/>
      <c r="G1" s="66" t="n"/>
      <c r="H1" s="67" t="n"/>
    </row>
    <row r="2" ht="43.5" customHeight="1" s="61">
      <c r="B2" s="1" t="inlineStr">
        <is>
          <t>Currency:</t>
        </is>
      </c>
      <c r="C2" s="2" t="inlineStr">
        <is>
          <t>INR (₹) — Indian digit grouping (lakhs/crores)</t>
        </is>
      </c>
    </row>
    <row r="3">
      <c r="Q3" s="62" t="inlineStr">
        <is>
          <t>DEBT SERVICE SCHEDULE</t>
        </is>
      </c>
      <c r="R3" s="63" t="n"/>
      <c r="S3" s="63" t="n"/>
      <c r="T3" s="63" t="n"/>
      <c r="U3" s="63" t="n"/>
      <c r="V3" s="64" t="n"/>
    </row>
    <row r="4">
      <c r="B4" s="71" t="inlineStr">
        <is>
          <t>INPUTS (manual entries)</t>
        </is>
      </c>
      <c r="C4" s="66" t="n"/>
      <c r="D4" s="67" t="n"/>
      <c r="J4" s="74" t="inlineStr">
        <is>
          <t>OUTPUTS (auto)</t>
        </is>
      </c>
      <c r="K4" s="67" t="n"/>
      <c r="Q4" s="24" t="inlineStr">
        <is>
          <t>Year</t>
        </is>
      </c>
      <c r="R4" s="24">
        <f>D21</f>
        <v/>
      </c>
      <c r="S4" s="24">
        <f>E21</f>
        <v/>
      </c>
      <c r="T4" s="24">
        <f>F21</f>
        <v/>
      </c>
      <c r="U4" s="24">
        <f>G21</f>
        <v/>
      </c>
      <c r="V4" s="24">
        <f>H21</f>
        <v/>
      </c>
    </row>
    <row r="5">
      <c r="B5" s="3" t="inlineStr">
        <is>
          <t>LTM Sales</t>
        </is>
      </c>
      <c r="C5" s="4" t="n">
        <v>6500000</v>
      </c>
      <c r="D5" s="5" t="inlineStr">
        <is>
          <t>₹</t>
        </is>
      </c>
      <c r="J5" s="69" t="inlineStr">
        <is>
          <t>Valuation</t>
        </is>
      </c>
      <c r="K5" s="67" t="n"/>
      <c r="Q5" s="25" t="inlineStr">
        <is>
          <t>Opening Debt</t>
        </is>
      </c>
      <c r="R5" s="26">
        <f>K8</f>
        <v/>
      </c>
      <c r="S5" s="26">
        <f>R9</f>
        <v/>
      </c>
      <c r="T5" s="26">
        <f>S9</f>
        <v/>
      </c>
      <c r="U5" s="26">
        <f>T9</f>
        <v/>
      </c>
      <c r="V5" s="26">
        <f>U9</f>
        <v/>
      </c>
    </row>
    <row r="6">
      <c r="B6" s="3" t="inlineStr">
        <is>
          <t>LTM EBITDA Margin</t>
        </is>
      </c>
      <c r="C6" s="6" t="n">
        <v>0.22</v>
      </c>
      <c r="D6" s="5" t="inlineStr">
        <is>
          <t>%</t>
        </is>
      </c>
      <c r="J6" s="7" t="inlineStr">
        <is>
          <t>Entry EBITDA (Y0)</t>
        </is>
      </c>
      <c r="K6" s="27">
        <f>C23</f>
        <v/>
      </c>
      <c r="Q6" s="28" t="inlineStr">
        <is>
          <t>Interest Expense</t>
        </is>
      </c>
      <c r="R6" s="26">
        <f>R5*$C$13</f>
        <v/>
      </c>
      <c r="S6" s="26">
        <f>S5*$C$13</f>
        <v/>
      </c>
      <c r="T6" s="26">
        <f>T5*$C$13</f>
        <v/>
      </c>
      <c r="U6" s="26">
        <f>U5*$C$13</f>
        <v/>
      </c>
      <c r="V6" s="26">
        <f>V5*$C$13</f>
        <v/>
      </c>
    </row>
    <row r="7">
      <c r="B7" s="3" t="inlineStr">
        <is>
          <t>Entry EBITDA Multiple</t>
        </is>
      </c>
      <c r="C7" s="9" t="n">
        <v>8</v>
      </c>
      <c r="D7" s="5" t="inlineStr">
        <is>
          <t>x</t>
        </is>
      </c>
      <c r="J7" s="7" t="inlineStr">
        <is>
          <t>Entry EV</t>
        </is>
      </c>
      <c r="K7" s="27">
        <f>K6*C7</f>
        <v/>
      </c>
      <c r="Q7" s="25" t="inlineStr">
        <is>
          <t>CFADS (FCF)</t>
        </is>
      </c>
      <c r="R7" s="26">
        <f>D32</f>
        <v/>
      </c>
      <c r="S7" s="26">
        <f>E32</f>
        <v/>
      </c>
      <c r="T7" s="26">
        <f>F32</f>
        <v/>
      </c>
      <c r="U7" s="26">
        <f>G32</f>
        <v/>
      </c>
      <c r="V7" s="26">
        <f>H32</f>
        <v/>
      </c>
    </row>
    <row r="8">
      <c r="B8" s="3" t="inlineStr">
        <is>
          <t>Annual Sales Growth</t>
        </is>
      </c>
      <c r="C8" s="6" t="n">
        <v>0.1</v>
      </c>
      <c r="D8" s="5" t="inlineStr">
        <is>
          <t>%</t>
        </is>
      </c>
      <c r="J8" s="7" t="inlineStr">
        <is>
          <t>Debt at Entry</t>
        </is>
      </c>
      <c r="K8" s="27">
        <f>K7*C12</f>
        <v/>
      </c>
      <c r="Q8" s="28" t="inlineStr">
        <is>
          <t>Debt Repayment</t>
        </is>
      </c>
      <c r="R8" s="26">
        <f>MIN(R5,R7)</f>
        <v/>
      </c>
      <c r="S8" s="26">
        <f>MIN(S5,S7)</f>
        <v/>
      </c>
      <c r="T8" s="26">
        <f>MIN(T5,T7)</f>
        <v/>
      </c>
      <c r="U8" s="26">
        <f>MIN(U5,U7)</f>
        <v/>
      </c>
      <c r="V8" s="26">
        <f>MIN(V5,V7)</f>
        <v/>
      </c>
    </row>
    <row r="9">
      <c r="B9" s="3" t="inlineStr">
        <is>
          <t>Projected EBITDA Margin (Y1–Y5)</t>
        </is>
      </c>
      <c r="C9" s="6" t="n">
        <v>0.24</v>
      </c>
      <c r="D9" s="5" t="inlineStr">
        <is>
          <t>%</t>
        </is>
      </c>
      <c r="J9" s="7" t="inlineStr">
        <is>
          <t>Equity at Entry</t>
        </is>
      </c>
      <c r="K9" s="27">
        <f>K7-K8</f>
        <v/>
      </c>
      <c r="Q9" s="25" t="inlineStr">
        <is>
          <t>Closing Debt</t>
        </is>
      </c>
      <c r="R9" s="26">
        <f>R5-R8</f>
        <v/>
      </c>
      <c r="S9" s="26">
        <f>S5-S8</f>
        <v/>
      </c>
      <c r="T9" s="26">
        <f>T5-T8</f>
        <v/>
      </c>
      <c r="U9" s="26">
        <f>U5-U8</f>
        <v/>
      </c>
      <c r="V9" s="26">
        <f>V5-V8</f>
        <v/>
      </c>
    </row>
    <row r="10">
      <c r="B10" s="3" t="inlineStr">
        <is>
          <t>Corporate Tax Rate</t>
        </is>
      </c>
      <c r="C10" s="6" t="n">
        <v>0.25</v>
      </c>
      <c r="D10" s="5" t="inlineStr">
        <is>
          <t>%</t>
        </is>
      </c>
      <c r="Q10" s="28" t="inlineStr">
        <is>
          <t>Cash Build-Up</t>
        </is>
      </c>
      <c r="R10" s="26">
        <f>R7-R8</f>
        <v/>
      </c>
      <c r="S10" s="26">
        <f>S7-S8</f>
        <v/>
      </c>
      <c r="T10" s="26">
        <f>T7-T8</f>
        <v/>
      </c>
      <c r="U10" s="26">
        <f>U7-U8</f>
        <v/>
      </c>
      <c r="V10" s="26">
        <f>V7-V8</f>
        <v/>
      </c>
    </row>
    <row r="11">
      <c r="B11" s="3" t="inlineStr">
        <is>
          <t>Exit EBITDA Multiple (Year 5)</t>
        </is>
      </c>
      <c r="C11" s="9" t="n">
        <v>9</v>
      </c>
      <c r="D11" s="5" t="inlineStr">
        <is>
          <t>x</t>
        </is>
      </c>
      <c r="J11" s="7" t="inlineStr">
        <is>
          <t>Exit EBITDA (Y5)</t>
        </is>
      </c>
      <c r="K11" s="27">
        <f>H23</f>
        <v/>
      </c>
      <c r="Q11" s="28" t="inlineStr">
        <is>
          <t>Cumulative Cash</t>
        </is>
      </c>
      <c r="R11" s="26">
        <f>R10</f>
        <v/>
      </c>
      <c r="S11" s="26">
        <f>R11+S10</f>
        <v/>
      </c>
      <c r="T11" s="26">
        <f>S11+T10</f>
        <v/>
      </c>
      <c r="U11" s="26">
        <f>T11+U10</f>
        <v/>
      </c>
      <c r="V11" s="26">
        <f>U11+V10</f>
        <v/>
      </c>
    </row>
    <row r="12">
      <c r="B12" s="3" t="inlineStr">
        <is>
          <t>% Debt Financing (at Entry)</t>
        </is>
      </c>
      <c r="C12" s="6" t="n">
        <v>0.3</v>
      </c>
      <c r="D12" s="5" t="inlineStr">
        <is>
          <t>%</t>
        </is>
      </c>
      <c r="J12" s="7" t="inlineStr">
        <is>
          <t>Exit EV</t>
        </is>
      </c>
      <c r="K12" s="27">
        <f>K11*C11</f>
        <v/>
      </c>
    </row>
    <row r="13">
      <c r="B13" s="3" t="inlineStr">
        <is>
          <t>Interest Rate on Debt</t>
        </is>
      </c>
      <c r="C13" s="6" t="n">
        <v>0.1</v>
      </c>
      <c r="D13" s="5" t="inlineStr">
        <is>
          <t>%</t>
        </is>
      </c>
      <c r="J13" s="7" t="inlineStr">
        <is>
          <t>Ending Debt (assumed same as entry)</t>
        </is>
      </c>
      <c r="K13" s="27">
        <f>V9</f>
        <v/>
      </c>
    </row>
    <row r="14">
      <c r="B14" s="3" t="inlineStr">
        <is>
          <t>D&amp;A as % of Sales</t>
        </is>
      </c>
      <c r="C14" s="6" t="n">
        <v>0.06</v>
      </c>
      <c r="D14" s="5" t="inlineStr">
        <is>
          <t>%</t>
        </is>
      </c>
      <c r="J14" s="7" t="inlineStr">
        <is>
          <t>Equity at Exit</t>
        </is>
      </c>
      <c r="K14" s="27">
        <f>K12-K13+V11</f>
        <v/>
      </c>
    </row>
    <row r="15">
      <c r="B15" s="3" t="inlineStr">
        <is>
          <t>CAPEX as % of Sales</t>
        </is>
      </c>
      <c r="C15" s="6" t="n">
        <v>0.07000000000000001</v>
      </c>
      <c r="D15" s="5" t="inlineStr">
        <is>
          <t>%</t>
        </is>
      </c>
    </row>
    <row r="16" ht="15.5" customHeight="1" s="61">
      <c r="B16" s="3" t="inlineStr">
        <is>
          <t>NWC Investment as % of Incremental Sales</t>
        </is>
      </c>
      <c r="C16" s="6" t="n">
        <v>0.08</v>
      </c>
      <c r="D16" s="5" t="inlineStr">
        <is>
          <t>%</t>
        </is>
      </c>
      <c r="J16" s="73" t="inlineStr">
        <is>
          <t>Rate of Return</t>
        </is>
      </c>
      <c r="K16" s="66" t="n"/>
      <c r="L16" s="66" t="n"/>
      <c r="M16" s="66" t="n"/>
      <c r="N16" s="66" t="n"/>
      <c r="O16" s="67" t="n"/>
    </row>
    <row r="17"/>
    <row r="18">
      <c r="J18" s="65" t="inlineStr">
        <is>
          <t>MOIC - Multiple on Invested Capital (Equity)</t>
        </is>
      </c>
      <c r="K18" s="66" t="n"/>
      <c r="L18" s="66" t="n"/>
      <c r="M18" s="67" t="n"/>
      <c r="N18" s="30">
        <f>K14/K9</f>
        <v/>
      </c>
      <c r="O18" s="31">
        <f>K14/K9</f>
        <v/>
      </c>
    </row>
    <row r="19">
      <c r="J19" s="65" t="inlineStr">
        <is>
          <t>IRR - Internal Rate of Return</t>
        </is>
      </c>
      <c r="K19" s="66" t="n"/>
      <c r="L19" s="66" t="n"/>
      <c r="M19" s="67" t="n"/>
      <c r="N19" s="32">
        <f>((K14/K9)^(1/5))-1</f>
        <v/>
      </c>
      <c r="O19" s="36">
        <f>(O18^(1/5))-1</f>
        <v/>
      </c>
    </row>
    <row r="20">
      <c r="B20" s="72" t="inlineStr">
        <is>
          <t>PROJECTIONS &amp; CALCULATIONS (formula-driven)</t>
        </is>
      </c>
      <c r="C20" s="66" t="n"/>
      <c r="D20" s="66" t="n"/>
      <c r="E20" s="66" t="n"/>
      <c r="F20" s="66" t="n"/>
      <c r="G20" s="66" t="n"/>
      <c r="H20" s="67" t="n"/>
      <c r="J20" s="65" t="inlineStr">
        <is>
          <t>The Rule of 72 IRR - applicable only if your MOIC is close to 2!!!</t>
        </is>
      </c>
      <c r="K20" s="66" t="n"/>
      <c r="L20" s="66" t="n"/>
      <c r="M20" s="67" t="n"/>
      <c r="N20" s="34">
        <f>72/5</f>
        <v/>
      </c>
      <c r="O20" s="11">
        <f>72/5</f>
        <v/>
      </c>
    </row>
    <row r="21">
      <c r="B21" s="14" t="inlineStr">
        <is>
          <t>Line item</t>
        </is>
      </c>
      <c r="C21" s="14" t="inlineStr">
        <is>
          <t>Y0 (LTM)</t>
        </is>
      </c>
      <c r="D21" s="14" t="inlineStr">
        <is>
          <t>Y1</t>
        </is>
      </c>
      <c r="E21" s="14" t="inlineStr">
        <is>
          <t>Y2</t>
        </is>
      </c>
      <c r="F21" s="14" t="inlineStr">
        <is>
          <t>Y3</t>
        </is>
      </c>
      <c r="G21" s="14" t="inlineStr">
        <is>
          <t>Y4</t>
        </is>
      </c>
      <c r="H21" s="14" t="inlineStr">
        <is>
          <t>Y5</t>
        </is>
      </c>
      <c r="J21" s="65" t="inlineStr">
        <is>
          <t>The Rule of 114 IRR - applicable only if your MOIC is close to 3!!!</t>
        </is>
      </c>
      <c r="K21" s="66" t="n"/>
      <c r="L21" s="66" t="n"/>
      <c r="M21" s="67" t="n"/>
      <c r="N21" s="34">
        <f>114/5</f>
        <v/>
      </c>
      <c r="O21" s="11">
        <f>114/5</f>
        <v/>
      </c>
    </row>
    <row r="22">
      <c r="B22" s="15" t="inlineStr">
        <is>
          <t>Sales</t>
        </is>
      </c>
      <c r="C22" s="16">
        <f>C5</f>
        <v/>
      </c>
      <c r="D22" s="16">
        <f>C22*(1+C8)</f>
        <v/>
      </c>
      <c r="E22" s="16">
        <f>D22*(1+C8)</f>
        <v/>
      </c>
      <c r="F22" s="16">
        <f>E22*(1+C8)</f>
        <v/>
      </c>
      <c r="G22" s="16">
        <f>F22*(1+C8)</f>
        <v/>
      </c>
      <c r="H22" s="16">
        <f>G22*(1+C8)</f>
        <v/>
      </c>
      <c r="J22" s="65" t="inlineStr">
        <is>
          <t>The Rule of 144 IRR - applicable only if your MOIC is close to 4!!!</t>
        </is>
      </c>
      <c r="K22" s="66" t="n"/>
      <c r="L22" s="66" t="n"/>
      <c r="M22" s="67" t="n"/>
      <c r="N22" s="34">
        <f>144/5</f>
        <v/>
      </c>
      <c r="O22" s="11">
        <f>144/5</f>
        <v/>
      </c>
    </row>
    <row r="23">
      <c r="B23" s="15" t="inlineStr">
        <is>
          <t>EBITDA</t>
        </is>
      </c>
      <c r="C23" s="16">
        <f>C22*C6</f>
        <v/>
      </c>
      <c r="D23" s="16">
        <f>D22*C9</f>
        <v/>
      </c>
      <c r="E23" s="16">
        <f>E22*C9</f>
        <v/>
      </c>
      <c r="F23" s="16">
        <f>F22*C9</f>
        <v/>
      </c>
      <c r="G23" s="16">
        <f>G22*C9</f>
        <v/>
      </c>
      <c r="H23" s="16">
        <f>H22*C9</f>
        <v/>
      </c>
    </row>
    <row r="24">
      <c r="B24" s="15" t="inlineStr">
        <is>
          <t>D&amp;A</t>
        </is>
      </c>
      <c r="C24" s="16">
        <f>C22*C14</f>
        <v/>
      </c>
      <c r="D24" s="16">
        <f>D22*C14</f>
        <v/>
      </c>
      <c r="E24" s="16">
        <f>E22*C14</f>
        <v/>
      </c>
      <c r="F24" s="16">
        <f>F22*C14</f>
        <v/>
      </c>
      <c r="G24" s="16">
        <f>G22*C14</f>
        <v/>
      </c>
      <c r="H24" s="16">
        <f>H22*C14</f>
        <v/>
      </c>
    </row>
    <row r="25">
      <c r="B25" s="15" t="inlineStr">
        <is>
          <t>EBIT</t>
        </is>
      </c>
      <c r="C25" s="16">
        <f>C23-C24</f>
        <v/>
      </c>
      <c r="D25" s="16">
        <f>D23-D24</f>
        <v/>
      </c>
      <c r="E25" s="16">
        <f>E23-E24</f>
        <v/>
      </c>
      <c r="F25" s="16">
        <f>F23-F24</f>
        <v/>
      </c>
      <c r="G25" s="16">
        <f>G23-G24</f>
        <v/>
      </c>
      <c r="H25" s="16">
        <f>H23-H24</f>
        <v/>
      </c>
    </row>
    <row r="26">
      <c r="B26" s="15" t="inlineStr">
        <is>
          <t>Interest</t>
        </is>
      </c>
      <c r="C26" s="16">
        <f>$K$8*C13</f>
        <v/>
      </c>
      <c r="D26" s="16">
        <f>R6</f>
        <v/>
      </c>
      <c r="E26" s="16">
        <f>S6</f>
        <v/>
      </c>
      <c r="F26" s="16">
        <f>T6</f>
        <v/>
      </c>
      <c r="G26" s="16">
        <f>U6</f>
        <v/>
      </c>
      <c r="H26" s="16">
        <f>V6</f>
        <v/>
      </c>
    </row>
    <row r="27">
      <c r="B27" s="15" t="inlineStr">
        <is>
          <t>EBT</t>
        </is>
      </c>
      <c r="C27" s="16">
        <f>C25-C26</f>
        <v/>
      </c>
      <c r="D27" s="16">
        <f>D25-D26</f>
        <v/>
      </c>
      <c r="E27" s="16">
        <f>E25-E26</f>
        <v/>
      </c>
      <c r="F27" s="16">
        <f>F25-F26</f>
        <v/>
      </c>
      <c r="G27" s="16">
        <f>G25-G26</f>
        <v/>
      </c>
      <c r="H27" s="16">
        <f>H25-H26</f>
        <v/>
      </c>
    </row>
    <row r="28">
      <c r="B28" s="15" t="inlineStr">
        <is>
          <t>Taxes</t>
        </is>
      </c>
      <c r="C28" s="16">
        <f>MAX(0,C27*C10)</f>
        <v/>
      </c>
      <c r="D28" s="16">
        <f>MAX(0,D27*C10)</f>
        <v/>
      </c>
      <c r="E28" s="16">
        <f>MAX(0,E27*C10)</f>
        <v/>
      </c>
      <c r="F28" s="16">
        <f>MAX(0,F27*C10)</f>
        <v/>
      </c>
      <c r="G28" s="16">
        <f>MAX(0,G27*C10)</f>
        <v/>
      </c>
      <c r="H28" s="16">
        <f>MAX(0,H27*C10)</f>
        <v/>
      </c>
    </row>
    <row r="29">
      <c r="B29" s="15" t="inlineStr">
        <is>
          <t>Net Income</t>
        </is>
      </c>
      <c r="C29" s="16">
        <f>C27-C28</f>
        <v/>
      </c>
      <c r="D29" s="16">
        <f>D27-D28</f>
        <v/>
      </c>
      <c r="E29" s="16">
        <f>E27-E28</f>
        <v/>
      </c>
      <c r="F29" s="16">
        <f>F27-F28</f>
        <v/>
      </c>
      <c r="G29" s="16">
        <f>G27-G28</f>
        <v/>
      </c>
      <c r="H29" s="16">
        <f>H27-H28</f>
        <v/>
      </c>
    </row>
    <row r="30">
      <c r="B30" s="15" t="inlineStr">
        <is>
          <t>CAPEX</t>
        </is>
      </c>
      <c r="C30" s="16">
        <f>C22*C15</f>
        <v/>
      </c>
      <c r="D30" s="16">
        <f>D22*C15</f>
        <v/>
      </c>
      <c r="E30" s="16">
        <f>E22*C15</f>
        <v/>
      </c>
      <c r="F30" s="16">
        <f>F22*C15</f>
        <v/>
      </c>
      <c r="G30" s="16">
        <f>G22*C15</f>
        <v/>
      </c>
      <c r="H30" s="16">
        <f>H22*C15</f>
        <v/>
      </c>
    </row>
    <row r="31">
      <c r="B31" s="15" t="inlineStr">
        <is>
          <t>ΔNWC (Investment)</t>
        </is>
      </c>
      <c r="C31" s="16" t="n">
        <v>0</v>
      </c>
      <c r="D31" s="16">
        <f>MAX(0,(D22-C22)*C16)</f>
        <v/>
      </c>
      <c r="E31" s="16">
        <f>MAX(0,(E22-D22)*C16)</f>
        <v/>
      </c>
      <c r="F31" s="16">
        <f>MAX(0,(F22-E22)*C16)</f>
        <v/>
      </c>
      <c r="G31" s="16">
        <f>MAX(0,(G22-F22)*C16)</f>
        <v/>
      </c>
      <c r="H31" s="16">
        <f>MAX(0,(H22-G22)*C16)</f>
        <v/>
      </c>
    </row>
    <row r="32">
      <c r="B32" s="17" t="inlineStr">
        <is>
          <t>Free Cash Flow (FCF)</t>
        </is>
      </c>
      <c r="C32" s="16">
        <f>C23-C28-C30-C31</f>
        <v/>
      </c>
      <c r="D32" s="16">
        <f>D23-D28-D30-D31</f>
        <v/>
      </c>
      <c r="E32" s="16">
        <f>E23-E28-E30-E31</f>
        <v/>
      </c>
      <c r="F32" s="16">
        <f>F23-F28-F30-F31</f>
        <v/>
      </c>
      <c r="G32" s="16">
        <f>G23-G28-G30-G31</f>
        <v/>
      </c>
      <c r="H32" s="16">
        <f>H23-H28-H30-H31</f>
        <v/>
      </c>
    </row>
    <row r="33">
      <c r="B33" s="17" t="inlineStr">
        <is>
          <t>Cumulative FCF</t>
        </is>
      </c>
      <c r="C33" s="16">
        <f>C32</f>
        <v/>
      </c>
      <c r="D33" s="16">
        <f>C33+D32</f>
        <v/>
      </c>
      <c r="E33" s="16">
        <f>D33+E32</f>
        <v/>
      </c>
      <c r="F33" s="16">
        <f>E33+F32</f>
        <v/>
      </c>
      <c r="G33" s="16">
        <f>F33+G32</f>
        <v/>
      </c>
      <c r="H33" s="16">
        <f>G33+H32</f>
        <v/>
      </c>
    </row>
    <row r="34"/>
    <row r="35"/>
    <row r="36"/>
    <row r="37"/>
    <row r="38"/>
    <row r="39"/>
    <row r="40">
      <c r="B40" s="74" t="inlineStr">
        <is>
          <t>OUTPUT STATEMENTS (references to projection block)</t>
        </is>
      </c>
      <c r="C40" s="66" t="n"/>
      <c r="D40" s="66" t="n"/>
      <c r="E40" s="66" t="n"/>
      <c r="F40" s="66" t="n"/>
      <c r="G40" s="66" t="n"/>
      <c r="H40" s="67" t="n"/>
    </row>
    <row r="41">
      <c r="B41" s="18" t="inlineStr">
        <is>
          <t>Income Statement</t>
        </is>
      </c>
      <c r="C41" s="18" t="inlineStr">
        <is>
          <t>Y0 (LTM)</t>
        </is>
      </c>
      <c r="D41" s="18" t="inlineStr">
        <is>
          <t>Y1</t>
        </is>
      </c>
      <c r="E41" s="18" t="inlineStr">
        <is>
          <t>Y2</t>
        </is>
      </c>
      <c r="F41" s="18" t="inlineStr">
        <is>
          <t>Y3</t>
        </is>
      </c>
      <c r="G41" s="18" t="inlineStr">
        <is>
          <t>Y4</t>
        </is>
      </c>
      <c r="H41" s="18" t="inlineStr">
        <is>
          <t>Y5</t>
        </is>
      </c>
    </row>
    <row r="42">
      <c r="B42" s="7" t="inlineStr">
        <is>
          <t>Sales</t>
        </is>
      </c>
      <c r="C42" s="8">
        <f>C22</f>
        <v/>
      </c>
      <c r="D42" s="8">
        <f>D22</f>
        <v/>
      </c>
      <c r="E42" s="8">
        <f>E22</f>
        <v/>
      </c>
      <c r="F42" s="8">
        <f>F22</f>
        <v/>
      </c>
      <c r="G42" s="8">
        <f>G22</f>
        <v/>
      </c>
      <c r="H42" s="8">
        <f>H22</f>
        <v/>
      </c>
    </row>
    <row r="43">
      <c r="B43" s="7" t="inlineStr">
        <is>
          <t>EBITDA</t>
        </is>
      </c>
      <c r="C43" s="8">
        <f>C23</f>
        <v/>
      </c>
      <c r="D43" s="8">
        <f>D23</f>
        <v/>
      </c>
      <c r="E43" s="8">
        <f>E23</f>
        <v/>
      </c>
      <c r="F43" s="8">
        <f>F23</f>
        <v/>
      </c>
      <c r="G43" s="8">
        <f>G23</f>
        <v/>
      </c>
      <c r="H43" s="8">
        <f>H23</f>
        <v/>
      </c>
    </row>
    <row r="44">
      <c r="B44" s="7" t="inlineStr">
        <is>
          <t>D&amp;A</t>
        </is>
      </c>
      <c r="C44" s="8">
        <f>C24</f>
        <v/>
      </c>
      <c r="D44" s="8">
        <f>D24</f>
        <v/>
      </c>
      <c r="E44" s="8">
        <f>E24</f>
        <v/>
      </c>
      <c r="F44" s="8">
        <f>F24</f>
        <v/>
      </c>
      <c r="G44" s="8">
        <f>G24</f>
        <v/>
      </c>
      <c r="H44" s="8">
        <f>H24</f>
        <v/>
      </c>
    </row>
    <row r="45">
      <c r="B45" s="7" t="inlineStr">
        <is>
          <t>EBIT</t>
        </is>
      </c>
      <c r="C45" s="8">
        <f>C25</f>
        <v/>
      </c>
      <c r="D45" s="8">
        <f>D25</f>
        <v/>
      </c>
      <c r="E45" s="8">
        <f>E25</f>
        <v/>
      </c>
      <c r="F45" s="8">
        <f>F25</f>
        <v/>
      </c>
      <c r="G45" s="8">
        <f>G25</f>
        <v/>
      </c>
      <c r="H45" s="8">
        <f>H25</f>
        <v/>
      </c>
    </row>
    <row r="46">
      <c r="B46" s="7" t="inlineStr">
        <is>
          <t>Interest</t>
        </is>
      </c>
      <c r="C46" s="8">
        <f>C26</f>
        <v/>
      </c>
      <c r="D46" s="8">
        <f>D26</f>
        <v/>
      </c>
      <c r="E46" s="8">
        <f>E26</f>
        <v/>
      </c>
      <c r="F46" s="8">
        <f>F26</f>
        <v/>
      </c>
      <c r="G46" s="8">
        <f>G26</f>
        <v/>
      </c>
      <c r="H46" s="8">
        <f>H26</f>
        <v/>
      </c>
    </row>
    <row r="47">
      <c r="B47" s="7" t="inlineStr">
        <is>
          <t>EBT</t>
        </is>
      </c>
      <c r="C47" s="8">
        <f>C27</f>
        <v/>
      </c>
      <c r="D47" s="8">
        <f>D27</f>
        <v/>
      </c>
      <c r="E47" s="8">
        <f>E27</f>
        <v/>
      </c>
      <c r="F47" s="8">
        <f>F27</f>
        <v/>
      </c>
      <c r="G47" s="8">
        <f>G27</f>
        <v/>
      </c>
      <c r="H47" s="8">
        <f>H27</f>
        <v/>
      </c>
    </row>
    <row r="48">
      <c r="B48" s="7" t="inlineStr">
        <is>
          <t>Taxes</t>
        </is>
      </c>
      <c r="C48" s="8">
        <f>C28</f>
        <v/>
      </c>
      <c r="D48" s="8">
        <f>D28</f>
        <v/>
      </c>
      <c r="E48" s="8">
        <f>E28</f>
        <v/>
      </c>
      <c r="F48" s="8">
        <f>F28</f>
        <v/>
      </c>
      <c r="G48" s="8">
        <f>G28</f>
        <v/>
      </c>
      <c r="H48" s="8">
        <f>H28</f>
        <v/>
      </c>
    </row>
    <row r="49">
      <c r="B49" s="7" t="inlineStr">
        <is>
          <t>Net Income</t>
        </is>
      </c>
      <c r="C49" s="8">
        <f>C29</f>
        <v/>
      </c>
      <c r="D49" s="8">
        <f>D29</f>
        <v/>
      </c>
      <c r="E49" s="8">
        <f>E29</f>
        <v/>
      </c>
      <c r="F49" s="8">
        <f>F29</f>
        <v/>
      </c>
      <c r="G49" s="8">
        <f>G29</f>
        <v/>
      </c>
      <c r="H49" s="8">
        <f>H29</f>
        <v/>
      </c>
    </row>
    <row r="50"/>
    <row r="51">
      <c r="B51" s="18" t="inlineStr">
        <is>
          <t>Cash Flow Statement</t>
        </is>
      </c>
      <c r="C51" s="18" t="inlineStr">
        <is>
          <t>Y0 (LTM)</t>
        </is>
      </c>
      <c r="D51" s="18" t="inlineStr">
        <is>
          <t>Y1</t>
        </is>
      </c>
      <c r="E51" s="18" t="inlineStr">
        <is>
          <t>Y2</t>
        </is>
      </c>
      <c r="F51" s="18" t="inlineStr">
        <is>
          <t>Y3</t>
        </is>
      </c>
      <c r="G51" s="18" t="inlineStr">
        <is>
          <t>Y4</t>
        </is>
      </c>
      <c r="H51" s="18" t="inlineStr">
        <is>
          <t>Y5</t>
        </is>
      </c>
    </row>
    <row r="52">
      <c r="B52" s="7" t="inlineStr">
        <is>
          <t>EBITDA</t>
        </is>
      </c>
      <c r="C52" s="8">
        <f>C23</f>
        <v/>
      </c>
      <c r="D52" s="8">
        <f>D23</f>
        <v/>
      </c>
      <c r="E52" s="8">
        <f>E23</f>
        <v/>
      </c>
      <c r="F52" s="8">
        <f>F23</f>
        <v/>
      </c>
      <c r="G52" s="8">
        <f>G23</f>
        <v/>
      </c>
      <c r="H52" s="8">
        <f>H23</f>
        <v/>
      </c>
    </row>
    <row r="53">
      <c r="B53" s="7" t="inlineStr">
        <is>
          <t>Less: Taxes</t>
        </is>
      </c>
      <c r="C53" s="8">
        <f>-C28</f>
        <v/>
      </c>
      <c r="D53" s="8">
        <f>-D28</f>
        <v/>
      </c>
      <c r="E53" s="8">
        <f>-E28</f>
        <v/>
      </c>
      <c r="F53" s="8">
        <f>-F28</f>
        <v/>
      </c>
      <c r="G53" s="8">
        <f>-G28</f>
        <v/>
      </c>
      <c r="H53" s="8">
        <f>-H28</f>
        <v/>
      </c>
    </row>
    <row r="54">
      <c r="B54" s="7" t="inlineStr">
        <is>
          <t>Less: CAPEX</t>
        </is>
      </c>
      <c r="C54" s="8">
        <f>-C30</f>
        <v/>
      </c>
      <c r="D54" s="8">
        <f>-D30</f>
        <v/>
      </c>
      <c r="E54" s="8">
        <f>-E30</f>
        <v/>
      </c>
      <c r="F54" s="8">
        <f>-F30</f>
        <v/>
      </c>
      <c r="G54" s="8">
        <f>-G30</f>
        <v/>
      </c>
      <c r="H54" s="8">
        <f>-H30</f>
        <v/>
      </c>
    </row>
    <row r="55">
      <c r="B55" s="7" t="inlineStr">
        <is>
          <t>Less: ΔNWC</t>
        </is>
      </c>
      <c r="C55" s="8">
        <f>-C31</f>
        <v/>
      </c>
      <c r="D55" s="8">
        <f>-D31</f>
        <v/>
      </c>
      <c r="E55" s="8">
        <f>-E31</f>
        <v/>
      </c>
      <c r="F55" s="8">
        <f>-F31</f>
        <v/>
      </c>
      <c r="G55" s="8">
        <f>-G31</f>
        <v/>
      </c>
      <c r="H55" s="8">
        <f>-H31</f>
        <v/>
      </c>
    </row>
    <row r="56">
      <c r="B56" s="7" t="inlineStr">
        <is>
          <t>Free Cash Flow</t>
        </is>
      </c>
      <c r="C56" s="8">
        <f>C32</f>
        <v/>
      </c>
      <c r="D56" s="8">
        <f>D32</f>
        <v/>
      </c>
      <c r="E56" s="8">
        <f>E32</f>
        <v/>
      </c>
      <c r="F56" s="8">
        <f>F32</f>
        <v/>
      </c>
      <c r="G56" s="8">
        <f>G32</f>
        <v/>
      </c>
      <c r="H56" s="8">
        <f>H32</f>
        <v/>
      </c>
    </row>
    <row r="57">
      <c r="B57" s="7" t="inlineStr">
        <is>
          <t>Cumulative FCF</t>
        </is>
      </c>
      <c r="C57" s="8">
        <f>C33</f>
        <v/>
      </c>
      <c r="D57" s="8">
        <f>D33</f>
        <v/>
      </c>
      <c r="E57" s="8">
        <f>E33</f>
        <v/>
      </c>
      <c r="F57" s="8">
        <f>F33</f>
        <v/>
      </c>
      <c r="G57" s="8">
        <f>G33</f>
        <v/>
      </c>
      <c r="H57" s="8">
        <f>H33</f>
        <v/>
      </c>
    </row>
    <row r="58"/>
    <row r="59"/>
    <row r="60">
      <c r="B60" s="70" t="inlineStr">
        <is>
          <t>CHECKS (should show OK)</t>
        </is>
      </c>
      <c r="C60" s="66" t="n"/>
      <c r="D60" s="66" t="n"/>
      <c r="E60" s="66" t="n"/>
      <c r="F60" s="66" t="n"/>
      <c r="G60" s="66" t="n"/>
      <c r="H60" s="67" t="n"/>
    </row>
    <row r="61">
      <c r="B61" s="19" t="inlineStr">
        <is>
          <t>Check 1: Entry EV = Debt + Equity</t>
        </is>
      </c>
      <c r="C61" s="35">
        <f>K7-(K8+K9)</f>
        <v/>
      </c>
      <c r="D61" s="19" t="inlineStr">
        <is>
          <t>Difference</t>
        </is>
      </c>
      <c r="E61" s="19">
        <f>IF(ABS(C61)&lt;1,"OK","ERROR")</f>
        <v/>
      </c>
    </row>
    <row r="62" ht="26" customHeight="1" s="61">
      <c r="B62" s="19" t="inlineStr">
        <is>
          <t>Check 2: Exit Equity = Exit EV − Ending Debt</t>
        </is>
      </c>
      <c r="C62" s="35">
        <f>K14-(K12-K13)</f>
        <v/>
      </c>
      <c r="D62" s="19" t="inlineStr">
        <is>
          <t>Difference</t>
        </is>
      </c>
      <c r="E62" s="19">
        <f>IF(ABS(C62)&lt;1,"OK","ERROR")</f>
        <v/>
      </c>
    </row>
    <row r="63" ht="26" customHeight="1" s="61">
      <c r="B63" s="19" t="inlineStr">
        <is>
          <t>Check 3: FCF(Y3) = EBITDA − Taxes − CAPEX − ΔNWC</t>
        </is>
      </c>
      <c r="C63" s="35">
        <f>F32-(F23-F28-F30-F31)</f>
        <v/>
      </c>
      <c r="D63" s="19" t="inlineStr">
        <is>
          <t>Difference</t>
        </is>
      </c>
      <c r="E63" s="19">
        <f>IF(ABS(C63)&lt;1,"OK","ERROR")</f>
        <v/>
      </c>
    </row>
  </sheetData>
  <sheetProtection selectLockedCells="0" selectUnlockedCells="0" sheet="1" objects="1" insertRows="0" insertHyperlinks="1" autoFilter="0" scenarios="1" formatColumns="0" deleteColumns="0" insertColumns="0" pivotTables="0" deleteRows="0" formatCells="0" formatRows="0" sort="0" password="AE3A"/>
  <mergeCells count="14">
    <mergeCell ref="J18:M18"/>
    <mergeCell ref="J16:O16"/>
    <mergeCell ref="J4:K4"/>
    <mergeCell ref="J22:M22"/>
    <mergeCell ref="B40:H40"/>
    <mergeCell ref="B1:H1"/>
    <mergeCell ref="J5:K5"/>
    <mergeCell ref="B60:H60"/>
    <mergeCell ref="B4:D4"/>
    <mergeCell ref="J20:M20"/>
    <mergeCell ref="J21:M21"/>
    <mergeCell ref="B20:H20"/>
    <mergeCell ref="Q3:V3"/>
    <mergeCell ref="J19:M19"/>
  </mergeCells>
  <hyperlinks>
    <hyperlink ref="A1" location="'Index'!A1" display="← Back to Index"/>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3"/>
  <sheetViews>
    <sheetView workbookViewId="0">
      <selection activeCell="M10" sqref="M10"/>
    </sheetView>
  </sheetViews>
  <sheetFormatPr baseColWidth="8" defaultRowHeight="14.5"/>
  <cols>
    <col width="2" customWidth="1" style="61" min="1" max="1"/>
    <col width="34" customWidth="1" style="61" min="2" max="2"/>
    <col width="18" customWidth="1" style="61" min="3" max="3"/>
    <col width="12" customWidth="1" style="61" min="4" max="4"/>
    <col width="16" customWidth="1" style="61" min="5" max="8"/>
    <col width="2" customWidth="1" style="61" min="9" max="9"/>
    <col width="32" customWidth="1" style="61" min="10" max="10"/>
    <col width="18" customWidth="1" style="61" min="11" max="11"/>
    <col width="14" customWidth="1" style="61" min="12" max="15"/>
    <col width="15" bestFit="1" customWidth="1" style="61" min="17" max="17"/>
    <col width="10.1796875" bestFit="1" customWidth="1" style="61" min="22" max="22"/>
  </cols>
  <sheetData>
    <row r="1" ht="18.5" customHeight="1" s="61">
      <c r="A1" s="23" t="inlineStr">
        <is>
          <t>← Back to Index</t>
        </is>
      </c>
      <c r="B1" s="68" t="inlineStr">
        <is>
          <t>LBO Model – IT Services (Mid-tier)</t>
        </is>
      </c>
      <c r="C1" s="66" t="n"/>
      <c r="D1" s="66" t="n"/>
      <c r="E1" s="66" t="n"/>
      <c r="F1" s="66" t="n"/>
      <c r="G1" s="66" t="n"/>
      <c r="H1" s="67" t="n"/>
    </row>
    <row r="2" ht="43.5" customHeight="1" s="61">
      <c r="B2" s="1" t="inlineStr">
        <is>
          <t>Currency:</t>
        </is>
      </c>
      <c r="C2" s="2" t="inlineStr">
        <is>
          <t>INR (₹) — Indian digit grouping (lakhs/crores)</t>
        </is>
      </c>
    </row>
    <row r="3">
      <c r="Q3" s="62" t="inlineStr">
        <is>
          <t>DEBT SERVICE SCHEDULE</t>
        </is>
      </c>
      <c r="R3" s="63" t="n"/>
      <c r="S3" s="63" t="n"/>
      <c r="T3" s="63" t="n"/>
      <c r="U3" s="63" t="n"/>
      <c r="V3" s="64" t="n"/>
    </row>
    <row r="4">
      <c r="B4" s="71" t="inlineStr">
        <is>
          <t>INPUTS (manual entries)</t>
        </is>
      </c>
      <c r="C4" s="66" t="n"/>
      <c r="D4" s="67" t="n"/>
      <c r="J4" s="74" t="inlineStr">
        <is>
          <t>OUTPUTS (auto)</t>
        </is>
      </c>
      <c r="K4" s="67" t="n"/>
      <c r="Q4" s="24" t="inlineStr">
        <is>
          <t>Year</t>
        </is>
      </c>
      <c r="R4" s="24">
        <f>D21</f>
        <v/>
      </c>
      <c r="S4" s="24">
        <f>E21</f>
        <v/>
      </c>
      <c r="T4" s="24">
        <f>F21</f>
        <v/>
      </c>
      <c r="U4" s="24">
        <f>G21</f>
        <v/>
      </c>
      <c r="V4" s="24">
        <f>H21</f>
        <v/>
      </c>
    </row>
    <row r="5">
      <c r="B5" s="3" t="inlineStr">
        <is>
          <t>LTM Sales</t>
        </is>
      </c>
      <c r="C5" s="4" t="n">
        <v>12000000</v>
      </c>
      <c r="D5" s="5" t="inlineStr">
        <is>
          <t>₹</t>
        </is>
      </c>
      <c r="J5" s="69" t="inlineStr">
        <is>
          <t>Valuation</t>
        </is>
      </c>
      <c r="K5" s="67" t="n"/>
      <c r="Q5" s="25" t="inlineStr">
        <is>
          <t>Opening Debt</t>
        </is>
      </c>
      <c r="R5" s="38">
        <f>K8</f>
        <v/>
      </c>
      <c r="S5" s="38">
        <f>R9</f>
        <v/>
      </c>
      <c r="T5" s="38">
        <f>S9</f>
        <v/>
      </c>
      <c r="U5" s="38">
        <f>T9</f>
        <v/>
      </c>
      <c r="V5" s="38">
        <f>U9</f>
        <v/>
      </c>
    </row>
    <row r="6">
      <c r="B6" s="3" t="inlineStr">
        <is>
          <t>LTM EBITDA Margin</t>
        </is>
      </c>
      <c r="C6" s="6" t="n">
        <v>0.32</v>
      </c>
      <c r="D6" s="5" t="inlineStr">
        <is>
          <t>%</t>
        </is>
      </c>
      <c r="J6" s="7" t="inlineStr">
        <is>
          <t>Entry EBITDA (Y0)</t>
        </is>
      </c>
      <c r="K6" s="8">
        <f>C23</f>
        <v/>
      </c>
      <c r="Q6" s="28" t="inlineStr">
        <is>
          <t>Interest Expense</t>
        </is>
      </c>
      <c r="R6" s="38">
        <f>R5*$C$13</f>
        <v/>
      </c>
      <c r="S6" s="38">
        <f>S5*$C$13</f>
        <v/>
      </c>
      <c r="T6" s="38">
        <f>T5*$C$13</f>
        <v/>
      </c>
      <c r="U6" s="38">
        <f>U5*$C$13</f>
        <v/>
      </c>
      <c r="V6" s="38">
        <f>V5*$C$13</f>
        <v/>
      </c>
    </row>
    <row r="7">
      <c r="B7" s="3" t="inlineStr">
        <is>
          <t>Entry EBITDA Multiple</t>
        </is>
      </c>
      <c r="C7" s="9" t="n">
        <v>10</v>
      </c>
      <c r="D7" s="5" t="inlineStr">
        <is>
          <t>x</t>
        </is>
      </c>
      <c r="J7" s="29" t="inlineStr">
        <is>
          <t>Entry EV</t>
        </is>
      </c>
      <c r="K7" s="8">
        <f>K6*C7</f>
        <v/>
      </c>
      <c r="Q7" s="25" t="inlineStr">
        <is>
          <t>CFADS (FCF)</t>
        </is>
      </c>
      <c r="R7" s="38">
        <f>D32</f>
        <v/>
      </c>
      <c r="S7" s="38">
        <f>E32</f>
        <v/>
      </c>
      <c r="T7" s="38">
        <f>F32</f>
        <v/>
      </c>
      <c r="U7" s="38">
        <f>G32</f>
        <v/>
      </c>
      <c r="V7" s="38">
        <f>H32</f>
        <v/>
      </c>
    </row>
    <row r="8">
      <c r="B8" s="3" t="inlineStr">
        <is>
          <t>Annual Sales Growth</t>
        </is>
      </c>
      <c r="C8" s="6" t="n">
        <v>0.14</v>
      </c>
      <c r="D8" s="5" t="inlineStr">
        <is>
          <t>%</t>
        </is>
      </c>
      <c r="J8" s="7" t="inlineStr">
        <is>
          <t>Debt at Entry</t>
        </is>
      </c>
      <c r="K8" s="8">
        <f>K7*C12</f>
        <v/>
      </c>
      <c r="Q8" s="28" t="inlineStr">
        <is>
          <t>Debt Repayment</t>
        </is>
      </c>
      <c r="R8" s="38">
        <f>MIN(R5,R7)</f>
        <v/>
      </c>
      <c r="S8" s="38">
        <f>MIN(S5,S7)</f>
        <v/>
      </c>
      <c r="T8" s="38">
        <f>MIN(T5,T7)</f>
        <v/>
      </c>
      <c r="U8" s="38">
        <f>MIN(U5,U7)</f>
        <v/>
      </c>
      <c r="V8" s="38">
        <f>MIN(V5,V7)</f>
        <v/>
      </c>
    </row>
    <row r="9">
      <c r="B9" s="3" t="inlineStr">
        <is>
          <t>Projected EBITDA Margin (Y1–Y5)</t>
        </is>
      </c>
      <c r="C9" s="6" t="n">
        <v>0.35</v>
      </c>
      <c r="D9" s="5" t="inlineStr">
        <is>
          <t>%</t>
        </is>
      </c>
      <c r="J9" s="7" t="inlineStr">
        <is>
          <t>Equity at Entry</t>
        </is>
      </c>
      <c r="K9" s="8">
        <f>K7-K8</f>
        <v/>
      </c>
      <c r="Q9" s="25" t="inlineStr">
        <is>
          <t>Closing Debt</t>
        </is>
      </c>
      <c r="R9" s="38">
        <f>R5-R8</f>
        <v/>
      </c>
      <c r="S9" s="38">
        <f>S5-S8</f>
        <v/>
      </c>
      <c r="T9" s="38">
        <f>T5-T8</f>
        <v/>
      </c>
      <c r="U9" s="38">
        <f>U5-U8</f>
        <v/>
      </c>
      <c r="V9" s="38">
        <f>V5-V8</f>
        <v/>
      </c>
    </row>
    <row r="10">
      <c r="B10" s="3" t="inlineStr">
        <is>
          <t>Corporate Tax Rate</t>
        </is>
      </c>
      <c r="C10" s="6" t="n">
        <v>0.22</v>
      </c>
      <c r="D10" s="5" t="inlineStr">
        <is>
          <t>%</t>
        </is>
      </c>
      <c r="K10" s="37" t="n"/>
      <c r="Q10" s="28" t="inlineStr">
        <is>
          <t>Cash Build-Up</t>
        </is>
      </c>
      <c r="R10" s="38">
        <f>R7-R8</f>
        <v/>
      </c>
      <c r="S10" s="38">
        <f>S7-S8</f>
        <v/>
      </c>
      <c r="T10" s="38">
        <f>T7-T8</f>
        <v/>
      </c>
      <c r="U10" s="38">
        <f>U7-U8</f>
        <v/>
      </c>
      <c r="V10" s="38">
        <f>V7-V8</f>
        <v/>
      </c>
    </row>
    <row r="11">
      <c r="B11" s="3" t="inlineStr">
        <is>
          <t>Exit EBITDA Multiple (Year 5)</t>
        </is>
      </c>
      <c r="C11" s="9" t="n">
        <v>11</v>
      </c>
      <c r="D11" s="5" t="inlineStr">
        <is>
          <t>x</t>
        </is>
      </c>
      <c r="J11" s="7" t="inlineStr">
        <is>
          <t>Exit EBITDA (Y5)</t>
        </is>
      </c>
      <c r="K11" s="8">
        <f>H23</f>
        <v/>
      </c>
      <c r="Q11" s="28" t="inlineStr">
        <is>
          <t>Cumulative Cash</t>
        </is>
      </c>
      <c r="R11" s="38">
        <f>R10</f>
        <v/>
      </c>
      <c r="S11" s="38">
        <f>R11+S10</f>
        <v/>
      </c>
      <c r="T11" s="38">
        <f>S11+T10</f>
        <v/>
      </c>
      <c r="U11" s="38">
        <f>T11+U10</f>
        <v/>
      </c>
      <c r="V11" s="38">
        <f>U11+V10</f>
        <v/>
      </c>
    </row>
    <row r="12">
      <c r="B12" s="3" t="inlineStr">
        <is>
          <t>% Debt Financing (at Entry)</t>
        </is>
      </c>
      <c r="C12" s="6" t="n">
        <v>0.2</v>
      </c>
      <c r="D12" s="5" t="inlineStr">
        <is>
          <t>%</t>
        </is>
      </c>
      <c r="J12" s="29" t="inlineStr">
        <is>
          <t>Exit EV</t>
        </is>
      </c>
      <c r="K12" s="8">
        <f>K11*C11</f>
        <v/>
      </c>
    </row>
    <row r="13">
      <c r="B13" s="3" t="inlineStr">
        <is>
          <t>Interest Rate on Debt</t>
        </is>
      </c>
      <c r="C13" s="6" t="n">
        <v>0.09</v>
      </c>
      <c r="D13" s="5" t="inlineStr">
        <is>
          <t>%</t>
        </is>
      </c>
      <c r="J13" s="7" t="inlineStr">
        <is>
          <t>Ending Debt (assumed same as entry)</t>
        </is>
      </c>
      <c r="K13" s="8">
        <f>V9</f>
        <v/>
      </c>
    </row>
    <row r="14">
      <c r="B14" s="3" t="inlineStr">
        <is>
          <t>D&amp;A as % of Sales</t>
        </is>
      </c>
      <c r="C14" s="6" t="n">
        <v>0.04</v>
      </c>
      <c r="D14" s="5" t="inlineStr">
        <is>
          <t>%</t>
        </is>
      </c>
      <c r="J14" s="7" t="inlineStr">
        <is>
          <t>Equity at Exit</t>
        </is>
      </c>
      <c r="K14" s="8">
        <f>K12-K13+V11</f>
        <v/>
      </c>
    </row>
    <row r="15">
      <c r="B15" s="3" t="inlineStr">
        <is>
          <t>CAPEX as % of Sales</t>
        </is>
      </c>
      <c r="C15" s="6" t="n">
        <v>0.05</v>
      </c>
      <c r="D15" s="5" t="inlineStr">
        <is>
          <t>%</t>
        </is>
      </c>
    </row>
    <row r="16" ht="15.5" customHeight="1" s="61">
      <c r="B16" s="3" t="inlineStr">
        <is>
          <t>NWC Investment as % of Incremental Sales</t>
        </is>
      </c>
      <c r="C16" s="6" t="n">
        <v>0.06</v>
      </c>
      <c r="D16" s="5" t="inlineStr">
        <is>
          <t>%</t>
        </is>
      </c>
      <c r="J16" s="73" t="inlineStr">
        <is>
          <t>Rate of Return</t>
        </is>
      </c>
      <c r="K16" s="66" t="n"/>
      <c r="L16" s="66" t="n"/>
      <c r="M16" s="66" t="n"/>
      <c r="N16" s="66" t="n"/>
      <c r="O16" s="67" t="n"/>
    </row>
    <row r="17"/>
    <row r="18">
      <c r="J18" s="65" t="inlineStr">
        <is>
          <t>MOIC - Multiple on Invested Capital (Equity)</t>
        </is>
      </c>
      <c r="K18" s="66" t="n"/>
      <c r="L18" s="66" t="n"/>
      <c r="M18" s="67" t="n"/>
      <c r="N18" s="30">
        <f>K14/K9</f>
        <v/>
      </c>
      <c r="O18" s="31">
        <f>K14/K9</f>
        <v/>
      </c>
    </row>
    <row r="19">
      <c r="J19" s="65" t="inlineStr">
        <is>
          <t>IRR - Internal Rate of Return</t>
        </is>
      </c>
      <c r="K19" s="66" t="n"/>
      <c r="L19" s="66" t="n"/>
      <c r="M19" s="67" t="n"/>
      <c r="N19" s="32">
        <f>((K14/K9)^(1/5))-1</f>
        <v/>
      </c>
      <c r="O19" s="11">
        <f>(O18^(1/5))-1</f>
        <v/>
      </c>
    </row>
    <row r="20">
      <c r="B20" s="72" t="inlineStr">
        <is>
          <t>PROJECTIONS &amp; CALCULATIONS (formula-driven)</t>
        </is>
      </c>
      <c r="C20" s="66" t="n"/>
      <c r="D20" s="66" t="n"/>
      <c r="E20" s="66" t="n"/>
      <c r="F20" s="66" t="n"/>
      <c r="G20" s="66" t="n"/>
      <c r="H20" s="67" t="n"/>
      <c r="J20" s="65" t="inlineStr">
        <is>
          <t>The Rule of 72 IRR - applicable only if your MOIC is close to 2!!!</t>
        </is>
      </c>
      <c r="K20" s="66" t="n"/>
      <c r="L20" s="66" t="n"/>
      <c r="M20" s="67" t="n"/>
      <c r="N20" s="33">
        <f>72/5</f>
        <v/>
      </c>
      <c r="O20" s="31">
        <f>72/5</f>
        <v/>
      </c>
    </row>
    <row r="21">
      <c r="B21" s="14" t="inlineStr">
        <is>
          <t>Line item</t>
        </is>
      </c>
      <c r="C21" s="14" t="inlineStr">
        <is>
          <t>Y0 (LTM)</t>
        </is>
      </c>
      <c r="D21" s="14" t="inlineStr">
        <is>
          <t>Y1</t>
        </is>
      </c>
      <c r="E21" s="14" t="inlineStr">
        <is>
          <t>Y2</t>
        </is>
      </c>
      <c r="F21" s="14" t="inlineStr">
        <is>
          <t>Y3</t>
        </is>
      </c>
      <c r="G21" s="14" t="inlineStr">
        <is>
          <t>Y4</t>
        </is>
      </c>
      <c r="H21" s="14" t="inlineStr">
        <is>
          <t>Y5</t>
        </is>
      </c>
      <c r="J21" s="65" t="inlineStr">
        <is>
          <t>The Rule of 114 IRR - applicable only if your MOIC is close to 3!!!</t>
        </is>
      </c>
      <c r="K21" s="66" t="n"/>
      <c r="L21" s="66" t="n"/>
      <c r="M21" s="67" t="n"/>
      <c r="N21" s="34">
        <f>114/5</f>
        <v/>
      </c>
      <c r="O21" s="11">
        <f>114/5</f>
        <v/>
      </c>
    </row>
    <row r="22">
      <c r="B22" s="15" t="inlineStr">
        <is>
          <t>Sales</t>
        </is>
      </c>
      <c r="C22" s="16">
        <f>C5</f>
        <v/>
      </c>
      <c r="D22" s="16">
        <f>C22*(1+C8)</f>
        <v/>
      </c>
      <c r="E22" s="16">
        <f>D22*(1+C8)</f>
        <v/>
      </c>
      <c r="F22" s="16">
        <f>E22*(1+C8)</f>
        <v/>
      </c>
      <c r="G22" s="16">
        <f>F22*(1+C8)</f>
        <v/>
      </c>
      <c r="H22" s="16">
        <f>G22*(1+C8)</f>
        <v/>
      </c>
      <c r="J22" s="65" t="inlineStr">
        <is>
          <t>The Rule of 144 IRR - applicable only if your MOIC is close to 4!!!</t>
        </is>
      </c>
      <c r="K22" s="66" t="n"/>
      <c r="L22" s="66" t="n"/>
      <c r="M22" s="67" t="n"/>
      <c r="N22" s="34">
        <f>144/5</f>
        <v/>
      </c>
      <c r="O22" s="11">
        <f>144/5</f>
        <v/>
      </c>
    </row>
    <row r="23">
      <c r="B23" s="15" t="inlineStr">
        <is>
          <t>EBITDA</t>
        </is>
      </c>
      <c r="C23" s="16">
        <f>C22*C6</f>
        <v/>
      </c>
      <c r="D23" s="16">
        <f>D22*C9</f>
        <v/>
      </c>
      <c r="E23" s="16">
        <f>E22*C9</f>
        <v/>
      </c>
      <c r="F23" s="16">
        <f>F22*C9</f>
        <v/>
      </c>
      <c r="G23" s="16">
        <f>G22*C9</f>
        <v/>
      </c>
      <c r="H23" s="16">
        <f>H22*C9</f>
        <v/>
      </c>
    </row>
    <row r="24">
      <c r="B24" s="15" t="inlineStr">
        <is>
          <t>D&amp;A</t>
        </is>
      </c>
      <c r="C24" s="16">
        <f>C22*C14</f>
        <v/>
      </c>
      <c r="D24" s="16">
        <f>D22*C14</f>
        <v/>
      </c>
      <c r="E24" s="16">
        <f>E22*C14</f>
        <v/>
      </c>
      <c r="F24" s="16">
        <f>F22*C14</f>
        <v/>
      </c>
      <c r="G24" s="16">
        <f>G22*C14</f>
        <v/>
      </c>
      <c r="H24" s="16">
        <f>H22*C14</f>
        <v/>
      </c>
    </row>
    <row r="25">
      <c r="B25" s="15" t="inlineStr">
        <is>
          <t>EBIT</t>
        </is>
      </c>
      <c r="C25" s="16">
        <f>C23-C24</f>
        <v/>
      </c>
      <c r="D25" s="16">
        <f>D23-D24</f>
        <v/>
      </c>
      <c r="E25" s="16">
        <f>E23-E24</f>
        <v/>
      </c>
      <c r="F25" s="16">
        <f>F23-F24</f>
        <v/>
      </c>
      <c r="G25" s="16">
        <f>G23-G24</f>
        <v/>
      </c>
      <c r="H25" s="16">
        <f>H23-H24</f>
        <v/>
      </c>
    </row>
    <row r="26">
      <c r="B26" s="15" t="inlineStr">
        <is>
          <t>Interest</t>
        </is>
      </c>
      <c r="C26" s="16">
        <f>$K$8*C13</f>
        <v/>
      </c>
      <c r="D26" s="16">
        <f>R6</f>
        <v/>
      </c>
      <c r="E26" s="16">
        <f>S6</f>
        <v/>
      </c>
      <c r="F26" s="16">
        <f>T6</f>
        <v/>
      </c>
      <c r="G26" s="16">
        <f>U6</f>
        <v/>
      </c>
      <c r="H26" s="16">
        <f>V6</f>
        <v/>
      </c>
    </row>
    <row r="27">
      <c r="B27" s="15" t="inlineStr">
        <is>
          <t>EBT</t>
        </is>
      </c>
      <c r="C27" s="16">
        <f>C25-C26</f>
        <v/>
      </c>
      <c r="D27" s="16">
        <f>D25-D26</f>
        <v/>
      </c>
      <c r="E27" s="16">
        <f>E25-E26</f>
        <v/>
      </c>
      <c r="F27" s="16">
        <f>F25-F26</f>
        <v/>
      </c>
      <c r="G27" s="16">
        <f>G25-G26</f>
        <v/>
      </c>
      <c r="H27" s="16">
        <f>H25-H26</f>
        <v/>
      </c>
    </row>
    <row r="28">
      <c r="B28" s="15" t="inlineStr">
        <is>
          <t>Taxes</t>
        </is>
      </c>
      <c r="C28" s="16">
        <f>MAX(0,C27*C10)</f>
        <v/>
      </c>
      <c r="D28" s="16">
        <f>MAX(0,D27*C10)</f>
        <v/>
      </c>
      <c r="E28" s="16">
        <f>MAX(0,E27*C10)</f>
        <v/>
      </c>
      <c r="F28" s="16">
        <f>MAX(0,F27*C10)</f>
        <v/>
      </c>
      <c r="G28" s="16">
        <f>MAX(0,G27*C10)</f>
        <v/>
      </c>
      <c r="H28" s="16">
        <f>MAX(0,H27*C10)</f>
        <v/>
      </c>
    </row>
    <row r="29">
      <c r="B29" s="15" t="inlineStr">
        <is>
          <t>Net Income</t>
        </is>
      </c>
      <c r="C29" s="16">
        <f>C27-C28</f>
        <v/>
      </c>
      <c r="D29" s="16">
        <f>D27-D28</f>
        <v/>
      </c>
      <c r="E29" s="16">
        <f>E27-E28</f>
        <v/>
      </c>
      <c r="F29" s="16">
        <f>F27-F28</f>
        <v/>
      </c>
      <c r="G29" s="16">
        <f>G27-G28</f>
        <v/>
      </c>
      <c r="H29" s="16">
        <f>H27-H28</f>
        <v/>
      </c>
    </row>
    <row r="30">
      <c r="B30" s="15" t="inlineStr">
        <is>
          <t>CAPEX</t>
        </is>
      </c>
      <c r="C30" s="16">
        <f>C22*C15</f>
        <v/>
      </c>
      <c r="D30" s="16">
        <f>D22*C15</f>
        <v/>
      </c>
      <c r="E30" s="16">
        <f>E22*C15</f>
        <v/>
      </c>
      <c r="F30" s="16">
        <f>F22*C15</f>
        <v/>
      </c>
      <c r="G30" s="16">
        <f>G22*C15</f>
        <v/>
      </c>
      <c r="H30" s="16">
        <f>H22*C15</f>
        <v/>
      </c>
    </row>
    <row r="31">
      <c r="B31" s="15" t="inlineStr">
        <is>
          <t>ΔNWC (Investment)</t>
        </is>
      </c>
      <c r="C31" s="16" t="n">
        <v>0</v>
      </c>
      <c r="D31" s="16">
        <f>MAX(0,(D22-C22)*C16)</f>
        <v/>
      </c>
      <c r="E31" s="16">
        <f>MAX(0,(E22-D22)*C16)</f>
        <v/>
      </c>
      <c r="F31" s="16">
        <f>MAX(0,(F22-E22)*C16)</f>
        <v/>
      </c>
      <c r="G31" s="16">
        <f>MAX(0,(G22-F22)*C16)</f>
        <v/>
      </c>
      <c r="H31" s="16">
        <f>MAX(0,(H22-G22)*C16)</f>
        <v/>
      </c>
    </row>
    <row r="32">
      <c r="B32" s="17" t="inlineStr">
        <is>
          <t>Free Cash Flow (FCF)</t>
        </is>
      </c>
      <c r="C32" s="16">
        <f>C23-C28-C30-C31</f>
        <v/>
      </c>
      <c r="D32" s="16">
        <f>D23-D28-D30-D31</f>
        <v/>
      </c>
      <c r="E32" s="16">
        <f>E23-E28-E30-E31</f>
        <v/>
      </c>
      <c r="F32" s="16">
        <f>F23-F28-F30-F31</f>
        <v/>
      </c>
      <c r="G32" s="16">
        <f>G23-G28-G30-G31</f>
        <v/>
      </c>
      <c r="H32" s="16">
        <f>H23-H28-H30-H31</f>
        <v/>
      </c>
    </row>
    <row r="33">
      <c r="B33" s="17" t="inlineStr">
        <is>
          <t>Cumulative FCF</t>
        </is>
      </c>
      <c r="C33" s="16">
        <f>C32</f>
        <v/>
      </c>
      <c r="D33" s="16">
        <f>C33+D32</f>
        <v/>
      </c>
      <c r="E33" s="16">
        <f>D33+E32</f>
        <v/>
      </c>
      <c r="F33" s="16">
        <f>E33+F32</f>
        <v/>
      </c>
      <c r="G33" s="16">
        <f>F33+G32</f>
        <v/>
      </c>
      <c r="H33" s="16">
        <f>G33+H32</f>
        <v/>
      </c>
    </row>
    <row r="34"/>
    <row r="35"/>
    <row r="36"/>
    <row r="37"/>
    <row r="38"/>
    <row r="39"/>
    <row r="40">
      <c r="B40" s="74" t="inlineStr">
        <is>
          <t>OUTPUT STATEMENTS (references to projection block)</t>
        </is>
      </c>
      <c r="C40" s="66" t="n"/>
      <c r="D40" s="66" t="n"/>
      <c r="E40" s="66" t="n"/>
      <c r="F40" s="66" t="n"/>
      <c r="G40" s="66" t="n"/>
      <c r="H40" s="67" t="n"/>
    </row>
    <row r="41">
      <c r="B41" s="18" t="inlineStr">
        <is>
          <t>Income Statement</t>
        </is>
      </c>
      <c r="C41" s="18" t="inlineStr">
        <is>
          <t>Y0 (LTM)</t>
        </is>
      </c>
      <c r="D41" s="18" t="inlineStr">
        <is>
          <t>Y1</t>
        </is>
      </c>
      <c r="E41" s="18" t="inlineStr">
        <is>
          <t>Y2</t>
        </is>
      </c>
      <c r="F41" s="18" t="inlineStr">
        <is>
          <t>Y3</t>
        </is>
      </c>
      <c r="G41" s="18" t="inlineStr">
        <is>
          <t>Y4</t>
        </is>
      </c>
      <c r="H41" s="18" t="inlineStr">
        <is>
          <t>Y5</t>
        </is>
      </c>
    </row>
    <row r="42">
      <c r="B42" s="7" t="inlineStr">
        <is>
          <t>Sales</t>
        </is>
      </c>
      <c r="C42" s="8">
        <f>C22</f>
        <v/>
      </c>
      <c r="D42" s="8">
        <f>D22</f>
        <v/>
      </c>
      <c r="E42" s="8">
        <f>E22</f>
        <v/>
      </c>
      <c r="F42" s="8">
        <f>F22</f>
        <v/>
      </c>
      <c r="G42" s="8">
        <f>G22</f>
        <v/>
      </c>
      <c r="H42" s="8">
        <f>H22</f>
        <v/>
      </c>
    </row>
    <row r="43">
      <c r="B43" s="7" t="inlineStr">
        <is>
          <t>EBITDA</t>
        </is>
      </c>
      <c r="C43" s="8">
        <f>C23</f>
        <v/>
      </c>
      <c r="D43" s="8">
        <f>D23</f>
        <v/>
      </c>
      <c r="E43" s="8">
        <f>E23</f>
        <v/>
      </c>
      <c r="F43" s="8">
        <f>F23</f>
        <v/>
      </c>
      <c r="G43" s="8">
        <f>G23</f>
        <v/>
      </c>
      <c r="H43" s="8">
        <f>H23</f>
        <v/>
      </c>
    </row>
    <row r="44">
      <c r="B44" s="7" t="inlineStr">
        <is>
          <t>D&amp;A</t>
        </is>
      </c>
      <c r="C44" s="8">
        <f>C24</f>
        <v/>
      </c>
      <c r="D44" s="8">
        <f>D24</f>
        <v/>
      </c>
      <c r="E44" s="8">
        <f>E24</f>
        <v/>
      </c>
      <c r="F44" s="8">
        <f>F24</f>
        <v/>
      </c>
      <c r="G44" s="8">
        <f>G24</f>
        <v/>
      </c>
      <c r="H44" s="8">
        <f>H24</f>
        <v/>
      </c>
    </row>
    <row r="45">
      <c r="B45" s="7" t="inlineStr">
        <is>
          <t>EBIT</t>
        </is>
      </c>
      <c r="C45" s="8">
        <f>C25</f>
        <v/>
      </c>
      <c r="D45" s="8">
        <f>D25</f>
        <v/>
      </c>
      <c r="E45" s="8">
        <f>E25</f>
        <v/>
      </c>
      <c r="F45" s="8">
        <f>F25</f>
        <v/>
      </c>
      <c r="G45" s="8">
        <f>G25</f>
        <v/>
      </c>
      <c r="H45" s="8">
        <f>H25</f>
        <v/>
      </c>
    </row>
    <row r="46">
      <c r="B46" s="7" t="inlineStr">
        <is>
          <t>Interest</t>
        </is>
      </c>
      <c r="C46" s="8">
        <f>C26</f>
        <v/>
      </c>
      <c r="D46" s="8">
        <f>D26</f>
        <v/>
      </c>
      <c r="E46" s="8">
        <f>E26</f>
        <v/>
      </c>
      <c r="F46" s="8">
        <f>F26</f>
        <v/>
      </c>
      <c r="G46" s="8">
        <f>G26</f>
        <v/>
      </c>
      <c r="H46" s="8">
        <f>H26</f>
        <v/>
      </c>
    </row>
    <row r="47">
      <c r="B47" s="7" t="inlineStr">
        <is>
          <t>EBT</t>
        </is>
      </c>
      <c r="C47" s="8">
        <f>C27</f>
        <v/>
      </c>
      <c r="D47" s="8">
        <f>D27</f>
        <v/>
      </c>
      <c r="E47" s="8">
        <f>E27</f>
        <v/>
      </c>
      <c r="F47" s="8">
        <f>F27</f>
        <v/>
      </c>
      <c r="G47" s="8">
        <f>G27</f>
        <v/>
      </c>
      <c r="H47" s="8">
        <f>H27</f>
        <v/>
      </c>
    </row>
    <row r="48">
      <c r="B48" s="7" t="inlineStr">
        <is>
          <t>Taxes</t>
        </is>
      </c>
      <c r="C48" s="8">
        <f>C28</f>
        <v/>
      </c>
      <c r="D48" s="8">
        <f>D28</f>
        <v/>
      </c>
      <c r="E48" s="8">
        <f>E28</f>
        <v/>
      </c>
      <c r="F48" s="8">
        <f>F28</f>
        <v/>
      </c>
      <c r="G48" s="8">
        <f>G28</f>
        <v/>
      </c>
      <c r="H48" s="8">
        <f>H28</f>
        <v/>
      </c>
    </row>
    <row r="49">
      <c r="B49" s="7" t="inlineStr">
        <is>
          <t>Net Income</t>
        </is>
      </c>
      <c r="C49" s="8">
        <f>C29</f>
        <v/>
      </c>
      <c r="D49" s="8">
        <f>D29</f>
        <v/>
      </c>
      <c r="E49" s="8">
        <f>E29</f>
        <v/>
      </c>
      <c r="F49" s="8">
        <f>F29</f>
        <v/>
      </c>
      <c r="G49" s="8">
        <f>G29</f>
        <v/>
      </c>
      <c r="H49" s="8">
        <f>H29</f>
        <v/>
      </c>
    </row>
    <row r="50"/>
    <row r="51">
      <c r="B51" s="18" t="inlineStr">
        <is>
          <t>Cash Flow Statement</t>
        </is>
      </c>
      <c r="C51" s="18" t="inlineStr">
        <is>
          <t>Y0 (LTM)</t>
        </is>
      </c>
      <c r="D51" s="18" t="inlineStr">
        <is>
          <t>Y1</t>
        </is>
      </c>
      <c r="E51" s="18" t="inlineStr">
        <is>
          <t>Y2</t>
        </is>
      </c>
      <c r="F51" s="18" t="inlineStr">
        <is>
          <t>Y3</t>
        </is>
      </c>
      <c r="G51" s="18" t="inlineStr">
        <is>
          <t>Y4</t>
        </is>
      </c>
      <c r="H51" s="18" t="inlineStr">
        <is>
          <t>Y5</t>
        </is>
      </c>
    </row>
    <row r="52">
      <c r="B52" s="7" t="inlineStr">
        <is>
          <t>EBITDA</t>
        </is>
      </c>
      <c r="C52" s="8">
        <f>C23</f>
        <v/>
      </c>
      <c r="D52" s="8">
        <f>D23</f>
        <v/>
      </c>
      <c r="E52" s="8">
        <f>E23</f>
        <v/>
      </c>
      <c r="F52" s="8">
        <f>F23</f>
        <v/>
      </c>
      <c r="G52" s="8">
        <f>G23</f>
        <v/>
      </c>
      <c r="H52" s="8">
        <f>H23</f>
        <v/>
      </c>
    </row>
    <row r="53">
      <c r="B53" s="7" t="inlineStr">
        <is>
          <t>Less: Taxes</t>
        </is>
      </c>
      <c r="C53" s="8">
        <f>-C28</f>
        <v/>
      </c>
      <c r="D53" s="8">
        <f>-D28</f>
        <v/>
      </c>
      <c r="E53" s="8">
        <f>-E28</f>
        <v/>
      </c>
      <c r="F53" s="8">
        <f>-F28</f>
        <v/>
      </c>
      <c r="G53" s="8">
        <f>-G28</f>
        <v/>
      </c>
      <c r="H53" s="8">
        <f>-H28</f>
        <v/>
      </c>
    </row>
    <row r="54">
      <c r="B54" s="7" t="inlineStr">
        <is>
          <t>Less: CAPEX</t>
        </is>
      </c>
      <c r="C54" s="8">
        <f>-C30</f>
        <v/>
      </c>
      <c r="D54" s="8">
        <f>-D30</f>
        <v/>
      </c>
      <c r="E54" s="8">
        <f>-E30</f>
        <v/>
      </c>
      <c r="F54" s="8">
        <f>-F30</f>
        <v/>
      </c>
      <c r="G54" s="8">
        <f>-G30</f>
        <v/>
      </c>
      <c r="H54" s="8">
        <f>-H30</f>
        <v/>
      </c>
    </row>
    <row r="55">
      <c r="B55" s="7" t="inlineStr">
        <is>
          <t>Less: ΔNWC</t>
        </is>
      </c>
      <c r="C55" s="8">
        <f>-C31</f>
        <v/>
      </c>
      <c r="D55" s="8">
        <f>-D31</f>
        <v/>
      </c>
      <c r="E55" s="8">
        <f>-E31</f>
        <v/>
      </c>
      <c r="F55" s="8">
        <f>-F31</f>
        <v/>
      </c>
      <c r="G55" s="8">
        <f>-G31</f>
        <v/>
      </c>
      <c r="H55" s="8">
        <f>-H31</f>
        <v/>
      </c>
    </row>
    <row r="56">
      <c r="B56" s="7" t="inlineStr">
        <is>
          <t>Free Cash Flow</t>
        </is>
      </c>
      <c r="C56" s="8">
        <f>C32</f>
        <v/>
      </c>
      <c r="D56" s="8">
        <f>D32</f>
        <v/>
      </c>
      <c r="E56" s="8">
        <f>E32</f>
        <v/>
      </c>
      <c r="F56" s="8">
        <f>F32</f>
        <v/>
      </c>
      <c r="G56" s="8">
        <f>G32</f>
        <v/>
      </c>
      <c r="H56" s="8">
        <f>H32</f>
        <v/>
      </c>
    </row>
    <row r="57">
      <c r="B57" s="7" t="inlineStr">
        <is>
          <t>Cumulative FCF</t>
        </is>
      </c>
      <c r="C57" s="8">
        <f>C33</f>
        <v/>
      </c>
      <c r="D57" s="8">
        <f>D33</f>
        <v/>
      </c>
      <c r="E57" s="8">
        <f>E33</f>
        <v/>
      </c>
      <c r="F57" s="8">
        <f>F33</f>
        <v/>
      </c>
      <c r="G57" s="8">
        <f>G33</f>
        <v/>
      </c>
      <c r="H57" s="8">
        <f>H33</f>
        <v/>
      </c>
    </row>
    <row r="58"/>
    <row r="59"/>
    <row r="60">
      <c r="B60" s="70" t="inlineStr">
        <is>
          <t>CHECKS (should show OK)</t>
        </is>
      </c>
      <c r="C60" s="66" t="n"/>
      <c r="D60" s="66" t="n"/>
      <c r="E60" s="66" t="n"/>
      <c r="F60" s="66" t="n"/>
      <c r="G60" s="66" t="n"/>
      <c r="H60" s="67" t="n"/>
    </row>
    <row r="61">
      <c r="B61" s="19" t="inlineStr">
        <is>
          <t>Check 1: Entry EV = Debt + Equity</t>
        </is>
      </c>
      <c r="C61" s="35">
        <f>K7-(K8+K9)</f>
        <v/>
      </c>
      <c r="D61" s="19" t="inlineStr">
        <is>
          <t>Difference</t>
        </is>
      </c>
      <c r="E61" s="19">
        <f>IF(ABS(C61)&lt;1,"OK","ERROR")</f>
        <v/>
      </c>
    </row>
    <row r="62" ht="26" customHeight="1" s="61">
      <c r="B62" s="19" t="inlineStr">
        <is>
          <t>Check 2: Exit Equity = Exit EV − Ending Debt</t>
        </is>
      </c>
      <c r="C62" s="35">
        <f>K14-(K12-K13)</f>
        <v/>
      </c>
      <c r="D62" s="19" t="inlineStr">
        <is>
          <t>Difference</t>
        </is>
      </c>
      <c r="E62" s="19">
        <f>IF(ABS(C62)&lt;1,"OK","ERROR")</f>
        <v/>
      </c>
    </row>
    <row r="63" ht="26" customHeight="1" s="61">
      <c r="B63" s="19" t="inlineStr">
        <is>
          <t>Check 3: FCF(Y3) = EBITDA − Taxes − CAPEX − ΔNWC</t>
        </is>
      </c>
      <c r="C63" s="35">
        <f>F32-(F23-F28-F30-F31)</f>
        <v/>
      </c>
      <c r="D63" s="19" t="inlineStr">
        <is>
          <t>Difference</t>
        </is>
      </c>
      <c r="E63" s="19">
        <f>IF(ABS(C63)&lt;1,"OK","ERROR")</f>
        <v/>
      </c>
    </row>
  </sheetData>
  <sheetProtection selectLockedCells="0" selectUnlockedCells="0" sheet="1" objects="1" insertRows="0" insertHyperlinks="1" autoFilter="0" scenarios="1" formatColumns="0" deleteColumns="0" insertColumns="0" pivotTables="0" deleteRows="0" formatCells="0" formatRows="0" sort="0" password="AE3A"/>
  <mergeCells count="14">
    <mergeCell ref="J18:M18"/>
    <mergeCell ref="J16:O16"/>
    <mergeCell ref="J4:K4"/>
    <mergeCell ref="J22:M22"/>
    <mergeCell ref="B40:H40"/>
    <mergeCell ref="B1:H1"/>
    <mergeCell ref="J5:K5"/>
    <mergeCell ref="B60:H60"/>
    <mergeCell ref="B4:D4"/>
    <mergeCell ref="J20:M20"/>
    <mergeCell ref="J21:M21"/>
    <mergeCell ref="B20:H20"/>
    <mergeCell ref="Q3:V3"/>
    <mergeCell ref="J19:M19"/>
  </mergeCells>
  <hyperlinks>
    <hyperlink ref="A1" location="'Index'!A1" display="← Back to Index"/>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3"/>
  <sheetViews>
    <sheetView workbookViewId="0">
      <selection activeCell="M2" sqref="M2"/>
    </sheetView>
  </sheetViews>
  <sheetFormatPr baseColWidth="8" defaultRowHeight="14.5"/>
  <cols>
    <col width="2" customWidth="1" style="61" min="1" max="1"/>
    <col width="34" customWidth="1" style="61" min="2" max="2"/>
    <col width="18" customWidth="1" style="61" min="3" max="3"/>
    <col width="12" customWidth="1" style="61" min="4" max="4"/>
    <col width="16" customWidth="1" style="61" min="5" max="8"/>
    <col width="2" customWidth="1" style="61" min="9" max="9"/>
    <col width="32" customWidth="1" style="61" min="10" max="10"/>
    <col width="18" customWidth="1" style="61" min="11" max="11"/>
    <col width="14" customWidth="1" style="61" min="12" max="15"/>
    <col width="15" bestFit="1" customWidth="1" style="61" min="17" max="17"/>
  </cols>
  <sheetData>
    <row r="1" ht="18.5" customHeight="1" s="61">
      <c r="A1" s="23" t="inlineStr">
        <is>
          <t>← Back to Index</t>
        </is>
      </c>
      <c r="B1" s="68" t="inlineStr">
        <is>
          <t>LBO Model – Pharmaceuticals (Generics)</t>
        </is>
      </c>
      <c r="C1" s="66" t="n"/>
      <c r="D1" s="66" t="n"/>
      <c r="E1" s="66" t="n"/>
      <c r="F1" s="66" t="n"/>
      <c r="G1" s="66" t="n"/>
      <c r="H1" s="67" t="n"/>
    </row>
    <row r="2" ht="43.5" customHeight="1" s="61">
      <c r="B2" s="1" t="inlineStr">
        <is>
          <t>Currency:</t>
        </is>
      </c>
      <c r="C2" s="2" t="inlineStr">
        <is>
          <t>INR (₹) — Indian digit grouping (lakhs/crores)</t>
        </is>
      </c>
    </row>
    <row r="3">
      <c r="Q3" s="75" t="inlineStr">
        <is>
          <t>DEBT SERVICE SCHEDULE</t>
        </is>
      </c>
      <c r="R3" s="63" t="n"/>
      <c r="S3" s="63" t="n"/>
      <c r="T3" s="63" t="n"/>
      <c r="U3" s="63" t="n"/>
      <c r="V3" s="64" t="n"/>
    </row>
    <row r="4">
      <c r="B4" s="71" t="inlineStr">
        <is>
          <t>INPUTS (manual entries)</t>
        </is>
      </c>
      <c r="C4" s="66" t="n"/>
      <c r="D4" s="67" t="n"/>
      <c r="J4" s="74" t="inlineStr">
        <is>
          <t>OUTPUTS (auto)</t>
        </is>
      </c>
      <c r="K4" s="67" t="n"/>
      <c r="Q4" s="41" t="inlineStr">
        <is>
          <t>Year</t>
        </is>
      </c>
      <c r="R4" s="41">
        <f>D21</f>
        <v/>
      </c>
      <c r="S4" s="41">
        <f>E21</f>
        <v/>
      </c>
      <c r="T4" s="41">
        <f>F21</f>
        <v/>
      </c>
      <c r="U4" s="41">
        <f>G21</f>
        <v/>
      </c>
      <c r="V4" s="41">
        <f>H21</f>
        <v/>
      </c>
    </row>
    <row r="5">
      <c r="B5" s="3" t="inlineStr">
        <is>
          <t>LTM Sales</t>
        </is>
      </c>
      <c r="C5" s="4" t="n">
        <v>9000000</v>
      </c>
      <c r="D5" s="5" t="inlineStr">
        <is>
          <t>₹</t>
        </is>
      </c>
      <c r="J5" s="69" t="inlineStr">
        <is>
          <t>Valuation</t>
        </is>
      </c>
      <c r="K5" s="67" t="n"/>
      <c r="Q5" s="42" t="inlineStr">
        <is>
          <t>Opening Debt</t>
        </is>
      </c>
      <c r="R5" s="38">
        <f>K8</f>
        <v/>
      </c>
      <c r="S5" s="38">
        <f>R9</f>
        <v/>
      </c>
      <c r="T5" s="38">
        <f>S9</f>
        <v/>
      </c>
      <c r="U5" s="38">
        <f>T9</f>
        <v/>
      </c>
      <c r="V5" s="38">
        <f>U9</f>
        <v/>
      </c>
    </row>
    <row r="6">
      <c r="B6" s="3" t="inlineStr">
        <is>
          <t>LTM EBITDA Margin</t>
        </is>
      </c>
      <c r="C6" s="6" t="n">
        <v>0.28</v>
      </c>
      <c r="D6" s="5" t="inlineStr">
        <is>
          <t>%</t>
        </is>
      </c>
      <c r="J6" s="7" t="inlineStr">
        <is>
          <t>Entry EBITDA (Y0)</t>
        </is>
      </c>
      <c r="K6" s="8">
        <f>C23</f>
        <v/>
      </c>
      <c r="Q6" s="42" t="inlineStr">
        <is>
          <t>Interest Expense</t>
        </is>
      </c>
      <c r="R6" s="38">
        <f>R5*$C$13</f>
        <v/>
      </c>
      <c r="S6" s="38">
        <f>S5*$C$13</f>
        <v/>
      </c>
      <c r="T6" s="38">
        <f>T5*$C$13</f>
        <v/>
      </c>
      <c r="U6" s="38">
        <f>U5*$C$13</f>
        <v/>
      </c>
      <c r="V6" s="38">
        <f>V5*$C$13</f>
        <v/>
      </c>
    </row>
    <row r="7">
      <c r="B7" s="3" t="inlineStr">
        <is>
          <t>Entry EBITDA Multiple</t>
        </is>
      </c>
      <c r="C7" s="9" t="n">
        <v>7.5</v>
      </c>
      <c r="D7" s="5" t="inlineStr">
        <is>
          <t>x</t>
        </is>
      </c>
      <c r="J7" s="29" t="inlineStr">
        <is>
          <t>Entry EV</t>
        </is>
      </c>
      <c r="K7" s="8">
        <f>K6*C7</f>
        <v/>
      </c>
      <c r="Q7" s="42" t="inlineStr">
        <is>
          <t>CFADS (FCF)</t>
        </is>
      </c>
      <c r="R7" s="38">
        <f>D32</f>
        <v/>
      </c>
      <c r="S7" s="38">
        <f>E32</f>
        <v/>
      </c>
      <c r="T7" s="38">
        <f>F32</f>
        <v/>
      </c>
      <c r="U7" s="38">
        <f>G32</f>
        <v/>
      </c>
      <c r="V7" s="38">
        <f>H32</f>
        <v/>
      </c>
    </row>
    <row r="8">
      <c r="B8" s="3" t="inlineStr">
        <is>
          <t>Annual Sales Growth</t>
        </is>
      </c>
      <c r="C8" s="6" t="n">
        <v>0.09</v>
      </c>
      <c r="D8" s="5" t="inlineStr">
        <is>
          <t>%</t>
        </is>
      </c>
      <c r="J8" s="7" t="inlineStr">
        <is>
          <t>Debt at Entry</t>
        </is>
      </c>
      <c r="K8" s="8">
        <f>K7*C12</f>
        <v/>
      </c>
      <c r="Q8" s="42" t="inlineStr">
        <is>
          <t>Debt Repayment</t>
        </is>
      </c>
      <c r="R8" s="38">
        <f>MIN(R5,R7)</f>
        <v/>
      </c>
      <c r="S8" s="38">
        <f>MIN(S5,S7)</f>
        <v/>
      </c>
      <c r="T8" s="38">
        <f>MIN(T5,T7)</f>
        <v/>
      </c>
      <c r="U8" s="38">
        <f>MIN(U5,U7)</f>
        <v/>
      </c>
      <c r="V8" s="38">
        <f>MIN(V5,V7)</f>
        <v/>
      </c>
    </row>
    <row r="9">
      <c r="B9" s="3" t="inlineStr">
        <is>
          <t>Projected EBITDA Margin (Y1–Y5)</t>
        </is>
      </c>
      <c r="C9" s="6" t="n">
        <v>0.3</v>
      </c>
      <c r="D9" s="5" t="inlineStr">
        <is>
          <t>%</t>
        </is>
      </c>
      <c r="J9" s="7" t="inlineStr">
        <is>
          <t>Equity at Entry</t>
        </is>
      </c>
      <c r="K9" s="8">
        <f>K7-K8</f>
        <v/>
      </c>
      <c r="Q9" s="42" t="inlineStr">
        <is>
          <t>Closing Debt</t>
        </is>
      </c>
      <c r="R9" s="38">
        <f>R5-R8</f>
        <v/>
      </c>
      <c r="S9" s="38">
        <f>S5-S8</f>
        <v/>
      </c>
      <c r="T9" s="38">
        <f>T5-T8</f>
        <v/>
      </c>
      <c r="U9" s="38">
        <f>U5-U8</f>
        <v/>
      </c>
      <c r="V9" s="38">
        <f>V5-V8</f>
        <v/>
      </c>
    </row>
    <row r="10">
      <c r="B10" s="3" t="inlineStr">
        <is>
          <t>Corporate Tax Rate</t>
        </is>
      </c>
      <c r="C10" s="6" t="n">
        <v>0.25</v>
      </c>
      <c r="D10" s="5" t="inlineStr">
        <is>
          <t>%</t>
        </is>
      </c>
      <c r="K10" s="37" t="n"/>
      <c r="Q10" s="42" t="inlineStr">
        <is>
          <t>Cash Build-Up</t>
        </is>
      </c>
      <c r="R10" s="38">
        <f>R7-R8</f>
        <v/>
      </c>
      <c r="S10" s="38">
        <f>S7-S8</f>
        <v/>
      </c>
      <c r="T10" s="38">
        <f>T7-T8</f>
        <v/>
      </c>
      <c r="U10" s="38">
        <f>U7-U8</f>
        <v/>
      </c>
      <c r="V10" s="38">
        <f>V7-V8</f>
        <v/>
      </c>
    </row>
    <row r="11">
      <c r="B11" s="3" t="inlineStr">
        <is>
          <t>Exit EBITDA Multiple (Year 5)</t>
        </is>
      </c>
      <c r="C11" s="9" t="n">
        <v>8.5</v>
      </c>
      <c r="D11" s="5" t="inlineStr">
        <is>
          <t>x</t>
        </is>
      </c>
      <c r="J11" s="7" t="inlineStr">
        <is>
          <t>Exit EBITDA (Y5)</t>
        </is>
      </c>
      <c r="K11" s="8">
        <f>H23</f>
        <v/>
      </c>
      <c r="Q11" s="42" t="inlineStr">
        <is>
          <t>Cumulative Cash</t>
        </is>
      </c>
      <c r="R11" s="38">
        <f>R10</f>
        <v/>
      </c>
      <c r="S11" s="38">
        <f>R11+S10</f>
        <v/>
      </c>
      <c r="T11" s="38">
        <f>S11+T10</f>
        <v/>
      </c>
      <c r="U11" s="38">
        <f>T11+U10</f>
        <v/>
      </c>
      <c r="V11" s="38">
        <f>U11+V10</f>
        <v/>
      </c>
    </row>
    <row r="12">
      <c r="B12" s="3" t="inlineStr">
        <is>
          <t>% Debt Financing (at Entry)</t>
        </is>
      </c>
      <c r="C12" s="6" t="n">
        <v>0.35</v>
      </c>
      <c r="D12" s="5" t="inlineStr">
        <is>
          <t>%</t>
        </is>
      </c>
      <c r="J12" s="29" t="inlineStr">
        <is>
          <t>Exit EV</t>
        </is>
      </c>
      <c r="K12" s="8">
        <f>K11*C11</f>
        <v/>
      </c>
    </row>
    <row r="13">
      <c r="B13" s="3" t="inlineStr">
        <is>
          <t>Interest Rate on Debt</t>
        </is>
      </c>
      <c r="C13" s="6" t="n">
        <v>0.11</v>
      </c>
      <c r="D13" s="5" t="inlineStr">
        <is>
          <t>%</t>
        </is>
      </c>
      <c r="J13" s="7" t="inlineStr">
        <is>
          <t>Ending Debt (assumed same as entry)</t>
        </is>
      </c>
      <c r="K13" s="8">
        <f>V9</f>
        <v/>
      </c>
    </row>
    <row r="14">
      <c r="B14" s="3" t="inlineStr">
        <is>
          <t>D&amp;A as % of Sales</t>
        </is>
      </c>
      <c r="C14" s="6" t="n">
        <v>0.08</v>
      </c>
      <c r="D14" s="5" t="inlineStr">
        <is>
          <t>%</t>
        </is>
      </c>
      <c r="J14" s="7" t="inlineStr">
        <is>
          <t>Equity at Exit</t>
        </is>
      </c>
      <c r="K14" s="8">
        <f>K12-K13+V11</f>
        <v/>
      </c>
    </row>
    <row r="15">
      <c r="B15" s="3" t="inlineStr">
        <is>
          <t>CAPEX as % of Sales</t>
        </is>
      </c>
      <c r="C15" s="6" t="n">
        <v>0.1</v>
      </c>
      <c r="D15" s="5" t="inlineStr">
        <is>
          <t>%</t>
        </is>
      </c>
    </row>
    <row r="16" ht="15.5" customHeight="1" s="61">
      <c r="B16" s="3" t="inlineStr">
        <is>
          <t>NWC Investment as % of Incremental Sales</t>
        </is>
      </c>
      <c r="C16" s="6" t="n">
        <v>0.12</v>
      </c>
      <c r="D16" s="5" t="inlineStr">
        <is>
          <t>%</t>
        </is>
      </c>
      <c r="J16" s="73" t="inlineStr">
        <is>
          <t>Rate of Return</t>
        </is>
      </c>
      <c r="K16" s="66" t="n"/>
      <c r="L16" s="66" t="n"/>
      <c r="M16" s="66" t="n"/>
      <c r="N16" s="66" t="n"/>
      <c r="O16" s="67" t="n"/>
    </row>
    <row r="17"/>
    <row r="18">
      <c r="J18" s="65" t="inlineStr">
        <is>
          <t>MOIC - Multiple on Invested Capital (Equity)</t>
        </is>
      </c>
      <c r="K18" s="66" t="n"/>
      <c r="L18" s="66" t="n"/>
      <c r="M18" s="67" t="n"/>
      <c r="N18" s="10">
        <f>K14/K9</f>
        <v/>
      </c>
      <c r="O18" s="39">
        <f>K14/K9</f>
        <v/>
      </c>
    </row>
    <row r="19">
      <c r="J19" s="65" t="inlineStr">
        <is>
          <t>IRR - Internal Rate of Return</t>
        </is>
      </c>
      <c r="K19" s="66" t="n"/>
      <c r="L19" s="66" t="n"/>
      <c r="M19" s="67" t="n"/>
      <c r="N19" s="12">
        <f>((K14/K9)^(1/5))-1</f>
        <v/>
      </c>
      <c r="O19" s="40">
        <f>(O18^(1/5))-1</f>
        <v/>
      </c>
    </row>
    <row r="20">
      <c r="B20" s="72" t="inlineStr">
        <is>
          <t>PROJECTIONS &amp; CALCULATIONS (formula-driven)</t>
        </is>
      </c>
      <c r="C20" s="66" t="n"/>
      <c r="D20" s="66" t="n"/>
      <c r="E20" s="66" t="n"/>
      <c r="F20" s="66" t="n"/>
      <c r="G20" s="66" t="n"/>
      <c r="H20" s="67" t="n"/>
      <c r="J20" s="65" t="inlineStr">
        <is>
          <t>The Rule of 72 IRR - applicable only if your MOIC is close to 2!!!</t>
        </is>
      </c>
      <c r="K20" s="66" t="n"/>
      <c r="L20" s="66" t="n"/>
      <c r="M20" s="67" t="n"/>
      <c r="N20" s="13">
        <f>72/5</f>
        <v/>
      </c>
      <c r="O20" s="39">
        <f>72/5</f>
        <v/>
      </c>
    </row>
    <row r="21">
      <c r="B21" s="14" t="inlineStr">
        <is>
          <t>Line item</t>
        </is>
      </c>
      <c r="C21" s="14" t="inlineStr">
        <is>
          <t>Y0 (LTM)</t>
        </is>
      </c>
      <c r="D21" s="14" t="inlineStr">
        <is>
          <t>Y1</t>
        </is>
      </c>
      <c r="E21" s="14" t="inlineStr">
        <is>
          <t>Y2</t>
        </is>
      </c>
      <c r="F21" s="14" t="inlineStr">
        <is>
          <t>Y3</t>
        </is>
      </c>
      <c r="G21" s="14" t="inlineStr">
        <is>
          <t>Y4</t>
        </is>
      </c>
      <c r="H21" s="14" t="inlineStr">
        <is>
          <t>Y5</t>
        </is>
      </c>
      <c r="J21" s="65" t="inlineStr">
        <is>
          <t>The Rule of 114 IRR - applicable only if your MOIC is close to 3!!!</t>
        </is>
      </c>
      <c r="K21" s="66" t="n"/>
      <c r="L21" s="66" t="n"/>
      <c r="M21" s="67" t="n"/>
      <c r="N21" s="13">
        <f>114/5</f>
        <v/>
      </c>
      <c r="O21" s="39">
        <f>114/5</f>
        <v/>
      </c>
    </row>
    <row r="22">
      <c r="B22" s="15" t="inlineStr">
        <is>
          <t>Sales</t>
        </is>
      </c>
      <c r="C22" s="16">
        <f>C5</f>
        <v/>
      </c>
      <c r="D22" s="16">
        <f>C22*(1+C8)</f>
        <v/>
      </c>
      <c r="E22" s="16">
        <f>D22*(1+C8)</f>
        <v/>
      </c>
      <c r="F22" s="16">
        <f>E22*(1+C8)</f>
        <v/>
      </c>
      <c r="G22" s="16">
        <f>F22*(1+C8)</f>
        <v/>
      </c>
      <c r="H22" s="16">
        <f>G22*(1+C8)</f>
        <v/>
      </c>
      <c r="J22" s="65" t="inlineStr">
        <is>
          <t>The Rule of 144 IRR - applicable only if your MOIC is close to 4!!!</t>
        </is>
      </c>
      <c r="K22" s="66" t="n"/>
      <c r="L22" s="66" t="n"/>
      <c r="M22" s="67" t="n"/>
      <c r="N22" s="13">
        <f>144/5</f>
        <v/>
      </c>
      <c r="O22" s="39">
        <f>144/5</f>
        <v/>
      </c>
    </row>
    <row r="23">
      <c r="B23" s="15" t="inlineStr">
        <is>
          <t>EBITDA</t>
        </is>
      </c>
      <c r="C23" s="16">
        <f>C22*C6</f>
        <v/>
      </c>
      <c r="D23" s="16">
        <f>D22*C9</f>
        <v/>
      </c>
      <c r="E23" s="16">
        <f>E22*C9</f>
        <v/>
      </c>
      <c r="F23" s="16">
        <f>F22*C9</f>
        <v/>
      </c>
      <c r="G23" s="16">
        <f>G22*C9</f>
        <v/>
      </c>
      <c r="H23" s="16">
        <f>H22*C9</f>
        <v/>
      </c>
    </row>
    <row r="24">
      <c r="B24" s="15" t="inlineStr">
        <is>
          <t>D&amp;A</t>
        </is>
      </c>
      <c r="C24" s="16">
        <f>C22*C14</f>
        <v/>
      </c>
      <c r="D24" s="16">
        <f>D22*C14</f>
        <v/>
      </c>
      <c r="E24" s="16">
        <f>E22*C14</f>
        <v/>
      </c>
      <c r="F24" s="16">
        <f>F22*C14</f>
        <v/>
      </c>
      <c r="G24" s="16">
        <f>G22*C14</f>
        <v/>
      </c>
      <c r="H24" s="16">
        <f>H22*C14</f>
        <v/>
      </c>
    </row>
    <row r="25">
      <c r="B25" s="15" t="inlineStr">
        <is>
          <t>EBIT</t>
        </is>
      </c>
      <c r="C25" s="16">
        <f>C23-C24</f>
        <v/>
      </c>
      <c r="D25" s="16">
        <f>D23-D24</f>
        <v/>
      </c>
      <c r="E25" s="16">
        <f>E23-E24</f>
        <v/>
      </c>
      <c r="F25" s="16">
        <f>F23-F24</f>
        <v/>
      </c>
      <c r="G25" s="16">
        <f>G23-G24</f>
        <v/>
      </c>
      <c r="H25" s="16">
        <f>H23-H24</f>
        <v/>
      </c>
    </row>
    <row r="26">
      <c r="B26" s="15" t="inlineStr">
        <is>
          <t>Interest</t>
        </is>
      </c>
      <c r="C26" s="16">
        <f>$K$8*C13</f>
        <v/>
      </c>
      <c r="D26" s="16">
        <f>R6</f>
        <v/>
      </c>
      <c r="E26" s="16">
        <f>S6</f>
        <v/>
      </c>
      <c r="F26" s="16">
        <f>T6</f>
        <v/>
      </c>
      <c r="G26" s="16">
        <f>U6</f>
        <v/>
      </c>
      <c r="H26" s="16">
        <f>V6</f>
        <v/>
      </c>
    </row>
    <row r="27">
      <c r="B27" s="15" t="inlineStr">
        <is>
          <t>EBT</t>
        </is>
      </c>
      <c r="C27" s="16">
        <f>C25-C26</f>
        <v/>
      </c>
      <c r="D27" s="16">
        <f>D25-D26</f>
        <v/>
      </c>
      <c r="E27" s="16">
        <f>E25-E26</f>
        <v/>
      </c>
      <c r="F27" s="16">
        <f>F25-F26</f>
        <v/>
      </c>
      <c r="G27" s="16">
        <f>G25-G26</f>
        <v/>
      </c>
      <c r="H27" s="16">
        <f>H25-H26</f>
        <v/>
      </c>
    </row>
    <row r="28">
      <c r="B28" s="15" t="inlineStr">
        <is>
          <t>Taxes</t>
        </is>
      </c>
      <c r="C28" s="16">
        <f>MAX(0,C27*C10)</f>
        <v/>
      </c>
      <c r="D28" s="16">
        <f>MAX(0,D27*C10)</f>
        <v/>
      </c>
      <c r="E28" s="16">
        <f>MAX(0,E27*C10)</f>
        <v/>
      </c>
      <c r="F28" s="16">
        <f>MAX(0,F27*C10)</f>
        <v/>
      </c>
      <c r="G28" s="16">
        <f>MAX(0,G27*C10)</f>
        <v/>
      </c>
      <c r="H28" s="16">
        <f>MAX(0,H27*C10)</f>
        <v/>
      </c>
    </row>
    <row r="29">
      <c r="B29" s="15" t="inlineStr">
        <is>
          <t>Net Income</t>
        </is>
      </c>
      <c r="C29" s="16">
        <f>C27-C28</f>
        <v/>
      </c>
      <c r="D29" s="16">
        <f>D27-D28</f>
        <v/>
      </c>
      <c r="E29" s="16">
        <f>E27-E28</f>
        <v/>
      </c>
      <c r="F29" s="16">
        <f>F27-F28</f>
        <v/>
      </c>
      <c r="G29" s="16">
        <f>G27-G28</f>
        <v/>
      </c>
      <c r="H29" s="16">
        <f>H27-H28</f>
        <v/>
      </c>
    </row>
    <row r="30">
      <c r="B30" s="15" t="inlineStr">
        <is>
          <t>CAPEX</t>
        </is>
      </c>
      <c r="C30" s="16">
        <f>C22*C15</f>
        <v/>
      </c>
      <c r="D30" s="16">
        <f>D22*C15</f>
        <v/>
      </c>
      <c r="E30" s="16">
        <f>E22*C15</f>
        <v/>
      </c>
      <c r="F30" s="16">
        <f>F22*C15</f>
        <v/>
      </c>
      <c r="G30" s="16">
        <f>G22*C15</f>
        <v/>
      </c>
      <c r="H30" s="16">
        <f>H22*C15</f>
        <v/>
      </c>
    </row>
    <row r="31">
      <c r="B31" s="15" t="inlineStr">
        <is>
          <t>ΔNWC (Investment)</t>
        </is>
      </c>
      <c r="C31" s="16" t="n">
        <v>0</v>
      </c>
      <c r="D31" s="16">
        <f>MAX(0,(D22-C22)*C16)</f>
        <v/>
      </c>
      <c r="E31" s="16">
        <f>MAX(0,(E22-D22)*C16)</f>
        <v/>
      </c>
      <c r="F31" s="16">
        <f>MAX(0,(F22-E22)*C16)</f>
        <v/>
      </c>
      <c r="G31" s="16">
        <f>MAX(0,(G22-F22)*C16)</f>
        <v/>
      </c>
      <c r="H31" s="16">
        <f>MAX(0,(H22-G22)*C16)</f>
        <v/>
      </c>
    </row>
    <row r="32">
      <c r="B32" s="17" t="inlineStr">
        <is>
          <t>Free Cash Flow (FCF)</t>
        </is>
      </c>
      <c r="C32" s="16">
        <f>C23-C28-C30-C31</f>
        <v/>
      </c>
      <c r="D32" s="16">
        <f>D23-D28-D30-D31</f>
        <v/>
      </c>
      <c r="E32" s="16">
        <f>E23-E28-E30-E31</f>
        <v/>
      </c>
      <c r="F32" s="16">
        <f>F23-F28-F30-F31</f>
        <v/>
      </c>
      <c r="G32" s="16">
        <f>G23-G28-G30-G31</f>
        <v/>
      </c>
      <c r="H32" s="16">
        <f>H23-H28-H30-H31</f>
        <v/>
      </c>
    </row>
    <row r="33">
      <c r="B33" s="17" t="inlineStr">
        <is>
          <t>Cumulative FCF</t>
        </is>
      </c>
      <c r="C33" s="16">
        <f>C32</f>
        <v/>
      </c>
      <c r="D33" s="16">
        <f>C33+D32</f>
        <v/>
      </c>
      <c r="E33" s="16">
        <f>D33+E32</f>
        <v/>
      </c>
      <c r="F33" s="16">
        <f>E33+F32</f>
        <v/>
      </c>
      <c r="G33" s="16">
        <f>F33+G32</f>
        <v/>
      </c>
      <c r="H33" s="16">
        <f>G33+H32</f>
        <v/>
      </c>
    </row>
    <row r="34"/>
    <row r="35"/>
    <row r="36"/>
    <row r="37"/>
    <row r="38"/>
    <row r="39"/>
    <row r="40">
      <c r="B40" s="74" t="inlineStr">
        <is>
          <t>OUTPUT STATEMENTS (references to projection block)</t>
        </is>
      </c>
      <c r="C40" s="66" t="n"/>
      <c r="D40" s="66" t="n"/>
      <c r="E40" s="66" t="n"/>
      <c r="F40" s="66" t="n"/>
      <c r="G40" s="66" t="n"/>
      <c r="H40" s="67" t="n"/>
    </row>
    <row r="41">
      <c r="B41" s="18" t="inlineStr">
        <is>
          <t>Income Statement</t>
        </is>
      </c>
      <c r="C41" s="18" t="inlineStr">
        <is>
          <t>Y0 (LTM)</t>
        </is>
      </c>
      <c r="D41" s="18" t="inlineStr">
        <is>
          <t>Y1</t>
        </is>
      </c>
      <c r="E41" s="18" t="inlineStr">
        <is>
          <t>Y2</t>
        </is>
      </c>
      <c r="F41" s="18" t="inlineStr">
        <is>
          <t>Y3</t>
        </is>
      </c>
      <c r="G41" s="18" t="inlineStr">
        <is>
          <t>Y4</t>
        </is>
      </c>
      <c r="H41" s="18" t="inlineStr">
        <is>
          <t>Y5</t>
        </is>
      </c>
    </row>
    <row r="42">
      <c r="B42" s="7" t="inlineStr">
        <is>
          <t>Sales</t>
        </is>
      </c>
      <c r="C42" s="8">
        <f>C22</f>
        <v/>
      </c>
      <c r="D42" s="8">
        <f>D22</f>
        <v/>
      </c>
      <c r="E42" s="8">
        <f>E22</f>
        <v/>
      </c>
      <c r="F42" s="8">
        <f>F22</f>
        <v/>
      </c>
      <c r="G42" s="8">
        <f>G22</f>
        <v/>
      </c>
      <c r="H42" s="8">
        <f>H22</f>
        <v/>
      </c>
    </row>
    <row r="43">
      <c r="B43" s="7" t="inlineStr">
        <is>
          <t>EBITDA</t>
        </is>
      </c>
      <c r="C43" s="8">
        <f>C23</f>
        <v/>
      </c>
      <c r="D43" s="8">
        <f>D23</f>
        <v/>
      </c>
      <c r="E43" s="8">
        <f>E23</f>
        <v/>
      </c>
      <c r="F43" s="8">
        <f>F23</f>
        <v/>
      </c>
      <c r="G43" s="8">
        <f>G23</f>
        <v/>
      </c>
      <c r="H43" s="8">
        <f>H23</f>
        <v/>
      </c>
    </row>
    <row r="44">
      <c r="B44" s="7" t="inlineStr">
        <is>
          <t>D&amp;A</t>
        </is>
      </c>
      <c r="C44" s="8">
        <f>C24</f>
        <v/>
      </c>
      <c r="D44" s="8">
        <f>D24</f>
        <v/>
      </c>
      <c r="E44" s="8">
        <f>E24</f>
        <v/>
      </c>
      <c r="F44" s="8">
        <f>F24</f>
        <v/>
      </c>
      <c r="G44" s="8">
        <f>G24</f>
        <v/>
      </c>
      <c r="H44" s="8">
        <f>H24</f>
        <v/>
      </c>
    </row>
    <row r="45">
      <c r="B45" s="7" t="inlineStr">
        <is>
          <t>EBIT</t>
        </is>
      </c>
      <c r="C45" s="8">
        <f>C25</f>
        <v/>
      </c>
      <c r="D45" s="8">
        <f>D25</f>
        <v/>
      </c>
      <c r="E45" s="8">
        <f>E25</f>
        <v/>
      </c>
      <c r="F45" s="8">
        <f>F25</f>
        <v/>
      </c>
      <c r="G45" s="8">
        <f>G25</f>
        <v/>
      </c>
      <c r="H45" s="8">
        <f>H25</f>
        <v/>
      </c>
    </row>
    <row r="46">
      <c r="B46" s="7" t="inlineStr">
        <is>
          <t>Interest</t>
        </is>
      </c>
      <c r="C46" s="8">
        <f>C26</f>
        <v/>
      </c>
      <c r="D46" s="8">
        <f>D26</f>
        <v/>
      </c>
      <c r="E46" s="8">
        <f>E26</f>
        <v/>
      </c>
      <c r="F46" s="8">
        <f>F26</f>
        <v/>
      </c>
      <c r="G46" s="8">
        <f>G26</f>
        <v/>
      </c>
      <c r="H46" s="8">
        <f>H26</f>
        <v/>
      </c>
    </row>
    <row r="47">
      <c r="B47" s="7" t="inlineStr">
        <is>
          <t>EBT</t>
        </is>
      </c>
      <c r="C47" s="8">
        <f>C27</f>
        <v/>
      </c>
      <c r="D47" s="8">
        <f>D27</f>
        <v/>
      </c>
      <c r="E47" s="8">
        <f>E27</f>
        <v/>
      </c>
      <c r="F47" s="8">
        <f>F27</f>
        <v/>
      </c>
      <c r="G47" s="8">
        <f>G27</f>
        <v/>
      </c>
      <c r="H47" s="8">
        <f>H27</f>
        <v/>
      </c>
    </row>
    <row r="48">
      <c r="B48" s="7" t="inlineStr">
        <is>
          <t>Taxes</t>
        </is>
      </c>
      <c r="C48" s="8">
        <f>C28</f>
        <v/>
      </c>
      <c r="D48" s="8">
        <f>D28</f>
        <v/>
      </c>
      <c r="E48" s="8">
        <f>E28</f>
        <v/>
      </c>
      <c r="F48" s="8">
        <f>F28</f>
        <v/>
      </c>
      <c r="G48" s="8">
        <f>G28</f>
        <v/>
      </c>
      <c r="H48" s="8">
        <f>H28</f>
        <v/>
      </c>
    </row>
    <row r="49">
      <c r="B49" s="7" t="inlineStr">
        <is>
          <t>Net Income</t>
        </is>
      </c>
      <c r="C49" s="8">
        <f>C29</f>
        <v/>
      </c>
      <c r="D49" s="8">
        <f>D29</f>
        <v/>
      </c>
      <c r="E49" s="8">
        <f>E29</f>
        <v/>
      </c>
      <c r="F49" s="8">
        <f>F29</f>
        <v/>
      </c>
      <c r="G49" s="8">
        <f>G29</f>
        <v/>
      </c>
      <c r="H49" s="8">
        <f>H29</f>
        <v/>
      </c>
    </row>
    <row r="50"/>
    <row r="51">
      <c r="B51" s="18" t="inlineStr">
        <is>
          <t>Cash Flow Statement</t>
        </is>
      </c>
      <c r="C51" s="18" t="inlineStr">
        <is>
          <t>Y0 (LTM)</t>
        </is>
      </c>
      <c r="D51" s="18" t="inlineStr">
        <is>
          <t>Y1</t>
        </is>
      </c>
      <c r="E51" s="18" t="inlineStr">
        <is>
          <t>Y2</t>
        </is>
      </c>
      <c r="F51" s="18" t="inlineStr">
        <is>
          <t>Y3</t>
        </is>
      </c>
      <c r="G51" s="18" t="inlineStr">
        <is>
          <t>Y4</t>
        </is>
      </c>
      <c r="H51" s="18" t="inlineStr">
        <is>
          <t>Y5</t>
        </is>
      </c>
    </row>
    <row r="52">
      <c r="B52" s="7" t="inlineStr">
        <is>
          <t>EBITDA</t>
        </is>
      </c>
      <c r="C52" s="8">
        <f>C23</f>
        <v/>
      </c>
      <c r="D52" s="8">
        <f>D23</f>
        <v/>
      </c>
      <c r="E52" s="8">
        <f>E23</f>
        <v/>
      </c>
      <c r="F52" s="8">
        <f>F23</f>
        <v/>
      </c>
      <c r="G52" s="8">
        <f>G23</f>
        <v/>
      </c>
      <c r="H52" s="8">
        <f>H23</f>
        <v/>
      </c>
    </row>
    <row r="53">
      <c r="B53" s="7" t="inlineStr">
        <is>
          <t>Less: Taxes</t>
        </is>
      </c>
      <c r="C53" s="8">
        <f>-C28</f>
        <v/>
      </c>
      <c r="D53" s="8">
        <f>-D28</f>
        <v/>
      </c>
      <c r="E53" s="8">
        <f>-E28</f>
        <v/>
      </c>
      <c r="F53" s="8">
        <f>-F28</f>
        <v/>
      </c>
      <c r="G53" s="8">
        <f>-G28</f>
        <v/>
      </c>
      <c r="H53" s="8">
        <f>-H28</f>
        <v/>
      </c>
    </row>
    <row r="54">
      <c r="B54" s="7" t="inlineStr">
        <is>
          <t>Less: CAPEX</t>
        </is>
      </c>
      <c r="C54" s="8">
        <f>-C30</f>
        <v/>
      </c>
      <c r="D54" s="8">
        <f>-D30</f>
        <v/>
      </c>
      <c r="E54" s="8">
        <f>-E30</f>
        <v/>
      </c>
      <c r="F54" s="8">
        <f>-F30</f>
        <v/>
      </c>
      <c r="G54" s="8">
        <f>-G30</f>
        <v/>
      </c>
      <c r="H54" s="8">
        <f>-H30</f>
        <v/>
      </c>
    </row>
    <row r="55">
      <c r="B55" s="7" t="inlineStr">
        <is>
          <t>Less: ΔNWC</t>
        </is>
      </c>
      <c r="C55" s="8">
        <f>-C31</f>
        <v/>
      </c>
      <c r="D55" s="8">
        <f>-D31</f>
        <v/>
      </c>
      <c r="E55" s="8">
        <f>-E31</f>
        <v/>
      </c>
      <c r="F55" s="8">
        <f>-F31</f>
        <v/>
      </c>
      <c r="G55" s="8">
        <f>-G31</f>
        <v/>
      </c>
      <c r="H55" s="8">
        <f>-H31</f>
        <v/>
      </c>
    </row>
    <row r="56">
      <c r="B56" s="7" t="inlineStr">
        <is>
          <t>Free Cash Flow</t>
        </is>
      </c>
      <c r="C56" s="8">
        <f>C32</f>
        <v/>
      </c>
      <c r="D56" s="8">
        <f>D32</f>
        <v/>
      </c>
      <c r="E56" s="8">
        <f>E32</f>
        <v/>
      </c>
      <c r="F56" s="8">
        <f>F32</f>
        <v/>
      </c>
      <c r="G56" s="8">
        <f>G32</f>
        <v/>
      </c>
      <c r="H56" s="8">
        <f>H32</f>
        <v/>
      </c>
    </row>
    <row r="57">
      <c r="B57" s="7" t="inlineStr">
        <is>
          <t>Cumulative FCF</t>
        </is>
      </c>
      <c r="C57" s="8">
        <f>C33</f>
        <v/>
      </c>
      <c r="D57" s="8">
        <f>D33</f>
        <v/>
      </c>
      <c r="E57" s="8">
        <f>E33</f>
        <v/>
      </c>
      <c r="F57" s="8">
        <f>F33</f>
        <v/>
      </c>
      <c r="G57" s="8">
        <f>G33</f>
        <v/>
      </c>
      <c r="H57" s="8">
        <f>H33</f>
        <v/>
      </c>
    </row>
    <row r="58"/>
    <row r="59"/>
    <row r="60">
      <c r="B60" s="70" t="inlineStr">
        <is>
          <t>CHECKS (should show OK)</t>
        </is>
      </c>
      <c r="C60" s="66" t="n"/>
      <c r="D60" s="66" t="n"/>
      <c r="E60" s="66" t="n"/>
      <c r="F60" s="66" t="n"/>
      <c r="G60" s="66" t="n"/>
      <c r="H60" s="67" t="n"/>
    </row>
    <row r="61">
      <c r="B61" s="19" t="inlineStr">
        <is>
          <t>Check 1: Entry EV = Debt + Equity</t>
        </is>
      </c>
      <c r="C61" s="35">
        <f>K7-(K8+K9)</f>
        <v/>
      </c>
      <c r="D61" s="19" t="inlineStr">
        <is>
          <t>Difference</t>
        </is>
      </c>
      <c r="E61" s="19">
        <f>IF(ABS(C61)&lt;1,"OK","ERROR")</f>
        <v/>
      </c>
    </row>
    <row r="62" ht="26" customHeight="1" s="61">
      <c r="B62" s="19" t="inlineStr">
        <is>
          <t>Check 2: Exit Equity = Exit EV − Ending Debt</t>
        </is>
      </c>
      <c r="C62" s="35">
        <f>K14-(K12-K13)</f>
        <v/>
      </c>
      <c r="D62" s="19" t="inlineStr">
        <is>
          <t>Difference</t>
        </is>
      </c>
      <c r="E62" s="19">
        <f>IF(ABS(C62)&lt;1,"OK","ERROR")</f>
        <v/>
      </c>
    </row>
    <row r="63" ht="26" customHeight="1" s="61">
      <c r="B63" s="19" t="inlineStr">
        <is>
          <t>Check 3: FCF(Y3) = EBITDA − Taxes − CAPEX − ΔNWC</t>
        </is>
      </c>
      <c r="C63" s="35">
        <f>F32-(F23-F28-F30-F31)</f>
        <v/>
      </c>
      <c r="D63" s="19" t="inlineStr">
        <is>
          <t>Difference</t>
        </is>
      </c>
      <c r="E63" s="19">
        <f>IF(ABS(C63)&lt;1,"OK","ERROR")</f>
        <v/>
      </c>
    </row>
  </sheetData>
  <sheetProtection selectLockedCells="0" selectUnlockedCells="0" sheet="1" objects="1" insertRows="0" insertHyperlinks="1" autoFilter="0" scenarios="1" formatColumns="0" deleteColumns="0" insertColumns="0" pivotTables="0" deleteRows="0" formatCells="0" formatRows="0" sort="0" password="AE3A"/>
  <mergeCells count="14">
    <mergeCell ref="J18:M18"/>
    <mergeCell ref="J16:O16"/>
    <mergeCell ref="J4:K4"/>
    <mergeCell ref="J22:M22"/>
    <mergeCell ref="B40:H40"/>
    <mergeCell ref="B1:H1"/>
    <mergeCell ref="J5:K5"/>
    <mergeCell ref="B60:H60"/>
    <mergeCell ref="B4:D4"/>
    <mergeCell ref="J20:M20"/>
    <mergeCell ref="J21:M21"/>
    <mergeCell ref="B20:H20"/>
    <mergeCell ref="Q3:V3"/>
    <mergeCell ref="J19:M19"/>
  </mergeCells>
  <hyperlinks>
    <hyperlink ref="A1" location="'Index'!A1" display="← Back to Index"/>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63"/>
  <sheetViews>
    <sheetView workbookViewId="0">
      <selection activeCell="V10" sqref="V10"/>
    </sheetView>
  </sheetViews>
  <sheetFormatPr baseColWidth="8" defaultRowHeight="14.5"/>
  <cols>
    <col width="2" customWidth="1" style="61" min="1" max="1"/>
    <col width="34" customWidth="1" style="61" min="2" max="2"/>
    <col width="18" customWidth="1" style="61" min="3" max="3"/>
    <col width="12" customWidth="1" style="61" min="4" max="4"/>
    <col width="16" customWidth="1" style="61" min="5" max="8"/>
    <col width="2" customWidth="1" style="61" min="9" max="9"/>
    <col width="32" customWidth="1" style="61" min="10" max="10"/>
    <col width="18" customWidth="1" style="61" min="11" max="11"/>
    <col width="14" customWidth="1" style="61" min="12" max="15"/>
    <col width="17.36328125" customWidth="1" style="61" min="17" max="17"/>
    <col width="9.453125" customWidth="1" style="61" min="18" max="18"/>
    <col width="9.81640625" customWidth="1" style="61" min="19" max="19"/>
    <col width="10.453125" customWidth="1" style="61" min="20" max="20"/>
    <col width="9.54296875" customWidth="1" style="61" min="21" max="21"/>
    <col width="11" customWidth="1" style="61" min="22" max="22"/>
  </cols>
  <sheetData>
    <row r="1" ht="18.5" customHeight="1" s="61">
      <c r="A1" s="23" t="inlineStr">
        <is>
          <t>← Back to Index</t>
        </is>
      </c>
      <c r="B1" s="68" t="inlineStr">
        <is>
          <t>LBO Model – Automobile Components</t>
        </is>
      </c>
      <c r="C1" s="66" t="n"/>
      <c r="D1" s="66" t="n"/>
      <c r="E1" s="66" t="n"/>
      <c r="F1" s="66" t="n"/>
      <c r="G1" s="66" t="n"/>
      <c r="H1" s="67" t="n"/>
    </row>
    <row r="2" ht="43.5" customHeight="1" s="61">
      <c r="B2" s="1" t="inlineStr">
        <is>
          <t>Currency:</t>
        </is>
      </c>
      <c r="C2" s="2" t="inlineStr">
        <is>
          <t>INR (₹) — Indian digit grouping (lakhs/crores)</t>
        </is>
      </c>
    </row>
    <row r="3">
      <c r="Q3" s="62" t="inlineStr">
        <is>
          <t>DEBT SERVICE SCHEDULE</t>
        </is>
      </c>
      <c r="R3" s="63" t="n"/>
      <c r="S3" s="63" t="n"/>
      <c r="T3" s="63" t="n"/>
      <c r="U3" s="63" t="n"/>
      <c r="V3" s="64" t="n"/>
    </row>
    <row r="4">
      <c r="B4" s="71" t="inlineStr">
        <is>
          <t>INPUTS (manual entries)</t>
        </is>
      </c>
      <c r="C4" s="66" t="n"/>
      <c r="D4" s="67" t="n"/>
      <c r="J4" s="74" t="inlineStr">
        <is>
          <t>OUTPUTS (auto)</t>
        </is>
      </c>
      <c r="K4" s="67" t="n"/>
      <c r="Q4" s="24" t="inlineStr">
        <is>
          <t>Year</t>
        </is>
      </c>
      <c r="R4" s="24">
        <f>D21</f>
        <v/>
      </c>
      <c r="S4" s="24">
        <f>E21</f>
        <v/>
      </c>
      <c r="T4" s="24">
        <f>F21</f>
        <v/>
      </c>
      <c r="U4" s="24">
        <f>G21</f>
        <v/>
      </c>
      <c r="V4" s="24">
        <f>H21</f>
        <v/>
      </c>
    </row>
    <row r="5">
      <c r="B5" s="3" t="inlineStr">
        <is>
          <t>LTM Sales</t>
        </is>
      </c>
      <c r="C5" s="4" t="n">
        <v>15000000</v>
      </c>
      <c r="D5" s="5" t="inlineStr">
        <is>
          <t>₹</t>
        </is>
      </c>
      <c r="J5" s="69" t="inlineStr">
        <is>
          <t>Valuation</t>
        </is>
      </c>
      <c r="K5" s="67" t="n"/>
      <c r="Q5" s="25" t="inlineStr">
        <is>
          <t>Opening Debt</t>
        </is>
      </c>
      <c r="R5" s="38">
        <f>K8</f>
        <v/>
      </c>
      <c r="S5" s="38">
        <f>R9</f>
        <v/>
      </c>
      <c r="T5" s="38">
        <f>S9</f>
        <v/>
      </c>
      <c r="U5" s="38">
        <f>T9</f>
        <v/>
      </c>
      <c r="V5" s="38">
        <f>U9</f>
        <v/>
      </c>
    </row>
    <row r="6">
      <c r="B6" s="3" t="inlineStr">
        <is>
          <t>LTM EBITDA Margin</t>
        </is>
      </c>
      <c r="C6" s="6" t="n">
        <v>0.18</v>
      </c>
      <c r="D6" s="5" t="inlineStr">
        <is>
          <t>%</t>
        </is>
      </c>
      <c r="J6" s="7" t="inlineStr">
        <is>
          <t>Entry EBITDA (Y0)</t>
        </is>
      </c>
      <c r="K6" s="8">
        <f>C23</f>
        <v/>
      </c>
      <c r="Q6" s="28" t="inlineStr">
        <is>
          <t>Interest Expense</t>
        </is>
      </c>
      <c r="R6" s="38">
        <f>R5*$C$13</f>
        <v/>
      </c>
      <c r="S6" s="38">
        <f>S5*$C$13</f>
        <v/>
      </c>
      <c r="T6" s="38">
        <f>T5*$C$13</f>
        <v/>
      </c>
      <c r="U6" s="38">
        <f>U5*$C$13</f>
        <v/>
      </c>
      <c r="V6" s="38">
        <f>V5*$C$13</f>
        <v/>
      </c>
    </row>
    <row r="7">
      <c r="B7" s="3" t="inlineStr">
        <is>
          <t>Entry EBITDA Multiple</t>
        </is>
      </c>
      <c r="C7" s="9" t="n">
        <v>6.5</v>
      </c>
      <c r="D7" s="5" t="inlineStr">
        <is>
          <t>x</t>
        </is>
      </c>
      <c r="J7" s="7" t="inlineStr">
        <is>
          <t>Entry EV</t>
        </is>
      </c>
      <c r="K7" s="8">
        <f>K6*C7</f>
        <v/>
      </c>
      <c r="Q7" s="25" t="inlineStr">
        <is>
          <t>CFADS (FCF)</t>
        </is>
      </c>
      <c r="R7" s="38">
        <f>D32</f>
        <v/>
      </c>
      <c r="S7" s="38">
        <f>E32</f>
        <v/>
      </c>
      <c r="T7" s="38">
        <f>F32</f>
        <v/>
      </c>
      <c r="U7" s="38">
        <f>G32</f>
        <v/>
      </c>
      <c r="V7" s="38">
        <f>H32</f>
        <v/>
      </c>
    </row>
    <row r="8">
      <c r="B8" s="3" t="inlineStr">
        <is>
          <t>Annual Sales Growth</t>
        </is>
      </c>
      <c r="C8" s="6" t="n">
        <v>0.08</v>
      </c>
      <c r="D8" s="5" t="inlineStr">
        <is>
          <t>%</t>
        </is>
      </c>
      <c r="J8" s="7" t="inlineStr">
        <is>
          <t>Debt at Entry</t>
        </is>
      </c>
      <c r="K8" s="8">
        <f>K7*C12</f>
        <v/>
      </c>
      <c r="Q8" s="28" t="inlineStr">
        <is>
          <t>Debt Repayment</t>
        </is>
      </c>
      <c r="R8" s="38">
        <f>MIN(R5,R7)</f>
        <v/>
      </c>
      <c r="S8" s="38">
        <f>MIN(S5,S7)</f>
        <v/>
      </c>
      <c r="T8" s="38">
        <f>MIN(T5,T7)</f>
        <v/>
      </c>
      <c r="U8" s="38">
        <f>MIN(U5,U7)</f>
        <v/>
      </c>
      <c r="V8" s="38">
        <f>MIN(V5,V7)</f>
        <v/>
      </c>
    </row>
    <row r="9">
      <c r="B9" s="3" t="inlineStr">
        <is>
          <t>Projected EBITDA Margin (Y1–Y5)</t>
        </is>
      </c>
      <c r="C9" s="6" t="n">
        <v>0.2</v>
      </c>
      <c r="D9" s="5" t="inlineStr">
        <is>
          <t>%</t>
        </is>
      </c>
      <c r="J9" s="7" t="inlineStr">
        <is>
          <t>Equity at Entry</t>
        </is>
      </c>
      <c r="K9" s="8">
        <f>K7-K8</f>
        <v/>
      </c>
      <c r="Q9" s="25" t="inlineStr">
        <is>
          <t>Closing Debt</t>
        </is>
      </c>
      <c r="R9" s="38">
        <f>R5-R8</f>
        <v/>
      </c>
      <c r="S9" s="38">
        <f>S5-S8</f>
        <v/>
      </c>
      <c r="T9" s="38">
        <f>T5-T8</f>
        <v/>
      </c>
      <c r="U9" s="38">
        <f>U5-U8</f>
        <v/>
      </c>
      <c r="V9" s="38">
        <f>V5-V8</f>
        <v/>
      </c>
    </row>
    <row r="10">
      <c r="B10" s="3" t="inlineStr">
        <is>
          <t>Corporate Tax Rate</t>
        </is>
      </c>
      <c r="C10" s="6" t="n">
        <v>0.25</v>
      </c>
      <c r="D10" s="5" t="inlineStr">
        <is>
          <t>%</t>
        </is>
      </c>
      <c r="K10" s="37" t="n"/>
      <c r="Q10" s="28" t="inlineStr">
        <is>
          <t>Cash Build-Up</t>
        </is>
      </c>
      <c r="R10" s="38">
        <f>R7-R8</f>
        <v/>
      </c>
      <c r="S10" s="38">
        <f>S7-S8</f>
        <v/>
      </c>
      <c r="T10" s="38">
        <f>T7-T8</f>
        <v/>
      </c>
      <c r="U10" s="38">
        <f>U7-U8</f>
        <v/>
      </c>
      <c r="V10" s="38">
        <f>V7-V8</f>
        <v/>
      </c>
    </row>
    <row r="11">
      <c r="B11" s="3" t="inlineStr">
        <is>
          <t>Exit EBITDA Multiple (Year 5)</t>
        </is>
      </c>
      <c r="C11" s="9" t="n">
        <v>7</v>
      </c>
      <c r="D11" s="5" t="inlineStr">
        <is>
          <t>x</t>
        </is>
      </c>
      <c r="J11" s="7" t="inlineStr">
        <is>
          <t>Exit EBITDA (Y5)</t>
        </is>
      </c>
      <c r="K11" s="8">
        <f>H23</f>
        <v/>
      </c>
      <c r="Q11" s="28" t="inlineStr">
        <is>
          <t>Cumulative Cash</t>
        </is>
      </c>
      <c r="R11" s="38">
        <f>R10</f>
        <v/>
      </c>
      <c r="S11" s="38">
        <f>R11+S10</f>
        <v/>
      </c>
      <c r="T11" s="38">
        <f>S11+T10</f>
        <v/>
      </c>
      <c r="U11" s="38">
        <f>T11+U10</f>
        <v/>
      </c>
      <c r="V11" s="38">
        <f>U11+V10</f>
        <v/>
      </c>
    </row>
    <row r="12">
      <c r="B12" s="3" t="inlineStr">
        <is>
          <t>% Debt Financing (at Entry)</t>
        </is>
      </c>
      <c r="C12" s="6" t="n">
        <v>0.4</v>
      </c>
      <c r="D12" s="5" t="inlineStr">
        <is>
          <t>%</t>
        </is>
      </c>
      <c r="J12" s="29" t="inlineStr">
        <is>
          <t>Exit EV</t>
        </is>
      </c>
      <c r="K12" s="8">
        <f>K11*C11</f>
        <v/>
      </c>
    </row>
    <row r="13">
      <c r="B13" s="3" t="inlineStr">
        <is>
          <t>Interest Rate on Debt</t>
        </is>
      </c>
      <c r="C13" s="6" t="n">
        <v>0.12</v>
      </c>
      <c r="D13" s="5" t="inlineStr">
        <is>
          <t>%</t>
        </is>
      </c>
      <c r="J13" s="7" t="inlineStr">
        <is>
          <t>Ending Debt (assumed same as entry)</t>
        </is>
      </c>
      <c r="K13" s="8">
        <f>V9</f>
        <v/>
      </c>
    </row>
    <row r="14">
      <c r="B14" s="3" t="inlineStr">
        <is>
          <t>D&amp;A as % of Sales</t>
        </is>
      </c>
      <c r="C14" s="6" t="n">
        <v>0.09</v>
      </c>
      <c r="D14" s="5" t="inlineStr">
        <is>
          <t>%</t>
        </is>
      </c>
      <c r="J14" s="7" t="inlineStr">
        <is>
          <t>Equity at Exit</t>
        </is>
      </c>
      <c r="K14" s="8">
        <f>K12-K13+V11</f>
        <v/>
      </c>
    </row>
    <row r="15">
      <c r="B15" s="3" t="inlineStr">
        <is>
          <t>CAPEX as % of Sales</t>
        </is>
      </c>
      <c r="C15" s="6" t="n">
        <v>0.11</v>
      </c>
      <c r="D15" s="5" t="inlineStr">
        <is>
          <t>%</t>
        </is>
      </c>
    </row>
    <row r="16" ht="15.5" customHeight="1" s="61">
      <c r="B16" s="3" t="inlineStr">
        <is>
          <t>NWC Investment as % of Incremental Sales</t>
        </is>
      </c>
      <c r="C16" s="6" t="n">
        <v>0.15</v>
      </c>
      <c r="D16" s="5" t="inlineStr">
        <is>
          <t>%</t>
        </is>
      </c>
      <c r="J16" s="73" t="inlineStr">
        <is>
          <t>Rate of Return</t>
        </is>
      </c>
      <c r="K16" s="66" t="n"/>
      <c r="L16" s="66" t="n"/>
      <c r="M16" s="66" t="n"/>
      <c r="N16" s="66" t="n"/>
      <c r="O16" s="67" t="n"/>
    </row>
    <row r="17"/>
    <row r="18">
      <c r="J18" s="65" t="inlineStr">
        <is>
          <t>MOIC - Multiple on Invested Capital (Equity)</t>
        </is>
      </c>
      <c r="K18" s="66" t="n"/>
      <c r="L18" s="66" t="n"/>
      <c r="M18" s="67" t="n"/>
      <c r="N18" s="10">
        <f>K14/K9</f>
        <v/>
      </c>
      <c r="O18" s="39" t="n"/>
    </row>
    <row r="19">
      <c r="J19" s="65" t="inlineStr">
        <is>
          <t>IRR - Internal Rate of Return</t>
        </is>
      </c>
      <c r="K19" s="66" t="n"/>
      <c r="L19" s="66" t="n"/>
      <c r="M19" s="67" t="n"/>
      <c r="N19" s="12">
        <f>((K14/K9)^(1/5))-1</f>
        <v/>
      </c>
      <c r="O19" s="39" t="n"/>
    </row>
    <row r="20">
      <c r="B20" s="72" t="inlineStr">
        <is>
          <t>PROJECTIONS &amp; CALCULATIONS (formula-driven)</t>
        </is>
      </c>
      <c r="C20" s="66" t="n"/>
      <c r="D20" s="66" t="n"/>
      <c r="E20" s="66" t="n"/>
      <c r="F20" s="66" t="n"/>
      <c r="G20" s="66" t="n"/>
      <c r="H20" s="67" t="n"/>
      <c r="J20" s="65" t="inlineStr">
        <is>
          <t>The Rule of 72 IRR - applicable only if your MOIC is close to 2!!!</t>
        </is>
      </c>
      <c r="K20" s="66" t="n"/>
      <c r="L20" s="66" t="n"/>
      <c r="M20" s="67" t="n"/>
      <c r="N20" s="13">
        <f>72/5</f>
        <v/>
      </c>
      <c r="O20" s="39" t="n"/>
    </row>
    <row r="21">
      <c r="B21" s="14" t="inlineStr">
        <is>
          <t>Line item</t>
        </is>
      </c>
      <c r="C21" s="14" t="inlineStr">
        <is>
          <t>Y0 (LTM)</t>
        </is>
      </c>
      <c r="D21" s="14" t="inlineStr">
        <is>
          <t>Y1</t>
        </is>
      </c>
      <c r="E21" s="14" t="inlineStr">
        <is>
          <t>Y2</t>
        </is>
      </c>
      <c r="F21" s="14" t="inlineStr">
        <is>
          <t>Y3</t>
        </is>
      </c>
      <c r="G21" s="14" t="inlineStr">
        <is>
          <t>Y4</t>
        </is>
      </c>
      <c r="H21" s="14" t="inlineStr">
        <is>
          <t>Y5</t>
        </is>
      </c>
      <c r="J21" s="65" t="inlineStr">
        <is>
          <t>The Rule of 114 IRR - applicable only if your MOIC is close to 3!!!</t>
        </is>
      </c>
      <c r="K21" s="66" t="n"/>
      <c r="L21" s="66" t="n"/>
      <c r="M21" s="67" t="n"/>
      <c r="N21" s="13">
        <f>114/5</f>
        <v/>
      </c>
      <c r="O21" s="39" t="n"/>
    </row>
    <row r="22">
      <c r="B22" s="15" t="inlineStr">
        <is>
          <t>Sales</t>
        </is>
      </c>
      <c r="C22" s="16">
        <f>C5</f>
        <v/>
      </c>
      <c r="D22" s="16">
        <f>C22*(1+C8)</f>
        <v/>
      </c>
      <c r="E22" s="16">
        <f>D22*(1+C8)</f>
        <v/>
      </c>
      <c r="F22" s="16">
        <f>E22*(1+C8)</f>
        <v/>
      </c>
      <c r="G22" s="16">
        <f>F22*(1+C8)</f>
        <v/>
      </c>
      <c r="H22" s="16">
        <f>G22*(1+C8)</f>
        <v/>
      </c>
      <c r="J22" s="65" t="inlineStr">
        <is>
          <t>The Rule of 144 IRR - applicable only if your MOIC is close to 4!!!</t>
        </is>
      </c>
      <c r="K22" s="66" t="n"/>
      <c r="L22" s="66" t="n"/>
      <c r="M22" s="67" t="n"/>
      <c r="N22" s="13">
        <f>144/5</f>
        <v/>
      </c>
      <c r="O22" s="39" t="n"/>
    </row>
    <row r="23">
      <c r="B23" s="15" t="inlineStr">
        <is>
          <t>EBITDA</t>
        </is>
      </c>
      <c r="C23" s="16">
        <f>C22*C6</f>
        <v/>
      </c>
      <c r="D23" s="16">
        <f>D22*C9</f>
        <v/>
      </c>
      <c r="E23" s="16">
        <f>E22*C9</f>
        <v/>
      </c>
      <c r="F23" s="16">
        <f>F22*C9</f>
        <v/>
      </c>
      <c r="G23" s="16">
        <f>G22*C9</f>
        <v/>
      </c>
      <c r="H23" s="16">
        <f>H22*C9</f>
        <v/>
      </c>
    </row>
    <row r="24">
      <c r="B24" s="15" t="inlineStr">
        <is>
          <t>D&amp;A</t>
        </is>
      </c>
      <c r="C24" s="16">
        <f>C22*C14</f>
        <v/>
      </c>
      <c r="D24" s="16">
        <f>D22*C14</f>
        <v/>
      </c>
      <c r="E24" s="16">
        <f>E22*C14</f>
        <v/>
      </c>
      <c r="F24" s="16">
        <f>F22*C14</f>
        <v/>
      </c>
      <c r="G24" s="16">
        <f>G22*C14</f>
        <v/>
      </c>
      <c r="H24" s="16">
        <f>H22*C14</f>
        <v/>
      </c>
    </row>
    <row r="25">
      <c r="B25" s="15" t="inlineStr">
        <is>
          <t>EBIT</t>
        </is>
      </c>
      <c r="C25" s="16">
        <f>C23-C24</f>
        <v/>
      </c>
      <c r="D25" s="16">
        <f>D23-D24</f>
        <v/>
      </c>
      <c r="E25" s="16">
        <f>E23-E24</f>
        <v/>
      </c>
      <c r="F25" s="16">
        <f>F23-F24</f>
        <v/>
      </c>
      <c r="G25" s="16">
        <f>G23-G24</f>
        <v/>
      </c>
      <c r="H25" s="16">
        <f>H23-H24</f>
        <v/>
      </c>
    </row>
    <row r="26">
      <c r="B26" s="15" t="inlineStr">
        <is>
          <t>Interest</t>
        </is>
      </c>
      <c r="C26" s="16">
        <f>$K$8*C13</f>
        <v/>
      </c>
      <c r="D26" s="16">
        <f>R6</f>
        <v/>
      </c>
      <c r="E26" s="16">
        <f>S6</f>
        <v/>
      </c>
      <c r="F26" s="16">
        <f>T6</f>
        <v/>
      </c>
      <c r="G26" s="16">
        <f>U6</f>
        <v/>
      </c>
      <c r="H26" s="16">
        <f>V6</f>
        <v/>
      </c>
    </row>
    <row r="27">
      <c r="B27" s="15" t="inlineStr">
        <is>
          <t>EBT</t>
        </is>
      </c>
      <c r="C27" s="16">
        <f>C25-C26</f>
        <v/>
      </c>
      <c r="D27" s="16">
        <f>D25-D26</f>
        <v/>
      </c>
      <c r="E27" s="16">
        <f>E25-E26</f>
        <v/>
      </c>
      <c r="F27" s="16">
        <f>F25-F26</f>
        <v/>
      </c>
      <c r="G27" s="16">
        <f>G25-G26</f>
        <v/>
      </c>
      <c r="H27" s="16">
        <f>H25-H26</f>
        <v/>
      </c>
    </row>
    <row r="28">
      <c r="B28" s="15" t="inlineStr">
        <is>
          <t>Taxes</t>
        </is>
      </c>
      <c r="C28" s="16">
        <f>MAX(0,C27*C10)</f>
        <v/>
      </c>
      <c r="D28" s="16">
        <f>MAX(0,D27*C10)</f>
        <v/>
      </c>
      <c r="E28" s="16">
        <f>MAX(0,E27*C10)</f>
        <v/>
      </c>
      <c r="F28" s="16">
        <f>MAX(0,F27*C10)</f>
        <v/>
      </c>
      <c r="G28" s="16">
        <f>MAX(0,G27*C10)</f>
        <v/>
      </c>
      <c r="H28" s="16">
        <f>MAX(0,H27*C10)</f>
        <v/>
      </c>
    </row>
    <row r="29">
      <c r="B29" s="15" t="inlineStr">
        <is>
          <t>Net Income</t>
        </is>
      </c>
      <c r="C29" s="16">
        <f>C27-C28</f>
        <v/>
      </c>
      <c r="D29" s="16">
        <f>D27-D28</f>
        <v/>
      </c>
      <c r="E29" s="16">
        <f>E27-E28</f>
        <v/>
      </c>
      <c r="F29" s="16">
        <f>F27-F28</f>
        <v/>
      </c>
      <c r="G29" s="16">
        <f>G27-G28</f>
        <v/>
      </c>
      <c r="H29" s="16">
        <f>H27-H28</f>
        <v/>
      </c>
    </row>
    <row r="30">
      <c r="B30" s="15" t="inlineStr">
        <is>
          <t>CAPEX</t>
        </is>
      </c>
      <c r="C30" s="16">
        <f>C22*C15</f>
        <v/>
      </c>
      <c r="D30" s="16">
        <f>D22*C15</f>
        <v/>
      </c>
      <c r="E30" s="16">
        <f>E22*C15</f>
        <v/>
      </c>
      <c r="F30" s="16">
        <f>F22*C15</f>
        <v/>
      </c>
      <c r="G30" s="16">
        <f>G22*C15</f>
        <v/>
      </c>
      <c r="H30" s="16">
        <f>H22*C15</f>
        <v/>
      </c>
    </row>
    <row r="31">
      <c r="B31" s="15" t="inlineStr">
        <is>
          <t>ΔNWC (Investment)</t>
        </is>
      </c>
      <c r="C31" s="16" t="n">
        <v>0</v>
      </c>
      <c r="D31" s="16">
        <f>MAX(0,(D22-C22)*C16)</f>
        <v/>
      </c>
      <c r="E31" s="16">
        <f>MAX(0,(E22-D22)*C16)</f>
        <v/>
      </c>
      <c r="F31" s="16">
        <f>MAX(0,(F22-E22)*C16)</f>
        <v/>
      </c>
      <c r="G31" s="16">
        <f>MAX(0,(G22-F22)*C16)</f>
        <v/>
      </c>
      <c r="H31" s="16">
        <f>MAX(0,(H22-G22)*C16)</f>
        <v/>
      </c>
    </row>
    <row r="32">
      <c r="B32" s="17" t="inlineStr">
        <is>
          <t>Free Cash Flow (FCF)</t>
        </is>
      </c>
      <c r="C32" s="16">
        <f>C23-C28-C30-C31</f>
        <v/>
      </c>
      <c r="D32" s="16">
        <f>D23-D28-D30-D31</f>
        <v/>
      </c>
      <c r="E32" s="16">
        <f>E23-E28-E30-E31</f>
        <v/>
      </c>
      <c r="F32" s="16">
        <f>F23-F28-F30-F31</f>
        <v/>
      </c>
      <c r="G32" s="16">
        <f>G23-G28-G30-G31</f>
        <v/>
      </c>
      <c r="H32" s="16">
        <f>H23-H28-H30-H31</f>
        <v/>
      </c>
    </row>
    <row r="33">
      <c r="B33" s="17" t="inlineStr">
        <is>
          <t>Cumulative FCF</t>
        </is>
      </c>
      <c r="C33" s="16">
        <f>C32</f>
        <v/>
      </c>
      <c r="D33" s="16">
        <f>C33+D32</f>
        <v/>
      </c>
      <c r="E33" s="16">
        <f>D33+E32</f>
        <v/>
      </c>
      <c r="F33" s="16">
        <f>E33+F32</f>
        <v/>
      </c>
      <c r="G33" s="16">
        <f>F33+G32</f>
        <v/>
      </c>
      <c r="H33" s="16">
        <f>G33+H32</f>
        <v/>
      </c>
    </row>
    <row r="34"/>
    <row r="35"/>
    <row r="36"/>
    <row r="37"/>
    <row r="38"/>
    <row r="39"/>
    <row r="40">
      <c r="B40" s="74" t="inlineStr">
        <is>
          <t>OUTPUT STATEMENTS (references to projection block)</t>
        </is>
      </c>
      <c r="C40" s="66" t="n"/>
      <c r="D40" s="66" t="n"/>
      <c r="E40" s="66" t="n"/>
      <c r="F40" s="66" t="n"/>
      <c r="G40" s="66" t="n"/>
      <c r="H40" s="67" t="n"/>
    </row>
    <row r="41">
      <c r="B41" s="18" t="inlineStr">
        <is>
          <t>Income Statement</t>
        </is>
      </c>
      <c r="C41" s="18" t="inlineStr">
        <is>
          <t>Y0 (LTM)</t>
        </is>
      </c>
      <c r="D41" s="18" t="inlineStr">
        <is>
          <t>Y1</t>
        </is>
      </c>
      <c r="E41" s="18" t="inlineStr">
        <is>
          <t>Y2</t>
        </is>
      </c>
      <c r="F41" s="18" t="inlineStr">
        <is>
          <t>Y3</t>
        </is>
      </c>
      <c r="G41" s="18" t="inlineStr">
        <is>
          <t>Y4</t>
        </is>
      </c>
      <c r="H41" s="18" t="inlineStr">
        <is>
          <t>Y5</t>
        </is>
      </c>
    </row>
    <row r="42">
      <c r="B42" s="7" t="inlineStr">
        <is>
          <t>Sales</t>
        </is>
      </c>
      <c r="C42" s="8">
        <f>C22</f>
        <v/>
      </c>
      <c r="D42" s="8">
        <f>D22</f>
        <v/>
      </c>
      <c r="E42" s="8">
        <f>E22</f>
        <v/>
      </c>
      <c r="F42" s="8">
        <f>F22</f>
        <v/>
      </c>
      <c r="G42" s="8">
        <f>G22</f>
        <v/>
      </c>
      <c r="H42" s="8">
        <f>H22</f>
        <v/>
      </c>
    </row>
    <row r="43">
      <c r="B43" s="7" t="inlineStr">
        <is>
          <t>EBITDA</t>
        </is>
      </c>
      <c r="C43" s="8">
        <f>C23</f>
        <v/>
      </c>
      <c r="D43" s="8">
        <f>D23</f>
        <v/>
      </c>
      <c r="E43" s="8">
        <f>E23</f>
        <v/>
      </c>
      <c r="F43" s="8">
        <f>F23</f>
        <v/>
      </c>
      <c r="G43" s="8">
        <f>G23</f>
        <v/>
      </c>
      <c r="H43" s="8">
        <f>H23</f>
        <v/>
      </c>
    </row>
    <row r="44">
      <c r="B44" s="7" t="inlineStr">
        <is>
          <t>D&amp;A</t>
        </is>
      </c>
      <c r="C44" s="8">
        <f>C24</f>
        <v/>
      </c>
      <c r="D44" s="8">
        <f>D24</f>
        <v/>
      </c>
      <c r="E44" s="8">
        <f>E24</f>
        <v/>
      </c>
      <c r="F44" s="8">
        <f>F24</f>
        <v/>
      </c>
      <c r="G44" s="8">
        <f>G24</f>
        <v/>
      </c>
      <c r="H44" s="8">
        <f>H24</f>
        <v/>
      </c>
    </row>
    <row r="45">
      <c r="B45" s="7" t="inlineStr">
        <is>
          <t>EBIT</t>
        </is>
      </c>
      <c r="C45" s="8">
        <f>C25</f>
        <v/>
      </c>
      <c r="D45" s="8">
        <f>D25</f>
        <v/>
      </c>
      <c r="E45" s="8">
        <f>E25</f>
        <v/>
      </c>
      <c r="F45" s="8">
        <f>F25</f>
        <v/>
      </c>
      <c r="G45" s="8">
        <f>G25</f>
        <v/>
      </c>
      <c r="H45" s="8">
        <f>H25</f>
        <v/>
      </c>
    </row>
    <row r="46">
      <c r="B46" s="7" t="inlineStr">
        <is>
          <t>Interest</t>
        </is>
      </c>
      <c r="C46" s="8">
        <f>C26</f>
        <v/>
      </c>
      <c r="D46" s="8">
        <f>D26</f>
        <v/>
      </c>
      <c r="E46" s="8">
        <f>E26</f>
        <v/>
      </c>
      <c r="F46" s="8">
        <f>F26</f>
        <v/>
      </c>
      <c r="G46" s="8">
        <f>G26</f>
        <v/>
      </c>
      <c r="H46" s="8">
        <f>H26</f>
        <v/>
      </c>
    </row>
    <row r="47">
      <c r="B47" s="7" t="inlineStr">
        <is>
          <t>EBT</t>
        </is>
      </c>
      <c r="C47" s="8">
        <f>C27</f>
        <v/>
      </c>
      <c r="D47" s="8">
        <f>D27</f>
        <v/>
      </c>
      <c r="E47" s="8">
        <f>E27</f>
        <v/>
      </c>
      <c r="F47" s="8">
        <f>F27</f>
        <v/>
      </c>
      <c r="G47" s="8">
        <f>G27</f>
        <v/>
      </c>
      <c r="H47" s="8">
        <f>H27</f>
        <v/>
      </c>
    </row>
    <row r="48">
      <c r="B48" s="7" t="inlineStr">
        <is>
          <t>Taxes</t>
        </is>
      </c>
      <c r="C48" s="8">
        <f>C28</f>
        <v/>
      </c>
      <c r="D48" s="8">
        <f>D28</f>
        <v/>
      </c>
      <c r="E48" s="8">
        <f>E28</f>
        <v/>
      </c>
      <c r="F48" s="8">
        <f>F28</f>
        <v/>
      </c>
      <c r="G48" s="8">
        <f>G28</f>
        <v/>
      </c>
      <c r="H48" s="8">
        <f>H28</f>
        <v/>
      </c>
    </row>
    <row r="49">
      <c r="B49" s="7" t="inlineStr">
        <is>
          <t>Net Income</t>
        </is>
      </c>
      <c r="C49" s="8">
        <f>C29</f>
        <v/>
      </c>
      <c r="D49" s="8">
        <f>D29</f>
        <v/>
      </c>
      <c r="E49" s="8">
        <f>E29</f>
        <v/>
      </c>
      <c r="F49" s="8">
        <f>F29</f>
        <v/>
      </c>
      <c r="G49" s="8">
        <f>G29</f>
        <v/>
      </c>
      <c r="H49" s="8">
        <f>H29</f>
        <v/>
      </c>
    </row>
    <row r="50"/>
    <row r="51">
      <c r="B51" s="18" t="inlineStr">
        <is>
          <t>Cash Flow Statement</t>
        </is>
      </c>
      <c r="C51" s="18" t="inlineStr">
        <is>
          <t>Y0 (LTM)</t>
        </is>
      </c>
      <c r="D51" s="18" t="inlineStr">
        <is>
          <t>Y1</t>
        </is>
      </c>
      <c r="E51" s="18" t="inlineStr">
        <is>
          <t>Y2</t>
        </is>
      </c>
      <c r="F51" s="18" t="inlineStr">
        <is>
          <t>Y3</t>
        </is>
      </c>
      <c r="G51" s="18" t="inlineStr">
        <is>
          <t>Y4</t>
        </is>
      </c>
      <c r="H51" s="18" t="inlineStr">
        <is>
          <t>Y5</t>
        </is>
      </c>
    </row>
    <row r="52">
      <c r="B52" s="7" t="inlineStr">
        <is>
          <t>EBITDA</t>
        </is>
      </c>
      <c r="C52" s="8">
        <f>C23</f>
        <v/>
      </c>
      <c r="D52" s="8">
        <f>D23</f>
        <v/>
      </c>
      <c r="E52" s="8">
        <f>E23</f>
        <v/>
      </c>
      <c r="F52" s="8">
        <f>F23</f>
        <v/>
      </c>
      <c r="G52" s="8">
        <f>G23</f>
        <v/>
      </c>
      <c r="H52" s="8">
        <f>H23</f>
        <v/>
      </c>
    </row>
    <row r="53">
      <c r="B53" s="7" t="inlineStr">
        <is>
          <t>Less: Taxes</t>
        </is>
      </c>
      <c r="C53" s="8">
        <f>-C28</f>
        <v/>
      </c>
      <c r="D53" s="8">
        <f>-D28</f>
        <v/>
      </c>
      <c r="E53" s="8">
        <f>-E28</f>
        <v/>
      </c>
      <c r="F53" s="8">
        <f>-F28</f>
        <v/>
      </c>
      <c r="G53" s="8">
        <f>-G28</f>
        <v/>
      </c>
      <c r="H53" s="8">
        <f>-H28</f>
        <v/>
      </c>
    </row>
    <row r="54">
      <c r="B54" s="7" t="inlineStr">
        <is>
          <t>Less: CAPEX</t>
        </is>
      </c>
      <c r="C54" s="8">
        <f>-C30</f>
        <v/>
      </c>
      <c r="D54" s="8">
        <f>-D30</f>
        <v/>
      </c>
      <c r="E54" s="8">
        <f>-E30</f>
        <v/>
      </c>
      <c r="F54" s="8">
        <f>-F30</f>
        <v/>
      </c>
      <c r="G54" s="8">
        <f>-G30</f>
        <v/>
      </c>
      <c r="H54" s="8">
        <f>-H30</f>
        <v/>
      </c>
    </row>
    <row r="55">
      <c r="B55" s="7" t="inlineStr">
        <is>
          <t>Less: ΔNWC</t>
        </is>
      </c>
      <c r="C55" s="8">
        <f>-C31</f>
        <v/>
      </c>
      <c r="D55" s="8">
        <f>-D31</f>
        <v/>
      </c>
      <c r="E55" s="8">
        <f>-E31</f>
        <v/>
      </c>
      <c r="F55" s="8">
        <f>-F31</f>
        <v/>
      </c>
      <c r="G55" s="8">
        <f>-G31</f>
        <v/>
      </c>
      <c r="H55" s="8">
        <f>-H31</f>
        <v/>
      </c>
    </row>
    <row r="56">
      <c r="B56" s="7" t="inlineStr">
        <is>
          <t>Free Cash Flow</t>
        </is>
      </c>
      <c r="C56" s="8">
        <f>C32</f>
        <v/>
      </c>
      <c r="D56" s="8">
        <f>D32</f>
        <v/>
      </c>
      <c r="E56" s="8">
        <f>E32</f>
        <v/>
      </c>
      <c r="F56" s="8">
        <f>F32</f>
        <v/>
      </c>
      <c r="G56" s="8">
        <f>G32</f>
        <v/>
      </c>
      <c r="H56" s="8">
        <f>H32</f>
        <v/>
      </c>
    </row>
    <row r="57">
      <c r="B57" s="7" t="inlineStr">
        <is>
          <t>Cumulative FCF</t>
        </is>
      </c>
      <c r="C57" s="8">
        <f>C33</f>
        <v/>
      </c>
      <c r="D57" s="8">
        <f>D33</f>
        <v/>
      </c>
      <c r="E57" s="8">
        <f>E33</f>
        <v/>
      </c>
      <c r="F57" s="8">
        <f>F33</f>
        <v/>
      </c>
      <c r="G57" s="8">
        <f>G33</f>
        <v/>
      </c>
      <c r="H57" s="8">
        <f>H33</f>
        <v/>
      </c>
    </row>
    <row r="58"/>
    <row r="59"/>
    <row r="60">
      <c r="B60" s="70" t="inlineStr">
        <is>
          <t>CHECKS (should show OK)</t>
        </is>
      </c>
      <c r="C60" s="66" t="n"/>
      <c r="D60" s="66" t="n"/>
      <c r="E60" s="66" t="n"/>
      <c r="F60" s="66" t="n"/>
      <c r="G60" s="66" t="n"/>
      <c r="H60" s="67" t="n"/>
    </row>
    <row r="61">
      <c r="B61" s="19" t="inlineStr">
        <is>
          <t>Check 1: Entry EV = Debt + Equity</t>
        </is>
      </c>
      <c r="C61" s="35">
        <f>K7-(K8+K9)</f>
        <v/>
      </c>
      <c r="D61" s="19" t="inlineStr">
        <is>
          <t>Difference</t>
        </is>
      </c>
      <c r="E61" s="19">
        <f>IF(ABS(C61)&lt;1,"OK","ERROR")</f>
        <v/>
      </c>
    </row>
    <row r="62" ht="26" customHeight="1" s="61">
      <c r="B62" s="19" t="inlineStr">
        <is>
          <t>Check 2: Exit Equity = Exit EV − Ending Debt</t>
        </is>
      </c>
      <c r="C62" s="35">
        <f>K14-(K12-K13)</f>
        <v/>
      </c>
      <c r="D62" s="19" t="inlineStr">
        <is>
          <t>Difference</t>
        </is>
      </c>
      <c r="E62" s="19">
        <f>IF(ABS(C62)&lt;1,"OK","ERROR")</f>
        <v/>
      </c>
    </row>
    <row r="63" ht="26" customHeight="1" s="61">
      <c r="B63" s="19" t="inlineStr">
        <is>
          <t>Check 3: FCF(Y3) = EBITDA − Taxes − CAPEX − ΔNWC</t>
        </is>
      </c>
      <c r="C63" s="35">
        <f>F32-(F23-F28-F30-F31)</f>
        <v/>
      </c>
      <c r="D63" s="19" t="inlineStr">
        <is>
          <t>Difference</t>
        </is>
      </c>
      <c r="E63" s="19">
        <f>IF(ABS(C63)&lt;1,"OK","ERROR")</f>
        <v/>
      </c>
    </row>
  </sheetData>
  <sheetProtection selectLockedCells="0" selectUnlockedCells="0" sheet="1" objects="1" insertRows="0" insertHyperlinks="1" autoFilter="0" scenarios="1" formatColumns="0" deleteColumns="0" insertColumns="0" pivotTables="0" deleteRows="0" formatCells="0" formatRows="0" sort="0" password="AE3A"/>
  <mergeCells count="14">
    <mergeCell ref="J18:M18"/>
    <mergeCell ref="J16:O16"/>
    <mergeCell ref="J4:K4"/>
    <mergeCell ref="J22:M22"/>
    <mergeCell ref="B40:H40"/>
    <mergeCell ref="B1:H1"/>
    <mergeCell ref="J5:K5"/>
    <mergeCell ref="B60:H60"/>
    <mergeCell ref="B4:D4"/>
    <mergeCell ref="J20:M20"/>
    <mergeCell ref="J21:M21"/>
    <mergeCell ref="B20:H20"/>
    <mergeCell ref="Q3:V3"/>
    <mergeCell ref="J19:M19"/>
  </mergeCells>
  <hyperlinks>
    <hyperlink ref="A1" location="'Index'!A1" display="← Back to Index"/>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63"/>
  <sheetViews>
    <sheetView workbookViewId="0">
      <selection activeCell="F3" sqref="F3"/>
    </sheetView>
  </sheetViews>
  <sheetFormatPr baseColWidth="8" defaultRowHeight="14.5"/>
  <cols>
    <col width="2" customWidth="1" style="61" min="1" max="1"/>
    <col width="34" customWidth="1" style="61" min="2" max="2"/>
    <col width="18" customWidth="1" style="61" min="3" max="3"/>
    <col width="12" customWidth="1" style="61" min="4" max="4"/>
    <col width="16" customWidth="1" style="61" min="5" max="8"/>
    <col width="2" customWidth="1" style="61" min="9" max="9"/>
    <col width="32" customWidth="1" style="61" min="10" max="10"/>
    <col width="18" customWidth="1" style="61" min="11" max="11"/>
    <col width="14" customWidth="1" style="61" min="12" max="15"/>
    <col width="15" bestFit="1" customWidth="1" style="61" min="17" max="17"/>
    <col width="10.08984375" customWidth="1" style="61" min="18" max="18"/>
    <col width="10.1796875" customWidth="1" style="61" min="19" max="19"/>
    <col width="9.7265625" customWidth="1" style="61" min="20" max="20"/>
    <col width="9.81640625" customWidth="1" style="61" min="21" max="21"/>
    <col width="9.90625" customWidth="1" style="61" min="22" max="22"/>
  </cols>
  <sheetData>
    <row r="1" ht="18.5" customHeight="1" s="61">
      <c r="A1" s="23" t="inlineStr">
        <is>
          <t>← Back to Index</t>
        </is>
      </c>
      <c r="B1" s="68" t="inlineStr">
        <is>
          <t>LBO Model – Healthcare Services (Hospitals)</t>
        </is>
      </c>
      <c r="C1" s="66" t="n"/>
      <c r="D1" s="66" t="n"/>
      <c r="E1" s="66" t="n"/>
      <c r="F1" s="66" t="n"/>
      <c r="G1" s="66" t="n"/>
      <c r="H1" s="67" t="n"/>
    </row>
    <row r="2" ht="43.5" customHeight="1" s="61">
      <c r="B2" s="1" t="inlineStr">
        <is>
          <t>Currency:</t>
        </is>
      </c>
      <c r="C2" s="2" t="inlineStr">
        <is>
          <t>INR (₹) — Indian digit grouping (lakhs/crores)</t>
        </is>
      </c>
    </row>
    <row r="3">
      <c r="Q3" s="62" t="inlineStr">
        <is>
          <t>DEBT SERVICE SCHEDULE</t>
        </is>
      </c>
      <c r="R3" s="63" t="n"/>
      <c r="S3" s="63" t="n"/>
      <c r="T3" s="63" t="n"/>
      <c r="U3" s="63" t="n"/>
      <c r="V3" s="64" t="n"/>
    </row>
    <row r="4">
      <c r="B4" s="71" t="inlineStr">
        <is>
          <t>INPUTS (manual entries)</t>
        </is>
      </c>
      <c r="C4" s="66" t="n"/>
      <c r="D4" s="67" t="n"/>
      <c r="J4" s="74" t="inlineStr">
        <is>
          <t>OUTPUTS (auto)</t>
        </is>
      </c>
      <c r="K4" s="67" t="n"/>
      <c r="Q4" s="24" t="inlineStr">
        <is>
          <t>Year</t>
        </is>
      </c>
      <c r="R4" s="24">
        <f>D21</f>
        <v/>
      </c>
      <c r="S4" s="24">
        <f>E21</f>
        <v/>
      </c>
      <c r="T4" s="24">
        <f>F21</f>
        <v/>
      </c>
      <c r="U4" s="24">
        <f>G21</f>
        <v/>
      </c>
      <c r="V4" s="24">
        <f>H21</f>
        <v/>
      </c>
    </row>
    <row r="5">
      <c r="B5" s="3" t="inlineStr">
        <is>
          <t>LTM Sales</t>
        </is>
      </c>
      <c r="C5" s="4" t="n">
        <v>10500000</v>
      </c>
      <c r="D5" s="5" t="inlineStr">
        <is>
          <t>₹</t>
        </is>
      </c>
      <c r="J5" s="69" t="inlineStr">
        <is>
          <t>Valuation</t>
        </is>
      </c>
      <c r="K5" s="67" t="n"/>
      <c r="Q5" s="25" t="inlineStr">
        <is>
          <t>Opening Debt</t>
        </is>
      </c>
      <c r="R5" s="38">
        <f>K8</f>
        <v/>
      </c>
      <c r="S5" s="38">
        <f>R9</f>
        <v/>
      </c>
      <c r="T5" s="38">
        <f>S9</f>
        <v/>
      </c>
      <c r="U5" s="38">
        <f>T9</f>
        <v/>
      </c>
      <c r="V5" s="38">
        <f>U9</f>
        <v/>
      </c>
    </row>
    <row r="6">
      <c r="B6" s="3" t="inlineStr">
        <is>
          <t>LTM EBITDA Margin</t>
        </is>
      </c>
      <c r="C6" s="6" t="n">
        <v>0.26</v>
      </c>
      <c r="D6" s="5" t="inlineStr">
        <is>
          <t>%</t>
        </is>
      </c>
      <c r="J6" s="7" t="inlineStr">
        <is>
          <t>Entry EBITDA (Y0)</t>
        </is>
      </c>
      <c r="K6" s="8">
        <f>C23</f>
        <v/>
      </c>
      <c r="Q6" s="28" t="inlineStr">
        <is>
          <t>Interest Expense</t>
        </is>
      </c>
      <c r="R6" s="38">
        <f>R5*$C$13</f>
        <v/>
      </c>
      <c r="S6" s="38">
        <f>S5*$C$13</f>
        <v/>
      </c>
      <c r="T6" s="38">
        <f>T5*$C$13</f>
        <v/>
      </c>
      <c r="U6" s="38">
        <f>U5*$C$13</f>
        <v/>
      </c>
      <c r="V6" s="38">
        <f>V5*$C$13</f>
        <v/>
      </c>
    </row>
    <row r="7">
      <c r="B7" s="3" t="inlineStr">
        <is>
          <t>Entry EBITDA Multiple</t>
        </is>
      </c>
      <c r="C7" s="9" t="n">
        <v>9</v>
      </c>
      <c r="D7" s="5" t="inlineStr">
        <is>
          <t>x</t>
        </is>
      </c>
      <c r="J7" s="29" t="inlineStr">
        <is>
          <t>Entry EV</t>
        </is>
      </c>
      <c r="K7" s="8">
        <f>K6*C7</f>
        <v/>
      </c>
      <c r="Q7" s="25" t="inlineStr">
        <is>
          <t>CFADS (FCF)</t>
        </is>
      </c>
      <c r="R7" s="38">
        <f>D32</f>
        <v/>
      </c>
      <c r="S7" s="38">
        <f>E32</f>
        <v/>
      </c>
      <c r="T7" s="38">
        <f>F32</f>
        <v/>
      </c>
      <c r="U7" s="38">
        <f>G32</f>
        <v/>
      </c>
      <c r="V7" s="38">
        <f>H32</f>
        <v/>
      </c>
    </row>
    <row r="8">
      <c r="B8" s="3" t="inlineStr">
        <is>
          <t>Annual Sales Growth</t>
        </is>
      </c>
      <c r="C8" s="6" t="n">
        <v>0.11</v>
      </c>
      <c r="D8" s="5" t="inlineStr">
        <is>
          <t>%</t>
        </is>
      </c>
      <c r="J8" s="7" t="inlineStr">
        <is>
          <t>Debt at Entry</t>
        </is>
      </c>
      <c r="K8" s="8">
        <f>K7*C12</f>
        <v/>
      </c>
      <c r="Q8" s="28" t="inlineStr">
        <is>
          <t>Debt Repayment</t>
        </is>
      </c>
      <c r="R8" s="38">
        <f>MIN(R5,R7)</f>
        <v/>
      </c>
      <c r="S8" s="38">
        <f>MIN(S5,S7)</f>
        <v/>
      </c>
      <c r="T8" s="38">
        <f>MIN(T5,T7)</f>
        <v/>
      </c>
      <c r="U8" s="38">
        <f>MIN(U5,U7)</f>
        <v/>
      </c>
      <c r="V8" s="38">
        <f>MIN(V5,V7)</f>
        <v/>
      </c>
    </row>
    <row r="9">
      <c r="B9" s="3" t="inlineStr">
        <is>
          <t>Projected EBITDA Margin (Y1–Y5)</t>
        </is>
      </c>
      <c r="C9" s="6" t="n">
        <v>0.28</v>
      </c>
      <c r="D9" s="5" t="inlineStr">
        <is>
          <t>%</t>
        </is>
      </c>
      <c r="J9" s="7" t="inlineStr">
        <is>
          <t>Equity at Entry</t>
        </is>
      </c>
      <c r="K9" s="8">
        <f>K7-K8</f>
        <v/>
      </c>
      <c r="Q9" s="25" t="inlineStr">
        <is>
          <t>Closing Debt</t>
        </is>
      </c>
      <c r="R9" s="38">
        <f>R5-R8</f>
        <v/>
      </c>
      <c r="S9" s="38">
        <f>S5-S8</f>
        <v/>
      </c>
      <c r="T9" s="38">
        <f>T5-T8</f>
        <v/>
      </c>
      <c r="U9" s="38">
        <f>U5-U8</f>
        <v/>
      </c>
      <c r="V9" s="38">
        <f>V5-V8</f>
        <v/>
      </c>
    </row>
    <row r="10">
      <c r="B10" s="3" t="inlineStr">
        <is>
          <t>Corporate Tax Rate</t>
        </is>
      </c>
      <c r="C10" s="6" t="n">
        <v>0.24</v>
      </c>
      <c r="D10" s="5" t="inlineStr">
        <is>
          <t>%</t>
        </is>
      </c>
      <c r="K10" s="37" t="n"/>
      <c r="Q10" s="28" t="inlineStr">
        <is>
          <t>Cash Build-Up</t>
        </is>
      </c>
      <c r="R10" s="38">
        <f>R7-R8</f>
        <v/>
      </c>
      <c r="S10" s="38">
        <f>S7-S8</f>
        <v/>
      </c>
      <c r="T10" s="38">
        <f>T7-T8</f>
        <v/>
      </c>
      <c r="U10" s="38">
        <f>U7-U8</f>
        <v/>
      </c>
      <c r="V10" s="38">
        <f>V7-V8</f>
        <v/>
      </c>
    </row>
    <row r="11">
      <c r="B11" s="3" t="inlineStr">
        <is>
          <t>Exit EBITDA Multiple (Year 5)</t>
        </is>
      </c>
      <c r="C11" s="9" t="n">
        <v>10</v>
      </c>
      <c r="D11" s="5" t="inlineStr">
        <is>
          <t>x</t>
        </is>
      </c>
      <c r="J11" s="7" t="inlineStr">
        <is>
          <t>Exit EBITDA (Y5)</t>
        </is>
      </c>
      <c r="K11" s="8">
        <f>H23</f>
        <v/>
      </c>
      <c r="Q11" s="28" t="inlineStr">
        <is>
          <t>Cumulative Cash</t>
        </is>
      </c>
      <c r="R11" s="38">
        <f>R10</f>
        <v/>
      </c>
      <c r="S11" s="38">
        <f>R11+S10</f>
        <v/>
      </c>
      <c r="T11" s="38">
        <f>S11+T10</f>
        <v/>
      </c>
      <c r="U11" s="38">
        <f>T11+U10</f>
        <v/>
      </c>
      <c r="V11" s="38">
        <f>U11+V10</f>
        <v/>
      </c>
    </row>
    <row r="12">
      <c r="B12" s="3" t="inlineStr">
        <is>
          <t>% Debt Financing (at Entry)</t>
        </is>
      </c>
      <c r="C12" s="6" t="n">
        <v>0.25</v>
      </c>
      <c r="D12" s="5" t="inlineStr">
        <is>
          <t>%</t>
        </is>
      </c>
      <c r="J12" s="29" t="inlineStr">
        <is>
          <t>Exit EV</t>
        </is>
      </c>
      <c r="K12" s="8">
        <f>K11*C11</f>
        <v/>
      </c>
    </row>
    <row r="13">
      <c r="B13" s="3" t="inlineStr">
        <is>
          <t>Interest Rate on Debt</t>
        </is>
      </c>
      <c r="C13" s="6" t="n">
        <v>0.105</v>
      </c>
      <c r="D13" s="5" t="inlineStr">
        <is>
          <t>%</t>
        </is>
      </c>
      <c r="J13" s="7" t="inlineStr">
        <is>
          <t>Ending Debt (assumed same as entry)</t>
        </is>
      </c>
      <c r="K13" s="8">
        <f>V9</f>
        <v/>
      </c>
    </row>
    <row r="14">
      <c r="B14" s="3" t="inlineStr">
        <is>
          <t>D&amp;A as % of Sales</t>
        </is>
      </c>
      <c r="C14" s="6" t="n">
        <v>0.07000000000000001</v>
      </c>
      <c r="D14" s="5" t="inlineStr">
        <is>
          <t>%</t>
        </is>
      </c>
      <c r="J14" s="7" t="inlineStr">
        <is>
          <t>Equity at Exit</t>
        </is>
      </c>
      <c r="K14" s="8">
        <f>K12-K13+V11</f>
        <v/>
      </c>
    </row>
    <row r="15">
      <c r="B15" s="3" t="inlineStr">
        <is>
          <t>CAPEX as % of Sales</t>
        </is>
      </c>
      <c r="C15" s="6" t="n">
        <v>0.09</v>
      </c>
      <c r="D15" s="5" t="inlineStr">
        <is>
          <t>%</t>
        </is>
      </c>
    </row>
    <row r="16" ht="15.5" customHeight="1" s="61">
      <c r="B16" s="3" t="inlineStr">
        <is>
          <t>NWC Investment as % of Incremental Sales</t>
        </is>
      </c>
      <c r="C16" s="6" t="n">
        <v>0.1</v>
      </c>
      <c r="D16" s="5" t="inlineStr">
        <is>
          <t>%</t>
        </is>
      </c>
      <c r="J16" s="73" t="inlineStr">
        <is>
          <t>Rate of Return</t>
        </is>
      </c>
      <c r="K16" s="66" t="n"/>
      <c r="L16" s="66" t="n"/>
      <c r="M16" s="66" t="n"/>
      <c r="N16" s="66" t="n"/>
      <c r="O16" s="67" t="n"/>
    </row>
    <row r="17"/>
    <row r="18">
      <c r="J18" s="65" t="inlineStr">
        <is>
          <t>MOIC - Multiple on Invested Capital (Equity)</t>
        </is>
      </c>
      <c r="K18" s="66" t="n"/>
      <c r="L18" s="66" t="n"/>
      <c r="M18" s="67" t="n"/>
      <c r="N18" s="10">
        <f>K14/K9</f>
        <v/>
      </c>
      <c r="O18" s="11" t="n"/>
    </row>
    <row r="19">
      <c r="J19" s="65" t="inlineStr">
        <is>
          <t>IRR - Internal Rate of Return</t>
        </is>
      </c>
      <c r="K19" s="66" t="n"/>
      <c r="L19" s="66" t="n"/>
      <c r="M19" s="67" t="n"/>
      <c r="N19" s="12">
        <f>((K14/K9)^(1/5))-1</f>
        <v/>
      </c>
      <c r="O19" s="11" t="n"/>
    </row>
    <row r="20">
      <c r="B20" s="72" t="inlineStr">
        <is>
          <t>PROJECTIONS &amp; CALCULATIONS (formula-driven)</t>
        </is>
      </c>
      <c r="C20" s="66" t="n"/>
      <c r="D20" s="66" t="n"/>
      <c r="E20" s="66" t="n"/>
      <c r="F20" s="66" t="n"/>
      <c r="G20" s="66" t="n"/>
      <c r="H20" s="67" t="n"/>
      <c r="J20" s="65" t="inlineStr">
        <is>
          <t>The Rule of 72 IRR - applicable only if your MOIC is close to 2!!!</t>
        </is>
      </c>
      <c r="K20" s="66" t="n"/>
      <c r="L20" s="66" t="n"/>
      <c r="M20" s="67" t="n"/>
      <c r="N20" s="13">
        <f>72/5</f>
        <v/>
      </c>
      <c r="O20" s="31" t="n"/>
    </row>
    <row r="21">
      <c r="B21" s="14" t="inlineStr">
        <is>
          <t>Line item</t>
        </is>
      </c>
      <c r="C21" s="14" t="inlineStr">
        <is>
          <t>Y0 (LTM)</t>
        </is>
      </c>
      <c r="D21" s="14" t="inlineStr">
        <is>
          <t>Y1</t>
        </is>
      </c>
      <c r="E21" s="14" t="inlineStr">
        <is>
          <t>Y2</t>
        </is>
      </c>
      <c r="F21" s="14" t="inlineStr">
        <is>
          <t>Y3</t>
        </is>
      </c>
      <c r="G21" s="14" t="inlineStr">
        <is>
          <t>Y4</t>
        </is>
      </c>
      <c r="H21" s="14" t="inlineStr">
        <is>
          <t>Y5</t>
        </is>
      </c>
      <c r="J21" s="65" t="inlineStr">
        <is>
          <t>The Rule of 114 IRR - applicable only if your MOIC is close to 3!!!</t>
        </is>
      </c>
      <c r="K21" s="66" t="n"/>
      <c r="L21" s="66" t="n"/>
      <c r="M21" s="67" t="n"/>
      <c r="N21" s="13">
        <f>114/5</f>
        <v/>
      </c>
      <c r="O21" s="11" t="n"/>
    </row>
    <row r="22">
      <c r="B22" s="15" t="inlineStr">
        <is>
          <t>Sales</t>
        </is>
      </c>
      <c r="C22" s="16">
        <f>C5</f>
        <v/>
      </c>
      <c r="D22" s="16">
        <f>C22*(1+C8)</f>
        <v/>
      </c>
      <c r="E22" s="16">
        <f>D22*(1+C8)</f>
        <v/>
      </c>
      <c r="F22" s="16">
        <f>E22*(1+C8)</f>
        <v/>
      </c>
      <c r="G22" s="16">
        <f>F22*(1+C8)</f>
        <v/>
      </c>
      <c r="H22" s="16">
        <f>G22*(1+C8)</f>
        <v/>
      </c>
      <c r="J22" s="65" t="inlineStr">
        <is>
          <t>The Rule of 144 IRR - applicable only if your MOIC is close to 4!!!</t>
        </is>
      </c>
      <c r="K22" s="66" t="n"/>
      <c r="L22" s="66" t="n"/>
      <c r="M22" s="67" t="n"/>
      <c r="N22" s="13">
        <f>144/5</f>
        <v/>
      </c>
      <c r="O22" s="11" t="n"/>
    </row>
    <row r="23">
      <c r="B23" s="15" t="inlineStr">
        <is>
          <t>EBITDA</t>
        </is>
      </c>
      <c r="C23" s="16">
        <f>C22*C6</f>
        <v/>
      </c>
      <c r="D23" s="16">
        <f>D22*C9</f>
        <v/>
      </c>
      <c r="E23" s="16">
        <f>E22*C9</f>
        <v/>
      </c>
      <c r="F23" s="16">
        <f>F22*C9</f>
        <v/>
      </c>
      <c r="G23" s="16">
        <f>G22*C9</f>
        <v/>
      </c>
      <c r="H23" s="16">
        <f>H22*C9</f>
        <v/>
      </c>
    </row>
    <row r="24">
      <c r="B24" s="15" t="inlineStr">
        <is>
          <t>D&amp;A</t>
        </is>
      </c>
      <c r="C24" s="16">
        <f>C22*C14</f>
        <v/>
      </c>
      <c r="D24" s="16">
        <f>D22*C14</f>
        <v/>
      </c>
      <c r="E24" s="16">
        <f>E22*C14</f>
        <v/>
      </c>
      <c r="F24" s="16">
        <f>F22*C14</f>
        <v/>
      </c>
      <c r="G24" s="16">
        <f>G22*C14</f>
        <v/>
      </c>
      <c r="H24" s="16">
        <f>H22*C14</f>
        <v/>
      </c>
    </row>
    <row r="25">
      <c r="B25" s="15" t="inlineStr">
        <is>
          <t>EBIT</t>
        </is>
      </c>
      <c r="C25" s="16">
        <f>C23-C24</f>
        <v/>
      </c>
      <c r="D25" s="16">
        <f>D23-D24</f>
        <v/>
      </c>
      <c r="E25" s="16">
        <f>E23-E24</f>
        <v/>
      </c>
      <c r="F25" s="16">
        <f>F23-F24</f>
        <v/>
      </c>
      <c r="G25" s="16">
        <f>G23-G24</f>
        <v/>
      </c>
      <c r="H25" s="16">
        <f>H23-H24</f>
        <v/>
      </c>
    </row>
    <row r="26">
      <c r="B26" s="15" t="inlineStr">
        <is>
          <t>Interest</t>
        </is>
      </c>
      <c r="C26" s="16">
        <f>$K$8*C13</f>
        <v/>
      </c>
      <c r="D26" s="16">
        <f>R6</f>
        <v/>
      </c>
      <c r="E26" s="16">
        <f>S6</f>
        <v/>
      </c>
      <c r="F26" s="16">
        <f>T6</f>
        <v/>
      </c>
      <c r="G26" s="16">
        <f>U6</f>
        <v/>
      </c>
      <c r="H26" s="16">
        <f>V6</f>
        <v/>
      </c>
    </row>
    <row r="27">
      <c r="B27" s="15" t="inlineStr">
        <is>
          <t>EBT</t>
        </is>
      </c>
      <c r="C27" s="16">
        <f>C25-C26</f>
        <v/>
      </c>
      <c r="D27" s="16">
        <f>D25-D26</f>
        <v/>
      </c>
      <c r="E27" s="16">
        <f>E25-E26</f>
        <v/>
      </c>
      <c r="F27" s="16">
        <f>F25-F26</f>
        <v/>
      </c>
      <c r="G27" s="16">
        <f>G25-G26</f>
        <v/>
      </c>
      <c r="H27" s="16">
        <f>H25-H26</f>
        <v/>
      </c>
    </row>
    <row r="28">
      <c r="B28" s="15" t="inlineStr">
        <is>
          <t>Taxes</t>
        </is>
      </c>
      <c r="C28" s="16">
        <f>MAX(0,C27*C10)</f>
        <v/>
      </c>
      <c r="D28" s="16">
        <f>MAX(0,D27*C10)</f>
        <v/>
      </c>
      <c r="E28" s="16">
        <f>MAX(0,E27*C10)</f>
        <v/>
      </c>
      <c r="F28" s="16">
        <f>MAX(0,F27*C10)</f>
        <v/>
      </c>
      <c r="G28" s="16">
        <f>MAX(0,G27*C10)</f>
        <v/>
      </c>
      <c r="H28" s="16">
        <f>MAX(0,H27*C10)</f>
        <v/>
      </c>
    </row>
    <row r="29">
      <c r="B29" s="15" t="inlineStr">
        <is>
          <t>Net Income</t>
        </is>
      </c>
      <c r="C29" s="16">
        <f>C27-C28</f>
        <v/>
      </c>
      <c r="D29" s="16">
        <f>D27-D28</f>
        <v/>
      </c>
      <c r="E29" s="16">
        <f>E27-E28</f>
        <v/>
      </c>
      <c r="F29" s="16">
        <f>F27-F28</f>
        <v/>
      </c>
      <c r="G29" s="16">
        <f>G27-G28</f>
        <v/>
      </c>
      <c r="H29" s="16">
        <f>H27-H28</f>
        <v/>
      </c>
    </row>
    <row r="30">
      <c r="B30" s="15" t="inlineStr">
        <is>
          <t>CAPEX</t>
        </is>
      </c>
      <c r="C30" s="16">
        <f>C22*C15</f>
        <v/>
      </c>
      <c r="D30" s="16">
        <f>D22*C15</f>
        <v/>
      </c>
      <c r="E30" s="16">
        <f>E22*C15</f>
        <v/>
      </c>
      <c r="F30" s="16">
        <f>F22*C15</f>
        <v/>
      </c>
      <c r="G30" s="16">
        <f>G22*C15</f>
        <v/>
      </c>
      <c r="H30" s="16">
        <f>H22*C15</f>
        <v/>
      </c>
    </row>
    <row r="31">
      <c r="B31" s="15" t="inlineStr">
        <is>
          <t>ΔNWC (Investment)</t>
        </is>
      </c>
      <c r="C31" s="16" t="n">
        <v>0</v>
      </c>
      <c r="D31" s="16">
        <f>MAX(0,(D22-C22)*C16)</f>
        <v/>
      </c>
      <c r="E31" s="16">
        <f>MAX(0,(E22-D22)*C16)</f>
        <v/>
      </c>
      <c r="F31" s="16">
        <f>MAX(0,(F22-E22)*C16)</f>
        <v/>
      </c>
      <c r="G31" s="16">
        <f>MAX(0,(G22-F22)*C16)</f>
        <v/>
      </c>
      <c r="H31" s="16">
        <f>MAX(0,(H22-G22)*C16)</f>
        <v/>
      </c>
    </row>
    <row r="32">
      <c r="B32" s="17" t="inlineStr">
        <is>
          <t>Free Cash Flow (FCF)</t>
        </is>
      </c>
      <c r="C32" s="16">
        <f>C23-C28-C30-C31</f>
        <v/>
      </c>
      <c r="D32" s="16">
        <f>D23-D28-D30-D31</f>
        <v/>
      </c>
      <c r="E32" s="16">
        <f>E23-E28-E30-E31</f>
        <v/>
      </c>
      <c r="F32" s="16">
        <f>F23-F28-F30-F31</f>
        <v/>
      </c>
      <c r="G32" s="16">
        <f>G23-G28-G30-G31</f>
        <v/>
      </c>
      <c r="H32" s="16">
        <f>H23-H28-H30-H31</f>
        <v/>
      </c>
    </row>
    <row r="33">
      <c r="B33" s="17" t="inlineStr">
        <is>
          <t>Cumulative FCF</t>
        </is>
      </c>
      <c r="C33" s="16">
        <f>C32</f>
        <v/>
      </c>
      <c r="D33" s="16">
        <f>C33+D32</f>
        <v/>
      </c>
      <c r="E33" s="16">
        <f>D33+E32</f>
        <v/>
      </c>
      <c r="F33" s="16">
        <f>E33+F32</f>
        <v/>
      </c>
      <c r="G33" s="16">
        <f>F33+G32</f>
        <v/>
      </c>
      <c r="H33" s="16">
        <f>G33+H32</f>
        <v/>
      </c>
    </row>
    <row r="34"/>
    <row r="35"/>
    <row r="36"/>
    <row r="37"/>
    <row r="38"/>
    <row r="39"/>
    <row r="40">
      <c r="B40" s="74" t="inlineStr">
        <is>
          <t>OUTPUT STATEMENTS (references to projection block)</t>
        </is>
      </c>
      <c r="C40" s="66" t="n"/>
      <c r="D40" s="66" t="n"/>
      <c r="E40" s="66" t="n"/>
      <c r="F40" s="66" t="n"/>
      <c r="G40" s="66" t="n"/>
      <c r="H40" s="67" t="n"/>
    </row>
    <row r="41">
      <c r="B41" s="18" t="inlineStr">
        <is>
          <t>Income Statement</t>
        </is>
      </c>
      <c r="C41" s="18" t="inlineStr">
        <is>
          <t>Y0 (LTM)</t>
        </is>
      </c>
      <c r="D41" s="18" t="inlineStr">
        <is>
          <t>Y1</t>
        </is>
      </c>
      <c r="E41" s="18" t="inlineStr">
        <is>
          <t>Y2</t>
        </is>
      </c>
      <c r="F41" s="18" t="inlineStr">
        <is>
          <t>Y3</t>
        </is>
      </c>
      <c r="G41" s="18" t="inlineStr">
        <is>
          <t>Y4</t>
        </is>
      </c>
      <c r="H41" s="18" t="inlineStr">
        <is>
          <t>Y5</t>
        </is>
      </c>
    </row>
    <row r="42">
      <c r="B42" s="7" t="inlineStr">
        <is>
          <t>Sales</t>
        </is>
      </c>
      <c r="C42" s="8">
        <f>C22</f>
        <v/>
      </c>
      <c r="D42" s="8">
        <f>D22</f>
        <v/>
      </c>
      <c r="E42" s="8">
        <f>E22</f>
        <v/>
      </c>
      <c r="F42" s="8">
        <f>F22</f>
        <v/>
      </c>
      <c r="G42" s="8">
        <f>G22</f>
        <v/>
      </c>
      <c r="H42" s="8">
        <f>H22</f>
        <v/>
      </c>
    </row>
    <row r="43">
      <c r="B43" s="7" t="inlineStr">
        <is>
          <t>EBITDA</t>
        </is>
      </c>
      <c r="C43" s="8">
        <f>C23</f>
        <v/>
      </c>
      <c r="D43" s="8">
        <f>D23</f>
        <v/>
      </c>
      <c r="E43" s="8">
        <f>E23</f>
        <v/>
      </c>
      <c r="F43" s="8">
        <f>F23</f>
        <v/>
      </c>
      <c r="G43" s="8">
        <f>G23</f>
        <v/>
      </c>
      <c r="H43" s="8">
        <f>H23</f>
        <v/>
      </c>
    </row>
    <row r="44">
      <c r="B44" s="7" t="inlineStr">
        <is>
          <t>D&amp;A</t>
        </is>
      </c>
      <c r="C44" s="8">
        <f>C24</f>
        <v/>
      </c>
      <c r="D44" s="8">
        <f>D24</f>
        <v/>
      </c>
      <c r="E44" s="8">
        <f>E24</f>
        <v/>
      </c>
      <c r="F44" s="8">
        <f>F24</f>
        <v/>
      </c>
      <c r="G44" s="8">
        <f>G24</f>
        <v/>
      </c>
      <c r="H44" s="8">
        <f>H24</f>
        <v/>
      </c>
    </row>
    <row r="45">
      <c r="B45" s="7" t="inlineStr">
        <is>
          <t>EBIT</t>
        </is>
      </c>
      <c r="C45" s="8">
        <f>C25</f>
        <v/>
      </c>
      <c r="D45" s="8">
        <f>D25</f>
        <v/>
      </c>
      <c r="E45" s="8">
        <f>E25</f>
        <v/>
      </c>
      <c r="F45" s="8">
        <f>F25</f>
        <v/>
      </c>
      <c r="G45" s="8">
        <f>G25</f>
        <v/>
      </c>
      <c r="H45" s="8">
        <f>H25</f>
        <v/>
      </c>
    </row>
    <row r="46">
      <c r="B46" s="7" t="inlineStr">
        <is>
          <t>Interest</t>
        </is>
      </c>
      <c r="C46" s="8">
        <f>C26</f>
        <v/>
      </c>
      <c r="D46" s="8">
        <f>D26</f>
        <v/>
      </c>
      <c r="E46" s="8">
        <f>E26</f>
        <v/>
      </c>
      <c r="F46" s="8">
        <f>F26</f>
        <v/>
      </c>
      <c r="G46" s="8">
        <f>G26</f>
        <v/>
      </c>
      <c r="H46" s="8">
        <f>H26</f>
        <v/>
      </c>
    </row>
    <row r="47">
      <c r="B47" s="7" t="inlineStr">
        <is>
          <t>EBT</t>
        </is>
      </c>
      <c r="C47" s="8">
        <f>C27</f>
        <v/>
      </c>
      <c r="D47" s="8">
        <f>D27</f>
        <v/>
      </c>
      <c r="E47" s="8">
        <f>E27</f>
        <v/>
      </c>
      <c r="F47" s="8">
        <f>F27</f>
        <v/>
      </c>
      <c r="G47" s="8">
        <f>G27</f>
        <v/>
      </c>
      <c r="H47" s="8">
        <f>H27</f>
        <v/>
      </c>
    </row>
    <row r="48">
      <c r="B48" s="7" t="inlineStr">
        <is>
          <t>Taxes</t>
        </is>
      </c>
      <c r="C48" s="8">
        <f>C28</f>
        <v/>
      </c>
      <c r="D48" s="8">
        <f>D28</f>
        <v/>
      </c>
      <c r="E48" s="8">
        <f>E28</f>
        <v/>
      </c>
      <c r="F48" s="8">
        <f>F28</f>
        <v/>
      </c>
      <c r="G48" s="8">
        <f>G28</f>
        <v/>
      </c>
      <c r="H48" s="8">
        <f>H28</f>
        <v/>
      </c>
    </row>
    <row r="49">
      <c r="B49" s="7" t="inlineStr">
        <is>
          <t>Net Income</t>
        </is>
      </c>
      <c r="C49" s="8">
        <f>C29</f>
        <v/>
      </c>
      <c r="D49" s="8">
        <f>D29</f>
        <v/>
      </c>
      <c r="E49" s="8">
        <f>E29</f>
        <v/>
      </c>
      <c r="F49" s="8">
        <f>F29</f>
        <v/>
      </c>
      <c r="G49" s="8">
        <f>G29</f>
        <v/>
      </c>
      <c r="H49" s="8">
        <f>H29</f>
        <v/>
      </c>
    </row>
    <row r="50"/>
    <row r="51">
      <c r="B51" s="18" t="inlineStr">
        <is>
          <t>Cash Flow Statement</t>
        </is>
      </c>
      <c r="C51" s="18" t="inlineStr">
        <is>
          <t>Y0 (LTM)</t>
        </is>
      </c>
      <c r="D51" s="18" t="inlineStr">
        <is>
          <t>Y1</t>
        </is>
      </c>
      <c r="E51" s="18" t="inlineStr">
        <is>
          <t>Y2</t>
        </is>
      </c>
      <c r="F51" s="18" t="inlineStr">
        <is>
          <t>Y3</t>
        </is>
      </c>
      <c r="G51" s="18" t="inlineStr">
        <is>
          <t>Y4</t>
        </is>
      </c>
      <c r="H51" s="18" t="inlineStr">
        <is>
          <t>Y5</t>
        </is>
      </c>
    </row>
    <row r="52">
      <c r="B52" s="7" t="inlineStr">
        <is>
          <t>EBITDA</t>
        </is>
      </c>
      <c r="C52" s="8">
        <f>C23</f>
        <v/>
      </c>
      <c r="D52" s="8">
        <f>D23</f>
        <v/>
      </c>
      <c r="E52" s="8">
        <f>E23</f>
        <v/>
      </c>
      <c r="F52" s="8">
        <f>F23</f>
        <v/>
      </c>
      <c r="G52" s="8">
        <f>G23</f>
        <v/>
      </c>
      <c r="H52" s="8">
        <f>H23</f>
        <v/>
      </c>
    </row>
    <row r="53">
      <c r="B53" s="7" t="inlineStr">
        <is>
          <t>Less: Taxes</t>
        </is>
      </c>
      <c r="C53" s="8">
        <f>-C28</f>
        <v/>
      </c>
      <c r="D53" s="8">
        <f>-D28</f>
        <v/>
      </c>
      <c r="E53" s="8">
        <f>-E28</f>
        <v/>
      </c>
      <c r="F53" s="8">
        <f>-F28</f>
        <v/>
      </c>
      <c r="G53" s="8">
        <f>-G28</f>
        <v/>
      </c>
      <c r="H53" s="8">
        <f>-H28</f>
        <v/>
      </c>
    </row>
    <row r="54">
      <c r="B54" s="7" t="inlineStr">
        <is>
          <t>Less: CAPEX</t>
        </is>
      </c>
      <c r="C54" s="8">
        <f>-C30</f>
        <v/>
      </c>
      <c r="D54" s="8">
        <f>-D30</f>
        <v/>
      </c>
      <c r="E54" s="8">
        <f>-E30</f>
        <v/>
      </c>
      <c r="F54" s="8">
        <f>-F30</f>
        <v/>
      </c>
      <c r="G54" s="8">
        <f>-G30</f>
        <v/>
      </c>
      <c r="H54" s="8">
        <f>-H30</f>
        <v/>
      </c>
    </row>
    <row r="55">
      <c r="B55" s="7" t="inlineStr">
        <is>
          <t>Less: ΔNWC</t>
        </is>
      </c>
      <c r="C55" s="8">
        <f>-C31</f>
        <v/>
      </c>
      <c r="D55" s="8">
        <f>-D31</f>
        <v/>
      </c>
      <c r="E55" s="8">
        <f>-E31</f>
        <v/>
      </c>
      <c r="F55" s="8">
        <f>-F31</f>
        <v/>
      </c>
      <c r="G55" s="8">
        <f>-G31</f>
        <v/>
      </c>
      <c r="H55" s="8">
        <f>-H31</f>
        <v/>
      </c>
    </row>
    <row r="56">
      <c r="B56" s="7" t="inlineStr">
        <is>
          <t>Free Cash Flow</t>
        </is>
      </c>
      <c r="C56" s="8">
        <f>C32</f>
        <v/>
      </c>
      <c r="D56" s="8">
        <f>D32</f>
        <v/>
      </c>
      <c r="E56" s="8">
        <f>E32</f>
        <v/>
      </c>
      <c r="F56" s="8">
        <f>F32</f>
        <v/>
      </c>
      <c r="G56" s="8">
        <f>G32</f>
        <v/>
      </c>
      <c r="H56" s="8">
        <f>H32</f>
        <v/>
      </c>
    </row>
    <row r="57">
      <c r="B57" s="7" t="inlineStr">
        <is>
          <t>Cumulative FCF</t>
        </is>
      </c>
      <c r="C57" s="8">
        <f>C33</f>
        <v/>
      </c>
      <c r="D57" s="8">
        <f>D33</f>
        <v/>
      </c>
      <c r="E57" s="8">
        <f>E33</f>
        <v/>
      </c>
      <c r="F57" s="8">
        <f>F33</f>
        <v/>
      </c>
      <c r="G57" s="8">
        <f>G33</f>
        <v/>
      </c>
      <c r="H57" s="8">
        <f>H33</f>
        <v/>
      </c>
    </row>
    <row r="58"/>
    <row r="59"/>
    <row r="60">
      <c r="B60" s="70" t="inlineStr">
        <is>
          <t>CHECKS (should show OK)</t>
        </is>
      </c>
      <c r="C60" s="66" t="n"/>
      <c r="D60" s="66" t="n"/>
      <c r="E60" s="66" t="n"/>
      <c r="F60" s="66" t="n"/>
      <c r="G60" s="66" t="n"/>
      <c r="H60" s="67" t="n"/>
    </row>
    <row r="61">
      <c r="B61" s="19" t="inlineStr">
        <is>
          <t>Check 1: Entry EV = Debt + Equity</t>
        </is>
      </c>
      <c r="C61" s="35">
        <f>K7-(K8+K9)</f>
        <v/>
      </c>
      <c r="D61" s="19" t="inlineStr">
        <is>
          <t>Difference</t>
        </is>
      </c>
      <c r="E61" s="19">
        <f>IF(ABS(C61)&lt;1,"OK","ERROR")</f>
        <v/>
      </c>
    </row>
    <row r="62" ht="26" customHeight="1" s="61">
      <c r="B62" s="19" t="inlineStr">
        <is>
          <t>Check 2: Exit Equity = Exit EV − Ending Debt</t>
        </is>
      </c>
      <c r="C62" s="35">
        <f>K14-(K12-K13)</f>
        <v/>
      </c>
      <c r="D62" s="19" t="inlineStr">
        <is>
          <t>Difference</t>
        </is>
      </c>
      <c r="E62" s="19">
        <f>IF(ABS(C62)&lt;1,"OK","ERROR")</f>
        <v/>
      </c>
    </row>
    <row r="63" ht="26" customHeight="1" s="61">
      <c r="B63" s="19" t="inlineStr">
        <is>
          <t>Check 3: FCF(Y3) = EBITDA − Taxes − CAPEX − ΔNWC</t>
        </is>
      </c>
      <c r="C63" s="35">
        <f>F32-(F23-F28-F30-F31)</f>
        <v/>
      </c>
      <c r="D63" s="19" t="inlineStr">
        <is>
          <t>Difference</t>
        </is>
      </c>
      <c r="E63" s="19">
        <f>IF(ABS(C63)&lt;1,"OK","ERROR")</f>
        <v/>
      </c>
    </row>
  </sheetData>
  <sheetProtection selectLockedCells="0" selectUnlockedCells="0" sheet="1" objects="1" insertRows="0" insertHyperlinks="1" autoFilter="0" scenarios="1" formatColumns="0" deleteColumns="0" insertColumns="0" pivotTables="0" deleteRows="0" formatCells="0" formatRows="0" sort="0" password="AE3A"/>
  <mergeCells count="14">
    <mergeCell ref="J18:M18"/>
    <mergeCell ref="J16:O16"/>
    <mergeCell ref="J4:K4"/>
    <mergeCell ref="J22:M22"/>
    <mergeCell ref="B40:H40"/>
    <mergeCell ref="B1:H1"/>
    <mergeCell ref="J5:K5"/>
    <mergeCell ref="B60:H60"/>
    <mergeCell ref="B4:D4"/>
    <mergeCell ref="J20:M20"/>
    <mergeCell ref="J21:M21"/>
    <mergeCell ref="B20:H20"/>
    <mergeCell ref="Q3:V3"/>
    <mergeCell ref="J19:M19"/>
  </mergeCells>
  <hyperlinks>
    <hyperlink ref="A1" location="'Index'!A1" display="← Back to Index"/>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2025-12-16T07:51:04Z</dcterms:created>
  <dcterms:modified xmlns:dcterms="http://purl.org/dc/terms/" xmlns:xsi="http://www.w3.org/2001/XMLSchema-instance" xsi:type="dcterms:W3CDTF">2026-01-02T06:53:57Z</dcterms:modified>
  <cp:lastModifiedBy>srikanthyadav444p</cp:lastModifiedBy>
</cp:coreProperties>
</file>