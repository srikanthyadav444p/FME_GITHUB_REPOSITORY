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LBO model" sheetId="2" state="visible" r:id="rId2"/>
  </sheets>
  <definedNames/>
  <calcPr calcId="191029" fullCalcOnLoad="1"/>
</workbook>
</file>

<file path=xl/styles.xml><?xml version="1.0" encoding="utf-8"?>
<styleSheet xmlns="http://schemas.openxmlformats.org/spreadsheetml/2006/main">
  <numFmts count="3">
    <numFmt numFmtId="164" formatCode="_ [$₹-4009]\ * #,##0.00_ ;_ [$₹-4009]\ * \-#,##0.00_ ;_ [$₹-4009]\ * &quot;-&quot;??_ ;_ @_ "/>
    <numFmt numFmtId="165" formatCode="0\ &quot;Times&quot;"/>
    <numFmt numFmtId="166" formatCode="_ [$₹-4009]\ * #,##0_ ;_ [$₹-4009]\ * \-#,##0_ ;_ [$₹-4009]\ * &quot;-&quot;??_ ;_ @_ "/>
  </numFmts>
  <fonts count="17">
    <font>
      <name val="Calibri"/>
      <family val="2"/>
      <color theme="1"/>
      <sz val="11"/>
      <scheme val="minor"/>
    </font>
    <font>
      <name val="Calibri"/>
      <family val="2"/>
      <color theme="1"/>
      <sz val="11"/>
      <scheme val="minor"/>
    </font>
    <font>
      <name val="Yu Gothic"/>
      <family val="2"/>
      <b val="1"/>
      <sz val="10"/>
    </font>
    <font>
      <name val="Yu Gothic UI"/>
      <family val="2"/>
      <b val="1"/>
      <sz val="11"/>
    </font>
    <font>
      <name val="Yu Gothic UI"/>
      <family val="2"/>
      <sz val="11"/>
    </font>
    <font>
      <name val="Yu Gothic"/>
      <family val="2"/>
      <sz val="10"/>
    </font>
    <font>
      <name val="Yu Gothic UI"/>
      <family val="2"/>
      <sz val="10"/>
    </font>
    <font>
      <name val="Yu Gothic UI"/>
      <family val="2"/>
      <b val="1"/>
      <sz val="10"/>
    </font>
    <font>
      <name val="Yu Gothic UI Semibold"/>
      <family val="2"/>
      <sz val="10"/>
    </font>
    <font>
      <name val="Yu Gothic UI Semibold"/>
      <family val="2"/>
      <b val="1"/>
      <sz val="10"/>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7" tint="-0.249977111117893"/>
      <sz val="18"/>
      <scheme val="minor"/>
    </font>
    <font>
      <name val="Calibri"/>
      <family val="2"/>
      <b val="1"/>
      <color theme="1"/>
      <sz val="18"/>
      <scheme val="minor"/>
    </font>
    <font>
      <name val="Cambria"/>
      <family val="1"/>
      <i val="1"/>
      <color theme="9" tint="-0.249977111117893"/>
      <sz val="11"/>
      <scheme val="major"/>
    </font>
  </fonts>
  <fills count="12">
    <fill>
      <patternFill/>
    </fill>
    <fill>
      <patternFill patternType="gray125"/>
    </fill>
    <fill>
      <patternFill patternType="solid">
        <fgColor theme="3" tint="0.7999816888943144"/>
        <bgColor indexed="64"/>
      </patternFill>
    </fill>
    <fill>
      <patternFill patternType="solid">
        <fgColor theme="6" tint="0.7999816888943144"/>
        <bgColor indexed="64"/>
      </patternFill>
    </fill>
    <fill>
      <patternFill patternType="solid">
        <fgColor theme="8"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8" tint="0.3999755851924192"/>
        <bgColor indexed="64"/>
      </patternFill>
    </fill>
  </fills>
  <borders count="12">
    <border>
      <left/>
      <right/>
      <top/>
      <bottom/>
      <diagonal/>
    </border>
    <border>
      <left style="hair">
        <color rgb="FF00AAD2"/>
      </left>
      <right style="hair">
        <color rgb="FF00AAD2"/>
      </right>
      <top style="hair">
        <color rgb="FF00AAD2"/>
      </top>
      <bottom style="hair">
        <color rgb="FF00AAD2"/>
      </bottom>
      <diagonal/>
    </border>
    <border>
      <left/>
      <right/>
      <top/>
      <bottom style="medium">
        <color rgb="FF0070C0"/>
      </bottom>
      <diagonal/>
    </border>
    <border>
      <left/>
      <right style="hair">
        <color rgb="FF00AAD2"/>
      </right>
      <top style="hair">
        <color rgb="FF00AAD2"/>
      </top>
      <bottom/>
      <diagonal/>
    </border>
    <border>
      <left style="hair">
        <color rgb="FF00AAD2"/>
      </left>
      <right style="hair">
        <color rgb="FF00AAD2"/>
      </right>
      <top style="hair">
        <color rgb="FF00AAD2"/>
      </top>
      <bottom/>
      <diagonal/>
    </border>
    <border>
      <left style="hair">
        <color rgb="FF0070C0"/>
      </left>
      <right style="hair">
        <color rgb="FF00AAD2"/>
      </right>
      <top style="medium">
        <color rgb="FF0070C0"/>
      </top>
      <bottom/>
      <diagonal/>
    </border>
    <border>
      <left style="hair">
        <color rgb="FF00AAD2"/>
      </left>
      <right style="hair">
        <color rgb="FF00AAD2"/>
      </right>
      <top style="medium">
        <color rgb="FF0070C0"/>
      </top>
      <bottom/>
      <diagonal/>
    </border>
    <border>
      <left style="hair">
        <color rgb="FF0070C0"/>
      </left>
      <right style="hair">
        <color rgb="FF00AAD2"/>
      </right>
      <top style="hair">
        <color rgb="FF00AAD2"/>
      </top>
      <bottom/>
      <diagonal/>
    </border>
    <border>
      <left style="hair">
        <color rgb="FF0070C0"/>
      </left>
      <right style="hair">
        <color rgb="FF00AAD2"/>
      </right>
      <top style="hair">
        <color rgb="FF00AAD2"/>
      </top>
      <bottom style="hair">
        <color rgb="FF0070C0"/>
      </bottom>
      <diagonal/>
    </border>
    <border>
      <left style="hair">
        <color rgb="FF00AAD2"/>
      </left>
      <right style="hair">
        <color rgb="FF00AAD2"/>
      </right>
      <top style="hair">
        <color rgb="FF00AAD2"/>
      </top>
      <bottom style="hair">
        <color rgb="FF0070C0"/>
      </bottom>
      <diagonal/>
    </border>
    <border>
      <left style="hair">
        <color rgb="FF0070C0"/>
      </left>
      <right style="hair">
        <color rgb="FF00AAD2"/>
      </right>
      <top style="hair">
        <color rgb="FF0070C0"/>
      </top>
      <bottom/>
      <diagonal/>
    </border>
    <border>
      <left style="hair">
        <color rgb="FF00AAD2"/>
      </left>
      <right style="hair">
        <color rgb="FF00AAD2"/>
      </right>
      <top style="hair">
        <color rgb="FF0070C0"/>
      </top>
      <bottom/>
      <diagonal/>
    </border>
  </borders>
  <cellStyleXfs count="3">
    <xf numFmtId="0" fontId="1" fillId="0" borderId="0"/>
    <xf numFmtId="9" fontId="1" fillId="0" borderId="0"/>
    <xf numFmtId="0" fontId="1" fillId="0" borderId="0"/>
  </cellStyleXfs>
  <cellXfs count="79">
    <xf numFmtId="0" fontId="0"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5" fillId="0" borderId="0" pivotButton="0" quotePrefix="1" xfId="0"/>
    <xf numFmtId="0" fontId="8" fillId="0" borderId="0" pivotButton="0" quotePrefix="0" xfId="0"/>
    <xf numFmtId="37" fontId="6" fillId="0" borderId="0" applyAlignment="1" pivotButton="0" quotePrefix="0" xfId="0">
      <alignment horizontal="right"/>
    </xf>
    <xf numFmtId="0" fontId="3" fillId="2" borderId="0" applyAlignment="1" pivotButton="0" quotePrefix="0" xfId="0">
      <alignment horizontal="left"/>
    </xf>
    <xf numFmtId="0" fontId="4" fillId="2" borderId="0" pivotButton="0" quotePrefix="0" xfId="0"/>
    <xf numFmtId="0" fontId="5" fillId="2" borderId="0" pivotButton="0" quotePrefix="0" xfId="0"/>
    <xf numFmtId="0" fontId="6" fillId="2" borderId="0" pivotButton="0" quotePrefix="0" xfId="0"/>
    <xf numFmtId="164" fontId="6" fillId="2" borderId="1" applyAlignment="1" pivotButton="0" quotePrefix="0" xfId="0">
      <alignment horizontal="center"/>
    </xf>
    <xf numFmtId="9" fontId="6" fillId="2" borderId="1" applyAlignment="1" pivotButton="0" quotePrefix="0" xfId="1">
      <alignment horizontal="center"/>
    </xf>
    <xf numFmtId="165" fontId="6" fillId="2" borderId="1" applyAlignment="1" pivotButton="0" quotePrefix="0" xfId="0">
      <alignment horizontal="center"/>
    </xf>
    <xf numFmtId="0" fontId="3" fillId="3" borderId="0" applyAlignment="1" pivotButton="0" quotePrefix="0" xfId="0">
      <alignment horizontal="left"/>
    </xf>
    <xf numFmtId="0" fontId="4" fillId="3" borderId="0" pivotButton="0" quotePrefix="0" xfId="0"/>
    <xf numFmtId="0" fontId="5" fillId="3" borderId="0" pivotButton="0" quotePrefix="0" xfId="0"/>
    <xf numFmtId="0" fontId="6" fillId="3" borderId="0" pivotButton="0" quotePrefix="0" xfId="0"/>
    <xf numFmtId="164" fontId="7" fillId="3" borderId="1" applyAlignment="1" pivotButton="0" quotePrefix="0" xfId="0">
      <alignment horizontal="center"/>
    </xf>
    <xf numFmtId="0" fontId="3" fillId="4" borderId="0" applyAlignment="1" pivotButton="0" quotePrefix="0" xfId="0">
      <alignment horizontal="left"/>
    </xf>
    <xf numFmtId="0" fontId="4" fillId="4" borderId="0" pivotButton="0" quotePrefix="0" xfId="0"/>
    <xf numFmtId="0" fontId="5" fillId="4" borderId="0" pivotButton="0" quotePrefix="0" xfId="0"/>
    <xf numFmtId="0" fontId="7" fillId="4" borderId="2" pivotButton="0" quotePrefix="0" xfId="0"/>
    <xf numFmtId="1" fontId="7" fillId="4" borderId="2" pivotButton="0" quotePrefix="0" xfId="0"/>
    <xf numFmtId="0" fontId="7" fillId="4" borderId="0" pivotButton="0" quotePrefix="0" xfId="0"/>
    <xf numFmtId="1" fontId="7" fillId="4" borderId="0" pivotButton="0" quotePrefix="0" xfId="0"/>
    <xf numFmtId="0" fontId="6" fillId="4" borderId="0" pivotButton="0" quotePrefix="0" xfId="0"/>
    <xf numFmtId="37" fontId="6" fillId="4" borderId="5" applyAlignment="1" pivotButton="0" quotePrefix="0" xfId="0">
      <alignment horizontal="right"/>
    </xf>
    <xf numFmtId="37" fontId="6" fillId="4" borderId="6" applyAlignment="1" pivotButton="0" quotePrefix="0" xfId="0">
      <alignment horizontal="right"/>
    </xf>
    <xf numFmtId="37" fontId="6" fillId="4" borderId="7" applyAlignment="1" pivotButton="0" quotePrefix="0" xfId="0">
      <alignment horizontal="right"/>
    </xf>
    <xf numFmtId="37" fontId="6" fillId="4" borderId="3" applyAlignment="1" pivotButton="0" quotePrefix="0" xfId="0">
      <alignment horizontal="right"/>
    </xf>
    <xf numFmtId="37" fontId="6" fillId="4" borderId="7" applyAlignment="1" pivotButton="0" quotePrefix="1" xfId="0">
      <alignment horizontal="right"/>
    </xf>
    <xf numFmtId="37" fontId="6" fillId="4" borderId="4" applyAlignment="1" pivotButton="0" quotePrefix="0" xfId="0">
      <alignment horizontal="right"/>
    </xf>
    <xf numFmtId="37" fontId="7" fillId="4" borderId="8" applyAlignment="1" pivotButton="0" quotePrefix="1" xfId="0">
      <alignment horizontal="right"/>
    </xf>
    <xf numFmtId="37" fontId="7" fillId="4" borderId="9" applyAlignment="1" pivotButton="0" quotePrefix="0" xfId="0">
      <alignment horizontal="right"/>
    </xf>
    <xf numFmtId="0" fontId="3" fillId="5" borderId="0" applyAlignment="1" pivotButton="0" quotePrefix="0" xfId="0">
      <alignment horizontal="left"/>
    </xf>
    <xf numFmtId="0" fontId="4" fillId="5" borderId="0" pivotButton="0" quotePrefix="0" xfId="0"/>
    <xf numFmtId="0" fontId="5" fillId="5" borderId="0" pivotButton="0" quotePrefix="0" xfId="0"/>
    <xf numFmtId="0" fontId="7" fillId="5" borderId="2" pivotButton="0" quotePrefix="0" xfId="0"/>
    <xf numFmtId="1" fontId="7" fillId="5" borderId="2" pivotButton="0" quotePrefix="0" xfId="0"/>
    <xf numFmtId="0" fontId="7" fillId="5" borderId="0" pivotButton="0" quotePrefix="0" xfId="0"/>
    <xf numFmtId="1" fontId="7" fillId="5" borderId="0" pivotButton="0" quotePrefix="0" xfId="0"/>
    <xf numFmtId="0" fontId="6" fillId="5" borderId="0" pivotButton="0" quotePrefix="0" xfId="0"/>
    <xf numFmtId="37" fontId="6" fillId="5" borderId="10" applyAlignment="1" pivotButton="0" quotePrefix="0" xfId="0">
      <alignment horizontal="right"/>
    </xf>
    <xf numFmtId="37" fontId="6" fillId="5" borderId="11" applyAlignment="1" pivotButton="0" quotePrefix="0" xfId="0">
      <alignment horizontal="right"/>
    </xf>
    <xf numFmtId="37" fontId="6" fillId="5" borderId="7" applyAlignment="1" pivotButton="0" quotePrefix="0" xfId="0">
      <alignment horizontal="right"/>
    </xf>
    <xf numFmtId="37" fontId="6" fillId="5" borderId="4" applyAlignment="1" pivotButton="0" quotePrefix="0" xfId="0">
      <alignment horizontal="right"/>
    </xf>
    <xf numFmtId="37" fontId="6" fillId="5" borderId="7" applyAlignment="1" pivotButton="0" quotePrefix="1" xfId="0">
      <alignment horizontal="right"/>
    </xf>
    <xf numFmtId="37" fontId="7" fillId="5" borderId="8" applyAlignment="1" pivotButton="0" quotePrefix="1" xfId="0">
      <alignment horizontal="right"/>
    </xf>
    <xf numFmtId="37" fontId="7" fillId="5" borderId="9" applyAlignment="1" pivotButton="0" quotePrefix="0" xfId="0">
      <alignment horizontal="right"/>
    </xf>
    <xf numFmtId="0" fontId="3" fillId="6" borderId="0" applyAlignment="1" pivotButton="0" quotePrefix="0" xfId="0">
      <alignment horizontal="left"/>
    </xf>
    <xf numFmtId="0" fontId="4" fillId="6" borderId="0" pivotButton="0" quotePrefix="0" xfId="0"/>
    <xf numFmtId="0" fontId="5" fillId="6" borderId="0" pivotButton="0" quotePrefix="0" xfId="0"/>
    <xf numFmtId="0" fontId="6" fillId="6" borderId="0" pivotButton="0" quotePrefix="0" xfId="0"/>
    <xf numFmtId="0" fontId="8" fillId="6" borderId="0" pivotButton="0" quotePrefix="0" xfId="0"/>
    <xf numFmtId="10" fontId="9" fillId="6" borderId="1" applyAlignment="1" pivotButton="0" quotePrefix="0" xfId="1">
      <alignment horizontal="center"/>
    </xf>
    <xf numFmtId="0" fontId="8" fillId="6" borderId="0" applyAlignment="1" pivotButton="0" quotePrefix="1" xfId="0">
      <alignment wrapText="1"/>
    </xf>
    <xf numFmtId="166" fontId="7" fillId="6" borderId="1" applyAlignment="1" pivotButton="0" quotePrefix="0" xfId="0">
      <alignment horizontal="right"/>
    </xf>
    <xf numFmtId="165" fontId="9" fillId="6" borderId="1" applyAlignment="1" pivotButton="0" quotePrefix="0" xfId="0">
      <alignment horizontal="center"/>
    </xf>
    <xf numFmtId="9" fontId="6" fillId="7" borderId="1" applyAlignment="1" pivotButton="0" quotePrefix="0" xfId="1">
      <alignment horizontal="center"/>
    </xf>
    <xf numFmtId="37" fontId="7" fillId="7" borderId="9" applyAlignment="1" pivotButton="0" quotePrefix="0" xfId="0">
      <alignment horizontal="right"/>
    </xf>
    <xf numFmtId="0" fontId="11" fillId="0" borderId="0" applyAlignment="1" pivotButton="0" quotePrefix="0" xfId="2">
      <alignment vertical="center"/>
    </xf>
    <xf numFmtId="0" fontId="1" fillId="0" borderId="0" pivotButton="0" quotePrefix="0" xfId="2"/>
    <xf numFmtId="0" fontId="12" fillId="0" borderId="0" applyAlignment="1" pivotButton="0" quotePrefix="0" xfId="2">
      <alignment vertical="center"/>
    </xf>
    <xf numFmtId="0" fontId="13" fillId="0" borderId="0" pivotButton="0" quotePrefix="0" xfId="2"/>
    <xf numFmtId="0" fontId="14" fillId="0" borderId="0" applyAlignment="1" pivotButton="0" quotePrefix="0" xfId="2">
      <alignment vertical="center"/>
    </xf>
    <xf numFmtId="0" fontId="15" fillId="9" borderId="0" applyAlignment="1" pivotButton="0" quotePrefix="0" xfId="2">
      <alignment vertical="center"/>
    </xf>
    <xf numFmtId="0" fontId="1" fillId="9" borderId="0" pivotButton="0" quotePrefix="0" xfId="2"/>
    <xf numFmtId="0" fontId="15" fillId="10" borderId="0" applyAlignment="1" pivotButton="0" quotePrefix="0" xfId="2">
      <alignment vertical="center"/>
    </xf>
    <xf numFmtId="0" fontId="10" fillId="5" borderId="0" applyAlignment="1" pivotButton="0" quotePrefix="0" xfId="2">
      <alignment vertical="top" wrapText="1"/>
    </xf>
    <xf numFmtId="0" fontId="1" fillId="0" borderId="0" applyAlignment="1" pivotButton="0" quotePrefix="0" xfId="2">
      <alignment horizontal="left" vertical="center" indent="1"/>
    </xf>
    <xf numFmtId="0" fontId="10" fillId="0" borderId="0" pivotButton="0" quotePrefix="0" xfId="2"/>
    <xf numFmtId="0" fontId="10" fillId="0" borderId="0" applyAlignment="1" pivotButton="0" quotePrefix="0" xfId="2">
      <alignment horizontal="left" vertical="center" indent="1"/>
    </xf>
    <xf numFmtId="0" fontId="15" fillId="11" borderId="0" applyAlignment="1" pivotButton="0" quotePrefix="0" xfId="0">
      <alignment vertical="center"/>
    </xf>
    <xf numFmtId="0" fontId="16" fillId="0" borderId="0" applyAlignment="1" pivotButton="0" quotePrefix="0" xfId="0">
      <alignment wrapText="1"/>
    </xf>
    <xf numFmtId="0" fontId="1" fillId="8" borderId="0" applyAlignment="1" pivotButton="0" quotePrefix="0" xfId="2">
      <alignment horizontal="justify" vertical="justify" wrapText="1"/>
    </xf>
    <xf numFmtId="0" fontId="1" fillId="8" borderId="0" applyAlignment="1" pivotButton="0" quotePrefix="0" xfId="2">
      <alignment horizontal="left" vertical="top" wrapText="1"/>
    </xf>
    <xf numFmtId="0" fontId="1" fillId="3" borderId="0" applyAlignment="1" pivotButton="0" quotePrefix="0" xfId="2">
      <alignment horizontal="justify" vertical="justify" wrapText="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9535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workbookViewId="0">
      <selection activeCell="K5" sqref="K5"/>
    </sheetView>
  </sheetViews>
  <sheetFormatPr baseColWidth="8" defaultRowHeight="14.5"/>
  <cols>
    <col width="8.7265625" customWidth="1" style="63" min="1" max="6"/>
    <col width="13.90625" customWidth="1" style="63" min="7" max="7"/>
    <col width="5.6328125" customWidth="1" style="63" min="8" max="8"/>
    <col width="71.6328125" customWidth="1" style="63" min="9" max="9"/>
    <col width="7.1796875" customWidth="1" style="63" min="10" max="10"/>
    <col width="8.7265625" customWidth="1" style="63" min="11" max="16384"/>
  </cols>
  <sheetData>
    <row r="1" ht="31" customHeight="1">
      <c r="A1" s="62" t="inlineStr">
        <is>
          <t>FINANCIAL MODELING USING EXCEL</t>
        </is>
      </c>
    </row>
    <row r="2"/>
    <row r="3" ht="23.5" customHeight="1">
      <c r="A3" s="64" t="inlineStr">
        <is>
          <t>Paper Leveraged Buyout (LBO) Model Using Excel</t>
        </is>
      </c>
    </row>
    <row r="4" ht="23.5" customHeight="1">
      <c r="I4" s="74" t="inlineStr">
        <is>
          <t>Learning Philosophy</t>
        </is>
      </c>
    </row>
    <row r="5">
      <c r="A5" s="65" t="inlineStr">
        <is>
          <t>High-Level LBO Feasibility and Equity Return Estimation</t>
        </is>
      </c>
    </row>
    <row r="6" ht="28.5" customHeight="1">
      <c r="I6" s="75" t="inlineStr">
        <is>
          <t>Paper LBOs train the most important skill in deal analysis: translating assumptions into disciplined return expectations quickly and clearly.</t>
        </is>
      </c>
    </row>
    <row r="7" ht="23.5" customHeight="1">
      <c r="A7" s="66" t="inlineStr">
        <is>
          <t>Workbook Purpose</t>
        </is>
      </c>
    </row>
    <row r="8"/>
    <row r="9" ht="132.5" customHeight="1">
      <c r="A9" s="76" t="inlineStr">
        <is>
          <t>This workbook is a Paper LBO model, designed to evaluate the feasibility and attractiveness of a leveraged buyout at a high level, without building a full operational forecast. The model focuses on determining whether a proposed acquisition can generate acceptable equity returns, based on simplified assumptions regarding entry valuation, leverage, exit valuation, and holding period.
The workbook reflects the way investment bankers and private equity professionals perform quick, back-of-the-envelope LBO analysis to screen deals. Excel is used to structure assumptions clearly, trace value creation from entry to exit, and compute investor returns with transparency and internal consistency.</t>
        </is>
      </c>
    </row>
    <row r="10"/>
    <row r="11"/>
    <row r="12"/>
    <row r="13"/>
    <row r="14"/>
    <row r="15" ht="23.5" customHeight="1">
      <c r="A15" s="67" t="inlineStr">
        <is>
          <t>Key Concepts Covered</t>
        </is>
      </c>
      <c r="B15" s="68" t="n"/>
      <c r="C15" s="68" t="n"/>
      <c r="D15" s="68" t="n"/>
      <c r="E15" s="68" t="n"/>
      <c r="F15" s="68" t="n"/>
      <c r="G15" s="68" t="n"/>
      <c r="I15" s="69" t="inlineStr">
        <is>
          <t>Excel Functions Used</t>
        </is>
      </c>
    </row>
    <row r="16" ht="311.5" customHeight="1">
      <c r="A16" s="77" t="inlineStr">
        <is>
          <t>Concept and purpose of a Paper LBO
Entry enterprise value and equity contribution
Simplified capital structure and leverage assumptions
Holding period and exit multiple logic
Enterprise value to equity value bridge at exit
Cash flow simplification and debt paydown assumptions
Equity proceeds at exit
Internal Rate of Return (IRR) as the primary decision metric
Limitations of Paper LBOs versus full LBO models</t>
        </is>
      </c>
      <c r="I16" s="70" t="inlineStr">
        <is>
          <t xml:space="preserve">Excel Functions Used
The following Excel functions are used accurately and completely in this workbook to support Paper LBO calculations and return estimation:
SUM – Aggregates sources, uses, and value components
IF – Applies conditional logic for simplified deal assumptions
IRR – Computes the internal rate of return to equity investors
NPV – Used in structured blocks for value consistency checks
ABS – Maintains disciplined sign conventions for equity cash flows
ROUND – Ensures numerical clarity and clean presentation
MAX / MIN – Applies logical bounds in valuation and leverage assumptions
PERCENTAGE CALCULATIONS – Used for leverage ratios, exit multiples, and ownership assumptions
The workbook emphasizes clarity of assumptions, correct cash-flow direction, and clean linkage between entry, exit, and equity returns.
</t>
        </is>
      </c>
    </row>
    <row r="17">
      <c r="A17" s="71" t="n"/>
    </row>
    <row r="18">
      <c r="A18" s="71" t="n"/>
      <c r="E18" s="78"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72" t="n"/>
    </row>
    <row r="19">
      <c r="A19" s="71" t="n"/>
    </row>
    <row r="20">
      <c r="A20" s="71" t="n"/>
      <c r="I20" s="72" t="n"/>
    </row>
    <row r="21">
      <c r="A21" s="71" t="n"/>
    </row>
    <row r="22">
      <c r="A22" s="71" t="n"/>
      <c r="I22" s="72" t="n"/>
    </row>
    <row r="23">
      <c r="A23" s="71" t="n"/>
    </row>
    <row r="24">
      <c r="A24" s="71" t="n"/>
      <c r="I24" s="72" t="n"/>
    </row>
    <row r="25">
      <c r="A25" s="71" t="n"/>
    </row>
    <row r="26">
      <c r="A26" s="71" t="n"/>
      <c r="I26" s="72" t="n"/>
    </row>
    <row r="27">
      <c r="A27" s="71" t="n"/>
    </row>
    <row r="28">
      <c r="A28" s="71" t="n"/>
      <c r="I28" s="72" t="n"/>
    </row>
    <row r="29">
      <c r="A29" s="71" t="n"/>
    </row>
    <row r="30">
      <c r="A30" s="71" t="n"/>
      <c r="I30" s="72" t="n"/>
    </row>
    <row r="31">
      <c r="A31" s="71" t="n"/>
      <c r="I31" s="71" t="n"/>
    </row>
    <row r="32">
      <c r="A32" s="71" t="n"/>
      <c r="I32" s="73" t="n"/>
    </row>
    <row r="33">
      <c r="A33" s="71"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57"/>
  <sheetViews>
    <sheetView showGridLines="0" topLeftCell="C4" zoomScale="115" zoomScaleNormal="115" workbookViewId="0">
      <selection activeCell="C28" sqref="C28"/>
    </sheetView>
  </sheetViews>
  <sheetFormatPr baseColWidth="8" defaultColWidth="9.1796875" defaultRowHeight="16.5"/>
  <cols>
    <col width="2" customWidth="1" style="3" min="1" max="1"/>
    <col width="58.1796875" customWidth="1" style="3" min="2" max="2"/>
    <col width="15.54296875" bestFit="1" customWidth="1" style="3" min="3" max="3"/>
    <col width="4.7265625" customWidth="1" style="3" min="4" max="4"/>
    <col width="50.36328125" customWidth="1" style="3" min="5" max="5"/>
    <col width="15.26953125" bestFit="1" customWidth="1" style="3" min="6" max="6"/>
    <col width="19" customWidth="1" style="3" min="7" max="7"/>
    <col width="10.453125" bestFit="1" customWidth="1" style="3" min="8" max="8"/>
    <col width="9.90625" bestFit="1" customWidth="1" style="3" min="9" max="11"/>
    <col width="9.1796875" customWidth="1" style="3" min="12" max="16384"/>
  </cols>
  <sheetData>
    <row r="1" ht="17" customFormat="1" customHeight="1" s="1">
      <c r="A1" s="1" t="inlineStr">
        <is>
          <t>a</t>
        </is>
      </c>
      <c r="B1" s="8" t="inlineStr">
        <is>
          <t>LBO MODEL</t>
        </is>
      </c>
      <c r="C1" s="9" t="n"/>
      <c r="D1" s="2" t="n"/>
      <c r="E1" s="15" t="inlineStr">
        <is>
          <t>Entry Value</t>
        </is>
      </c>
      <c r="F1" s="16" t="n"/>
      <c r="G1" s="2" t="n"/>
      <c r="H1" s="2" t="n"/>
      <c r="I1" s="2" t="n"/>
      <c r="J1" s="2" t="n"/>
      <c r="K1" s="2" t="n"/>
      <c r="L1" s="2" t="n"/>
      <c r="M1" s="2" t="n"/>
      <c r="N1" s="2" t="n"/>
      <c r="O1" s="2" t="n"/>
    </row>
    <row r="2">
      <c r="B2" s="10" t="n"/>
      <c r="C2" s="10" t="n"/>
      <c r="E2" s="17" t="n"/>
      <c r="F2" s="17" t="n"/>
    </row>
    <row r="3">
      <c r="B3" s="11" t="inlineStr">
        <is>
          <t>Target company's LTM sales ( ₹)</t>
        </is>
      </c>
      <c r="C3" s="12" t="n">
        <v>8000000</v>
      </c>
      <c r="D3" s="4" t="n"/>
      <c r="E3" s="18" t="inlineStr">
        <is>
          <t>LTM EBITDA ( ₹)</t>
        </is>
      </c>
      <c r="F3" s="19">
        <f>C3*C4</f>
        <v/>
      </c>
      <c r="G3" s="3">
        <f>_xlfn.FORMULATEXT(F3)</f>
        <v/>
      </c>
    </row>
    <row r="4">
      <c r="B4" s="11" t="inlineStr">
        <is>
          <t xml:space="preserve">Target company's LTM EBITDA margin </t>
        </is>
      </c>
      <c r="C4" s="60" t="n">
        <v>0.4</v>
      </c>
      <c r="D4" s="4" t="n"/>
      <c r="E4" s="18" t="inlineStr">
        <is>
          <t>Entry Enterprise Value ( ₹)</t>
        </is>
      </c>
      <c r="F4" s="19">
        <f>F3*C5</f>
        <v/>
      </c>
      <c r="G4" s="3">
        <f>_xlfn.FORMULATEXT(F4)</f>
        <v/>
      </c>
    </row>
    <row r="5">
      <c r="B5" s="11" t="inlineStr">
        <is>
          <t>Entry EBITDA multiple</t>
        </is>
      </c>
      <c r="C5" s="14">
        <f>4</f>
        <v/>
      </c>
      <c r="D5" s="4" t="n"/>
      <c r="E5" s="18" t="inlineStr">
        <is>
          <t>Entry Debt Balance Value ( ₹)</t>
        </is>
      </c>
      <c r="F5" s="19">
        <f>F4*C10</f>
        <v/>
      </c>
      <c r="G5" s="3">
        <f>_xlfn.FORMULATEXT(F5)</f>
        <v/>
      </c>
    </row>
    <row r="6">
      <c r="B6" s="11" t="inlineStr">
        <is>
          <t>Annual Sales growth - 5y projection</t>
        </is>
      </c>
      <c r="C6" s="13" t="n">
        <v>0.15</v>
      </c>
      <c r="D6" s="4" t="n"/>
      <c r="E6" s="18" t="inlineStr">
        <is>
          <t>Entry Equity Value ( ₹)</t>
        </is>
      </c>
      <c r="F6" s="19">
        <f>F4-F5</f>
        <v/>
      </c>
      <c r="G6" s="3">
        <f>_xlfn.FORMULATEXT(F6)</f>
        <v/>
      </c>
    </row>
    <row r="7">
      <c r="B7" s="11" t="inlineStr">
        <is>
          <t>EBITDA margin - 5y projection</t>
        </is>
      </c>
      <c r="C7" s="60" t="n">
        <v>0.35</v>
      </c>
      <c r="D7" s="4" t="n"/>
      <c r="E7" s="4" t="n"/>
    </row>
    <row r="8">
      <c r="B8" s="11" t="inlineStr">
        <is>
          <t>Corporate income tax rate - 5y projection</t>
        </is>
      </c>
      <c r="C8" s="13" t="n">
        <v>0.2</v>
      </c>
      <c r="D8" s="4" t="n"/>
      <c r="E8" s="4" t="n"/>
    </row>
    <row r="9" ht="17" customHeight="1">
      <c r="B9" s="11" t="inlineStr">
        <is>
          <t>Exit EBITDA multiple - exit after 5y</t>
        </is>
      </c>
      <c r="C9" s="14">
        <f>4</f>
        <v/>
      </c>
      <c r="D9" s="4" t="n"/>
      <c r="E9" s="20" t="inlineStr">
        <is>
          <t xml:space="preserve">Projected Income Statement for Five years </t>
        </is>
      </c>
      <c r="F9" s="21" t="n"/>
      <c r="G9" s="21" t="n"/>
      <c r="H9" s="21" t="n"/>
      <c r="I9" s="21" t="n"/>
      <c r="J9" s="21" t="n"/>
      <c r="K9" s="21" t="n"/>
    </row>
    <row r="10">
      <c r="B10" s="11" t="inlineStr">
        <is>
          <t>% of debt used for acquisition</t>
        </is>
      </c>
      <c r="C10" s="13" t="n">
        <v>0.25</v>
      </c>
      <c r="D10" s="4" t="n"/>
      <c r="E10" s="22" t="n"/>
      <c r="F10" s="22" t="n"/>
      <c r="G10" s="22" t="n"/>
      <c r="H10" s="22" t="n"/>
      <c r="I10" s="22" t="n"/>
      <c r="J10" s="22" t="n"/>
      <c r="K10" s="22" t="n"/>
    </row>
    <row r="11" ht="17" customHeight="1" thickBot="1">
      <c r="B11" s="11" t="inlineStr">
        <is>
          <t>D&amp;A as % of sales - 5y projection</t>
        </is>
      </c>
      <c r="C11" s="13">
        <f>10%</f>
        <v/>
      </c>
      <c r="D11" s="4" t="n"/>
      <c r="E11" s="23" t="inlineStr">
        <is>
          <t>Profit and Loss Statement( ₹)</t>
        </is>
      </c>
      <c r="F11" s="24" t="inlineStr">
        <is>
          <t>LTM</t>
        </is>
      </c>
      <c r="G11" s="24" t="n">
        <v>2026</v>
      </c>
      <c r="H11" s="24">
        <f>G11+1</f>
        <v/>
      </c>
      <c r="I11" s="24">
        <f>H11+1</f>
        <v/>
      </c>
      <c r="J11" s="24">
        <f>I11+1</f>
        <v/>
      </c>
      <c r="K11" s="24">
        <f>J11+1</f>
        <v/>
      </c>
    </row>
    <row r="12" ht="17" customHeight="1" thickBot="1">
      <c r="B12" s="11" t="inlineStr">
        <is>
          <t>CAPEX as % of sales - 5y projection</t>
        </is>
      </c>
      <c r="C12" s="13" t="n">
        <v>0.15</v>
      </c>
      <c r="D12" s="4" t="n"/>
      <c r="E12" s="25" t="n"/>
      <c r="F12" s="26" t="n">
        <v>0</v>
      </c>
      <c r="G12" s="26">
        <f>F12+1</f>
        <v/>
      </c>
      <c r="H12" s="26">
        <f>G12+1</f>
        <v/>
      </c>
      <c r="I12" s="26">
        <f>H12+1</f>
        <v/>
      </c>
      <c r="J12" s="26">
        <f>I12+1</f>
        <v/>
      </c>
      <c r="K12" s="26">
        <f>J12+1</f>
        <v/>
      </c>
    </row>
    <row r="13">
      <c r="B13" s="11" t="inlineStr">
        <is>
          <t>NWC investments as % of sales - 5y projection</t>
        </is>
      </c>
      <c r="C13" s="13" t="n">
        <v>0.1</v>
      </c>
      <c r="D13" s="4" t="n"/>
      <c r="E13" s="27" t="inlineStr">
        <is>
          <t>Sales</t>
        </is>
      </c>
      <c r="F13" s="28">
        <f>C3</f>
        <v/>
      </c>
      <c r="G13" s="29">
        <f>F13*(1+$C$6)</f>
        <v/>
      </c>
      <c r="H13" s="29">
        <f>G13*(1+$C$6)</f>
        <v/>
      </c>
      <c r="I13" s="29">
        <f>H13*(1+$C$6)</f>
        <v/>
      </c>
      <c r="J13" s="29">
        <f>I13*(1+$C$6)</f>
        <v/>
      </c>
      <c r="K13" s="29">
        <f>J13*(1+$C$6)</f>
        <v/>
      </c>
    </row>
    <row r="14">
      <c r="B14" s="11" t="inlineStr">
        <is>
          <t>Interest rate - 5y projection</t>
        </is>
      </c>
      <c r="C14" s="13" t="n">
        <v>0.12</v>
      </c>
      <c r="D14" s="4" t="n"/>
      <c r="E14" s="27" t="inlineStr">
        <is>
          <t>EBITDA</t>
        </is>
      </c>
      <c r="F14" s="30">
        <f>F13*C4</f>
        <v/>
      </c>
      <c r="G14" s="31">
        <f>G13*$C$7</f>
        <v/>
      </c>
      <c r="H14" s="31">
        <f>H13*$C$7</f>
        <v/>
      </c>
      <c r="I14" s="31">
        <f>I13*$C$7</f>
        <v/>
      </c>
      <c r="J14" s="31">
        <f>J13*$C$7</f>
        <v/>
      </c>
      <c r="K14" s="31">
        <f>K13*$C$7</f>
        <v/>
      </c>
    </row>
    <row r="15">
      <c r="B15" s="4" t="n"/>
      <c r="C15" s="4" t="n"/>
      <c r="D15" s="4" t="n"/>
      <c r="E15" s="27" t="inlineStr">
        <is>
          <t>D&amp;A</t>
        </is>
      </c>
      <c r="F15" s="32" t="n"/>
      <c r="G15" s="31">
        <f>G13*$C$11</f>
        <v/>
      </c>
      <c r="H15" s="31">
        <f>H13*$C$11</f>
        <v/>
      </c>
      <c r="I15" s="31">
        <f>I13*$C$11</f>
        <v/>
      </c>
      <c r="J15" s="31">
        <f>J13*$C$11</f>
        <v/>
      </c>
      <c r="K15" s="31">
        <f>K13*$C$11</f>
        <v/>
      </c>
    </row>
    <row r="16" ht="17" customFormat="1" customHeight="1" s="1">
      <c r="D16" s="2" t="n"/>
      <c r="E16" s="27" t="inlineStr">
        <is>
          <t>EBIT</t>
        </is>
      </c>
      <c r="F16" s="32" t="n"/>
      <c r="G16" s="31">
        <f>G14-G15</f>
        <v/>
      </c>
      <c r="H16" s="31">
        <f>H14-H15</f>
        <v/>
      </c>
      <c r="I16" s="31">
        <f>I14-I15</f>
        <v/>
      </c>
      <c r="J16" s="31">
        <f>J14-J15</f>
        <v/>
      </c>
      <c r="K16" s="31">
        <f>K14-K15</f>
        <v/>
      </c>
      <c r="L16" s="2" t="n"/>
      <c r="M16" s="2" t="n"/>
      <c r="N16" s="2" t="n"/>
      <c r="O16" s="2" t="n"/>
    </row>
    <row r="17" ht="17" customHeight="1">
      <c r="B17" s="51" t="inlineStr">
        <is>
          <t>Exit Value  after 2030</t>
        </is>
      </c>
      <c r="C17" s="52" t="n"/>
      <c r="E17" s="27" t="inlineStr">
        <is>
          <t>Interest expenses</t>
        </is>
      </c>
      <c r="F17" s="32" t="n"/>
      <c r="G17" s="33">
        <f>$C$14*$F$5</f>
        <v/>
      </c>
      <c r="H17" s="33">
        <f>$C$14*$F$5</f>
        <v/>
      </c>
      <c r="I17" s="33">
        <f>$C$14*$F$5</f>
        <v/>
      </c>
      <c r="J17" s="33">
        <f>$C$14*$F$5</f>
        <v/>
      </c>
      <c r="K17" s="33">
        <f>$C$14*$F$5</f>
        <v/>
      </c>
    </row>
    <row r="18">
      <c r="A18" s="5" t="n"/>
      <c r="B18" s="53" t="n"/>
      <c r="C18" s="53" t="n"/>
      <c r="D18" s="4" t="n"/>
      <c r="E18" s="27" t="inlineStr">
        <is>
          <t>EBT</t>
        </is>
      </c>
      <c r="F18" s="32" t="n"/>
      <c r="G18" s="33">
        <f>G16-G17</f>
        <v/>
      </c>
      <c r="H18" s="33">
        <f>H16-H17</f>
        <v/>
      </c>
      <c r="I18" s="33">
        <f>I16-I17</f>
        <v/>
      </c>
      <c r="J18" s="33">
        <f>J16-J17</f>
        <v/>
      </c>
      <c r="K18" s="33">
        <f>K16-K17</f>
        <v/>
      </c>
    </row>
    <row r="19">
      <c r="B19" s="54" t="inlineStr">
        <is>
          <t>EBITDA - year 5 ( ₹)</t>
        </is>
      </c>
      <c r="C19" s="58">
        <f>K14</f>
        <v/>
      </c>
      <c r="D19" s="4" t="n"/>
      <c r="E19" s="27" t="inlineStr">
        <is>
          <t xml:space="preserve">Income tax </t>
        </is>
      </c>
      <c r="F19" s="32" t="n"/>
      <c r="G19" s="33">
        <f>G18*$C$8</f>
        <v/>
      </c>
      <c r="H19" s="33">
        <f>H18*$C$8</f>
        <v/>
      </c>
      <c r="I19" s="33">
        <f>I18*$C$8</f>
        <v/>
      </c>
      <c r="J19" s="33">
        <f>J18*$C$8</f>
        <v/>
      </c>
      <c r="K19" s="33">
        <f>K18*$C$8</f>
        <v/>
      </c>
    </row>
    <row r="20">
      <c r="B20" s="54" t="inlineStr">
        <is>
          <t>Exit Enterprise Value ( ₹)</t>
        </is>
      </c>
      <c r="C20" s="58">
        <f>C19*C9</f>
        <v/>
      </c>
      <c r="D20" s="4" t="n"/>
      <c r="E20" s="25" t="inlineStr">
        <is>
          <t>Net Income</t>
        </is>
      </c>
      <c r="F20" s="34" t="n"/>
      <c r="G20" s="35">
        <f>G18-G19</f>
        <v/>
      </c>
      <c r="H20" s="35">
        <f>H18-H19</f>
        <v/>
      </c>
      <c r="I20" s="35">
        <f>I18-I19</f>
        <v/>
      </c>
      <c r="J20" s="35">
        <f>J18-J19</f>
        <v/>
      </c>
      <c r="K20" s="35">
        <f>K18-K19</f>
        <v/>
      </c>
    </row>
    <row r="21">
      <c r="B21" s="54" t="inlineStr">
        <is>
          <t>Exit Debt Balance Value ( ₹)</t>
        </is>
      </c>
      <c r="C21" s="58">
        <f>F5</f>
        <v/>
      </c>
      <c r="D21" s="4" t="n"/>
    </row>
    <row r="22" ht="17" customHeight="1">
      <c r="B22" s="54" t="inlineStr">
        <is>
          <t>Cumulative Free Cash Flow ( ₹)</t>
        </is>
      </c>
      <c r="C22" s="58">
        <f>K32</f>
        <v/>
      </c>
      <c r="E22" s="36" t="inlineStr">
        <is>
          <t xml:space="preserve">Cash Flow Estimation </t>
        </is>
      </c>
      <c r="F22" s="37" t="n"/>
      <c r="G22" s="37" t="n"/>
      <c r="H22" s="37" t="n"/>
      <c r="I22" s="37" t="n"/>
      <c r="J22" s="37" t="n"/>
      <c r="K22" s="37" t="n"/>
    </row>
    <row r="23" ht="17" customFormat="1" customHeight="1" s="1">
      <c r="B23" s="54" t="inlineStr">
        <is>
          <t>Exit Equity Value ( ₹)</t>
        </is>
      </c>
      <c r="C23" s="58">
        <f>C20-C21+C22</f>
        <v/>
      </c>
      <c r="E23" s="38" t="n"/>
      <c r="F23" s="38" t="n"/>
      <c r="G23" s="38" t="n"/>
      <c r="H23" s="38" t="n"/>
      <c r="I23" s="38" t="n"/>
      <c r="J23" s="38" t="n"/>
      <c r="K23" s="38" t="n"/>
      <c r="L23" s="2" t="n"/>
      <c r="M23" s="2" t="n"/>
      <c r="N23" s="2" t="n"/>
      <c r="O23" s="2" t="n"/>
    </row>
    <row r="24" ht="17" customHeight="1" thickBot="1">
      <c r="B24" s="53" t="n"/>
      <c r="C24" s="53" t="n"/>
      <c r="E24" s="39" t="inlineStr">
        <is>
          <t>Cash Flow Estimation  ( ₹)</t>
        </is>
      </c>
      <c r="F24" s="40" t="inlineStr">
        <is>
          <t>LTM</t>
        </is>
      </c>
      <c r="G24" s="40" t="n">
        <v>2026</v>
      </c>
      <c r="H24" s="40">
        <f>G24+1</f>
        <v/>
      </c>
      <c r="I24" s="40">
        <f>H24+1</f>
        <v/>
      </c>
      <c r="J24" s="40">
        <f>I24+1</f>
        <v/>
      </c>
      <c r="K24" s="40">
        <f>J24+1</f>
        <v/>
      </c>
    </row>
    <row r="25" ht="17" customHeight="1">
      <c r="B25" s="51" t="inlineStr">
        <is>
          <t>Rate of Return</t>
        </is>
      </c>
      <c r="C25" s="52" t="n"/>
      <c r="E25" s="41" t="n"/>
      <c r="F25" s="42" t="n">
        <v>0</v>
      </c>
      <c r="G25" s="42">
        <f>F25+1</f>
        <v/>
      </c>
      <c r="H25" s="42">
        <f>G25+1</f>
        <v/>
      </c>
      <c r="I25" s="42">
        <f>H25+1</f>
        <v/>
      </c>
      <c r="J25" s="42">
        <f>I25+1</f>
        <v/>
      </c>
      <c r="K25" s="42">
        <f>J25+1</f>
        <v/>
      </c>
    </row>
    <row r="26">
      <c r="B26" s="53" t="n"/>
      <c r="C26" s="53" t="n"/>
      <c r="E26" s="43" t="inlineStr">
        <is>
          <t>EBITDA</t>
        </is>
      </c>
      <c r="F26" s="44" t="n"/>
      <c r="G26" s="45">
        <f>G14</f>
        <v/>
      </c>
      <c r="H26" s="45">
        <f>H14</f>
        <v/>
      </c>
      <c r="I26" s="45">
        <f>I14</f>
        <v/>
      </c>
      <c r="J26" s="45">
        <f>J14</f>
        <v/>
      </c>
      <c r="K26" s="45">
        <f>K14</f>
        <v/>
      </c>
    </row>
    <row r="27">
      <c r="B27" s="55" t="inlineStr">
        <is>
          <t>MOIC - Multiple on Invested Capital (Equity)</t>
        </is>
      </c>
      <c r="C27" s="59">
        <f>C23/F6</f>
        <v/>
      </c>
      <c r="E27" s="43" t="inlineStr">
        <is>
          <t>Interest expenses</t>
        </is>
      </c>
      <c r="F27" s="46" t="n"/>
      <c r="G27" s="47">
        <f>G17</f>
        <v/>
      </c>
      <c r="H27" s="47">
        <f>H17</f>
        <v/>
      </c>
      <c r="I27" s="47">
        <f>I17</f>
        <v/>
      </c>
      <c r="J27" s="47">
        <f>J17</f>
        <v/>
      </c>
      <c r="K27" s="47">
        <f>K17</f>
        <v/>
      </c>
    </row>
    <row r="28">
      <c r="B28" s="55" t="inlineStr">
        <is>
          <t>IRR - Internal Rate of Return</t>
        </is>
      </c>
      <c r="C28" s="56" t="n"/>
      <c r="E28" s="43" t="inlineStr">
        <is>
          <t>Income tax</t>
        </is>
      </c>
      <c r="F28" s="48" t="n"/>
      <c r="G28" s="47">
        <f>G19</f>
        <v/>
      </c>
      <c r="H28" s="47">
        <f>H19</f>
        <v/>
      </c>
      <c r="I28" s="47">
        <f>I19</f>
        <v/>
      </c>
      <c r="J28" s="47">
        <f>J19</f>
        <v/>
      </c>
      <c r="K28" s="47">
        <f>K19</f>
        <v/>
      </c>
    </row>
    <row r="29">
      <c r="B29" s="57" t="inlineStr">
        <is>
          <t>The Rule of 72 IRR - applicable only if your MOIC is close to 2!!!</t>
        </is>
      </c>
      <c r="C29" s="56" t="n"/>
      <c r="E29" s="43" t="inlineStr">
        <is>
          <t>CAPEX</t>
        </is>
      </c>
      <c r="F29" s="48" t="n"/>
      <c r="G29" s="47">
        <f>G13*$C$12</f>
        <v/>
      </c>
      <c r="H29" s="47">
        <f>H13*$C$12</f>
        <v/>
      </c>
      <c r="I29" s="47">
        <f>I13*$C$12</f>
        <v/>
      </c>
      <c r="J29" s="47">
        <f>J13*$C$12</f>
        <v/>
      </c>
      <c r="K29" s="47">
        <f>K13*$C$12</f>
        <v/>
      </c>
    </row>
    <row r="30">
      <c r="B30" s="57" t="inlineStr">
        <is>
          <t>The Rule of 114 IRR - applicable only if your MOIC is close to 3!!!</t>
        </is>
      </c>
      <c r="C30" s="56" t="n"/>
      <c r="E30" s="43" t="inlineStr">
        <is>
          <t>NWC</t>
        </is>
      </c>
      <c r="F30" s="48" t="n"/>
      <c r="G30" s="47">
        <f>G13*$C$13</f>
        <v/>
      </c>
      <c r="H30" s="47">
        <f>H13*$C$13</f>
        <v/>
      </c>
      <c r="I30" s="47">
        <f>I13*$C$13</f>
        <v/>
      </c>
      <c r="J30" s="47">
        <f>J13*$C$13</f>
        <v/>
      </c>
      <c r="K30" s="47">
        <f>K13*$C$13</f>
        <v/>
      </c>
    </row>
    <row r="31">
      <c r="B31" s="57" t="inlineStr">
        <is>
          <t>The Rule of 144 IRR - applicable only if your MOIC is close to 4!!!</t>
        </is>
      </c>
      <c r="C31" s="56" t="n"/>
      <c r="E31" s="43" t="inlineStr">
        <is>
          <t>Free Cash Flow</t>
        </is>
      </c>
      <c r="F31" s="48" t="n"/>
      <c r="G31" s="47">
        <f>G26-G27-G28-G29-G30</f>
        <v/>
      </c>
      <c r="H31" s="47">
        <f>H26-H27-H28-H29-H30</f>
        <v/>
      </c>
      <c r="I31" s="47">
        <f>I26-I27-I28-I29-I30</f>
        <v/>
      </c>
      <c r="J31" s="47">
        <f>J26-J27-J28-J29-J30</f>
        <v/>
      </c>
      <c r="K31" s="47">
        <f>K26-K27-K28-K29-K30</f>
        <v/>
      </c>
    </row>
    <row r="32">
      <c r="E32" s="41" t="inlineStr">
        <is>
          <t>Cumulative Free Cash Flow</t>
        </is>
      </c>
      <c r="F32" s="49" t="n"/>
      <c r="G32" s="50" t="n"/>
      <c r="H32" s="50">
        <f>G31+H31</f>
        <v/>
      </c>
      <c r="I32" s="50">
        <f>H32+I31</f>
        <v/>
      </c>
      <c r="J32" s="50">
        <f>I32+J31</f>
        <v/>
      </c>
      <c r="K32" s="61">
        <f>J32+K31</f>
        <v/>
      </c>
    </row>
    <row r="33"/>
    <row r="34"/>
    <row r="35">
      <c r="B35" s="6" t="n"/>
      <c r="C35" s="7" t="n"/>
      <c r="D35" s="7" t="n"/>
      <c r="E35" s="7" t="n"/>
      <c r="F35" s="7" t="n"/>
      <c r="G35" s="7" t="n"/>
      <c r="H35" s="7" t="n"/>
    </row>
    <row r="36" ht="17" customFormat="1" customHeight="1" s="1">
      <c r="I36" s="2" t="n"/>
      <c r="J36" s="2" t="n"/>
      <c r="K36" s="2" t="n"/>
      <c r="L36" s="2" t="n"/>
      <c r="M36" s="2" t="n"/>
      <c r="N36" s="2" t="n"/>
      <c r="O36" s="2" t="n"/>
    </row>
    <row r="37"/>
    <row r="38"/>
    <row r="39"/>
    <row r="40"/>
    <row r="41"/>
    <row r="42"/>
    <row r="43"/>
    <row r="44"/>
    <row r="45"/>
    <row r="46"/>
    <row r="47"/>
    <row r="48"/>
    <row r="49" ht="17" customFormat="1" customHeight="1" s="1">
      <c r="D49" s="2" t="n"/>
      <c r="E49" s="2" t="n"/>
      <c r="F49" s="2" t="n"/>
      <c r="G49" s="2" t="n"/>
      <c r="H49" s="2" t="n"/>
      <c r="I49" s="2" t="n"/>
      <c r="J49" s="2" t="n"/>
      <c r="K49" s="2" t="n"/>
      <c r="L49" s="2" t="n"/>
      <c r="M49" s="2" t="n"/>
      <c r="N49" s="2" t="n"/>
      <c r="O49" s="2" t="n"/>
    </row>
    <row r="50"/>
    <row r="51"/>
    <row r="52"/>
    <row r="53"/>
    <row r="54"/>
    <row r="55"/>
    <row r="56"/>
    <row r="57" ht="17" customFormat="1" customHeight="1" s="1">
      <c r="D57" s="2" t="n"/>
      <c r="E57" s="2" t="n"/>
      <c r="F57" s="2" t="n"/>
      <c r="G57" s="2" t="n"/>
      <c r="H57" s="2" t="n"/>
      <c r="I57" s="2" t="n"/>
      <c r="J57" s="2" t="n"/>
      <c r="K57" s="2" t="n"/>
      <c r="L57" s="2" t="n"/>
      <c r="M57" s="2" t="n"/>
      <c r="N57" s="2" t="n"/>
      <c r="O57" s="2" t="n"/>
    </row>
  </sheetData>
  <sheetProtection selectLockedCells="0" selectUnlockedCells="0" sheet="1" objects="1" insertRows="0" insertHyperlinks="1" autoFilter="0" scenarios="1" formatColumns="0" deleteColumns="0" insertColumns="0" pivotTables="0" deleteRows="0" formatCells="0" formatRows="0" sort="0" password="AE3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2023-08-23T07:55:43Z</dcterms:created>
  <dcterms:modified xmlns:dcterms="http://purl.org/dc/terms/" xmlns:xsi="http://www.w3.org/2001/XMLSchema-instance" xsi:type="dcterms:W3CDTF">2026-01-02T06:53:58Z</dcterms:modified>
  <cp:lastModifiedBy>srikanthyadav444p</cp:lastModifiedBy>
</cp:coreProperties>
</file>