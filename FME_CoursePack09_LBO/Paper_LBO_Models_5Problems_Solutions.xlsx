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P1_FMCG" sheetId="2" state="visible" r:id="rId2"/>
    <sheet xmlns:r="http://schemas.openxmlformats.org/officeDocument/2006/relationships" name="P2_IT_Services" sheetId="3" state="visible" r:id="rId3"/>
    <sheet xmlns:r="http://schemas.openxmlformats.org/officeDocument/2006/relationships" name="P3_Pharma" sheetId="4" state="visible" r:id="rId4"/>
    <sheet xmlns:r="http://schemas.openxmlformats.org/officeDocument/2006/relationships" name="P4_Auto_Components" sheetId="5" state="visible" r:id="rId5"/>
    <sheet xmlns:r="http://schemas.openxmlformats.org/officeDocument/2006/relationships" name="P5_Hospitals" sheetId="6" state="visible" r:id="rId6"/>
  </sheets>
  <definedNames/>
  <calcPr calcId="191029" fullCalcOnLoad="1"/>
</workbook>
</file>

<file path=xl/styles.xml><?xml version="1.0" encoding="utf-8"?>
<styleSheet xmlns="http://schemas.openxmlformats.org/spreadsheetml/2006/main">
  <numFmts count="5">
    <numFmt numFmtId="164" formatCode="\₹\ ###,##0"/>
    <numFmt numFmtId="165" formatCode="0.0%"/>
    <numFmt numFmtId="166" formatCode="0.0&quot;×&quot;"/>
    <numFmt numFmtId="167" formatCode="0.00&quot; Times&quot;"/>
    <numFmt numFmtId="168" formatCode="0.0"/>
  </numFmts>
  <fonts count="16">
    <font>
      <name val="Calibri"/>
      <family val="2"/>
      <color theme="1"/>
      <sz val="11"/>
      <scheme val="minor"/>
    </font>
    <font>
      <name val="Calibri"/>
      <family val="2"/>
      <b val="1"/>
      <color rgb="FFFFFFFF"/>
      <sz val="14"/>
    </font>
    <font>
      <name val="Calibri"/>
      <family val="2"/>
      <b val="1"/>
      <sz val="11"/>
    </font>
    <font>
      <name val="Calibri"/>
      <family val="2"/>
      <b val="1"/>
      <sz val="11"/>
    </font>
    <font>
      <name val="Calibri"/>
      <family val="2"/>
      <sz val="10"/>
    </font>
    <font>
      <name val="Calibri"/>
      <family val="2"/>
      <b val="1"/>
      <sz val="10"/>
    </font>
    <font>
      <name val="Calibri"/>
      <family val="2"/>
      <b val="1"/>
      <sz val="12"/>
    </font>
    <font>
      <name val="Calibri"/>
      <family val="2"/>
      <color rgb="FF555555"/>
      <sz val="9"/>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
      <name val="Cambria"/>
      <family val="1"/>
      <i val="1"/>
      <color theme="9" tint="-0.249977111117893"/>
      <sz val="11"/>
      <scheme val="major"/>
    </font>
  </fonts>
  <fills count="15">
    <fill>
      <patternFill/>
    </fill>
    <fill>
      <patternFill patternType="gray125"/>
    </fill>
    <fill>
      <patternFill patternType="solid">
        <fgColor rgb="FF1F4E79"/>
      </patternFill>
    </fill>
    <fill>
      <patternFill patternType="solid">
        <fgColor rgb="FFFFF2CC"/>
      </patternFill>
    </fill>
    <fill>
      <patternFill patternType="solid">
        <fgColor rgb="FFFFF7DD"/>
      </patternFill>
    </fill>
    <fill>
      <patternFill patternType="solid">
        <fgColor rgb="FFF2F2F2"/>
      </patternFill>
    </fill>
    <fill>
      <patternFill patternType="solid">
        <fgColor rgb="FFE2F0D9"/>
      </patternFill>
    </fill>
    <fill>
      <patternFill patternType="solid">
        <fgColor rgb="FFFBE5D6"/>
      </patternFill>
    </fill>
    <fill>
      <patternFill patternType="solid">
        <fgColor rgb="FFFCE4D6"/>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8" tint="0.3999755851924192"/>
        <bgColor indexed="64"/>
      </patternFill>
    </fill>
  </fills>
  <borders count="6">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2">
    <xf numFmtId="0" fontId="8" fillId="0" borderId="0"/>
    <xf numFmtId="0" fontId="8" fillId="0" borderId="0"/>
  </cellStyleXfs>
  <cellXfs count="51">
    <xf numFmtId="0" fontId="0" fillId="0" borderId="0" pivotButton="0" quotePrefix="0" xfId="0"/>
    <xf numFmtId="0" fontId="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4" fillId="4" borderId="1" applyAlignment="1" pivotButton="0" quotePrefix="0" xfId="0">
      <alignment horizontal="left" vertical="center" wrapText="1"/>
    </xf>
    <xf numFmtId="164" fontId="4" fillId="3" borderId="1" applyAlignment="1" pivotButton="0" quotePrefix="0" xfId="0">
      <alignment horizontal="right" vertical="center"/>
    </xf>
    <xf numFmtId="0" fontId="4" fillId="4" borderId="1" applyAlignment="1" pivotButton="0" quotePrefix="0" xfId="0">
      <alignment horizontal="center" vertical="center" wrapText="1"/>
    </xf>
    <xf numFmtId="165" fontId="4" fillId="3" borderId="1" applyAlignment="1" pivotButton="0" quotePrefix="0" xfId="0">
      <alignment horizontal="right" vertical="center"/>
    </xf>
    <xf numFmtId="0" fontId="4" fillId="6" borderId="1" applyAlignment="1" pivotButton="0" quotePrefix="0" xfId="0">
      <alignment horizontal="left" vertical="center" wrapText="1"/>
    </xf>
    <xf numFmtId="164" fontId="4" fillId="6" borderId="1" applyAlignment="1" pivotButton="0" quotePrefix="0" xfId="0">
      <alignment horizontal="right" vertical="center"/>
    </xf>
    <xf numFmtId="166" fontId="4" fillId="3" borderId="1" applyAlignment="1" pivotButton="0" quotePrefix="0" xfId="0">
      <alignment horizontal="right" vertical="center"/>
    </xf>
    <xf numFmtId="167" fontId="4" fillId="7" borderId="1" applyAlignment="1" pivotButton="0" quotePrefix="0" xfId="0">
      <alignment horizontal="right" vertical="center"/>
    </xf>
    <xf numFmtId="0" fontId="7" fillId="7" borderId="1" applyAlignment="1" pivotButton="0" quotePrefix="0" xfId="0">
      <alignment horizontal="left" vertical="center" wrapText="1"/>
    </xf>
    <xf numFmtId="10" fontId="4" fillId="7" borderId="1" applyAlignment="1" pivotButton="0" quotePrefix="0" xfId="0">
      <alignment horizontal="right" vertical="center"/>
    </xf>
    <xf numFmtId="168" fontId="4" fillId="7" borderId="1" applyAlignment="1" pivotButton="0" quotePrefix="0" xfId="0">
      <alignment horizontal="right" vertical="center"/>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4" fillId="5" borderId="1" applyAlignment="1" pivotButton="0" quotePrefix="0" xfId="0">
      <alignment horizontal="left" vertical="center" wrapText="1"/>
    </xf>
    <xf numFmtId="164" fontId="4" fillId="5" borderId="1" applyAlignment="1" pivotButton="0" quotePrefix="0" xfId="0">
      <alignment horizontal="right" vertical="center"/>
    </xf>
    <xf numFmtId="0" fontId="5"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6" borderId="1" applyAlignment="1" pivotButton="0" quotePrefix="0" xfId="0">
      <alignment horizontal="center" vertical="center" wrapText="1"/>
    </xf>
    <xf numFmtId="0" fontId="4" fillId="8" borderId="1" applyAlignment="1" pivotButton="0" quotePrefix="0" xfId="0">
      <alignment horizontal="left" vertical="center" wrapText="1"/>
    </xf>
    <xf numFmtId="164" fontId="4" fillId="8" borderId="1" applyAlignment="1" pivotButton="0" quotePrefix="0" xfId="0">
      <alignment horizontal="right" vertical="center"/>
    </xf>
    <xf numFmtId="0" fontId="4" fillId="8" borderId="1" applyAlignment="1" pivotButton="0" quotePrefix="0" xfId="0">
      <alignment horizontal="center" vertical="center" wrapText="1"/>
    </xf>
    <xf numFmtId="0" fontId="10" fillId="0" borderId="0" applyAlignment="1" pivotButton="0" quotePrefix="0" xfId="1">
      <alignment vertical="center"/>
    </xf>
    <xf numFmtId="0" fontId="8" fillId="0" borderId="0" pivotButton="0" quotePrefix="0" xfId="1"/>
    <xf numFmtId="0" fontId="11" fillId="0" borderId="0" applyAlignment="1" pivotButton="0" quotePrefix="0" xfId="1">
      <alignment vertical="center"/>
    </xf>
    <xf numFmtId="0" fontId="12" fillId="0" borderId="0" pivotButton="0" quotePrefix="0" xfId="1"/>
    <xf numFmtId="0" fontId="13" fillId="0" borderId="0" applyAlignment="1" pivotButton="0" quotePrefix="0" xfId="1">
      <alignment vertical="center"/>
    </xf>
    <xf numFmtId="0" fontId="14" fillId="10" borderId="0" applyAlignment="1" pivotButton="0" quotePrefix="0" xfId="1">
      <alignment vertical="center"/>
    </xf>
    <xf numFmtId="0" fontId="8" fillId="10" borderId="0" pivotButton="0" quotePrefix="0" xfId="1"/>
    <xf numFmtId="0" fontId="14" fillId="11" borderId="0" applyAlignment="1" pivotButton="0" quotePrefix="0" xfId="1">
      <alignment vertical="center"/>
    </xf>
    <xf numFmtId="0" fontId="9" fillId="12" borderId="0" applyAlignment="1" pivotButton="0" quotePrefix="0" xfId="1">
      <alignment vertical="top" wrapText="1"/>
    </xf>
    <xf numFmtId="0" fontId="8" fillId="0" borderId="0" applyAlignment="1" pivotButton="0" quotePrefix="0" xfId="1">
      <alignment horizontal="left" vertical="center" indent="1"/>
    </xf>
    <xf numFmtId="0" fontId="9" fillId="0" borderId="0" pivotButton="0" quotePrefix="0" xfId="1"/>
    <xf numFmtId="0" fontId="9" fillId="0" borderId="0" applyAlignment="1" pivotButton="0" quotePrefix="0" xfId="1">
      <alignment horizontal="left" vertical="center" indent="1"/>
    </xf>
    <xf numFmtId="0" fontId="14" fillId="14" borderId="0" applyAlignment="1" pivotButton="0" quotePrefix="0" xfId="0">
      <alignment vertical="center"/>
    </xf>
    <xf numFmtId="0" fontId="15" fillId="0" borderId="0" applyAlignment="1" pivotButton="0" quotePrefix="0" xfId="0">
      <alignment wrapText="1"/>
    </xf>
    <xf numFmtId="0" fontId="8" fillId="9" borderId="0" applyAlignment="1" pivotButton="0" quotePrefix="0" xfId="1">
      <alignment horizontal="justify" vertical="justify" wrapText="1"/>
    </xf>
    <xf numFmtId="0" fontId="8" fillId="9" borderId="0" applyAlignment="1" pivotButton="0" quotePrefix="0" xfId="1">
      <alignment horizontal="left" vertical="top" wrapText="1"/>
    </xf>
    <xf numFmtId="0" fontId="8" fillId="13" borderId="0" applyAlignment="1" pivotButton="0" quotePrefix="0" xfId="1">
      <alignment horizontal="justify" vertical="justify" wrapText="1"/>
    </xf>
    <xf numFmtId="0" fontId="1"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3" borderId="1" applyAlignment="1" pivotButton="0" quotePrefix="0" xfId="0">
      <alignment horizontal="left" vertical="center" wrapText="1"/>
    </xf>
    <xf numFmtId="0" fontId="4" fillId="7" borderId="1" applyAlignment="1" pivotButton="0" quotePrefix="0" xfId="0">
      <alignment horizontal="left" vertical="center" wrapText="1"/>
    </xf>
    <xf numFmtId="0" fontId="3" fillId="5" borderId="1" applyAlignment="1" pivotButton="0" quotePrefix="0" xfId="0">
      <alignment horizontal="left" vertical="center" wrapText="1"/>
    </xf>
    <xf numFmtId="0" fontId="6" fillId="7" borderId="1" applyAlignment="1" pivotButton="0" quotePrefix="0" xfId="0">
      <alignment horizontal="left" vertical="center" wrapText="1"/>
    </xf>
    <xf numFmtId="0" fontId="3" fillId="6" borderId="1" applyAlignment="1" pivotButton="0" quotePrefix="0" xfId="0">
      <alignment horizontal="left" vertical="center" wrapText="1"/>
    </xf>
    <xf numFmtId="0" fontId="0" fillId="0" borderId="4" pivotButton="0" quotePrefix="0" xfId="0"/>
    <xf numFmtId="0" fontId="0" fillId="0" borderId="5" pivotButton="0" quotePrefix="0" xfId="0"/>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G5" sqref="G5"/>
    </sheetView>
  </sheetViews>
  <sheetFormatPr baseColWidth="8" defaultRowHeight="14.5"/>
  <cols>
    <col width="8.7265625" customWidth="1" style="25" min="1" max="6"/>
    <col width="13.90625" customWidth="1" style="25" min="7" max="7"/>
    <col width="5.6328125" customWidth="1" style="25" min="8" max="8"/>
    <col width="71.6328125" customWidth="1" style="25" min="9" max="9"/>
    <col width="7.1796875" customWidth="1" style="25" min="10" max="10"/>
    <col width="8.7265625" customWidth="1" style="25" min="11" max="16384"/>
  </cols>
  <sheetData>
    <row r="1" ht="31" customHeight="1">
      <c r="A1" s="24" t="inlineStr">
        <is>
          <t>FINANCIAL MODELING USING EXCEL</t>
        </is>
      </c>
    </row>
    <row r="2"/>
    <row r="3" ht="23.5" customHeight="1">
      <c r="A3" s="26" t="inlineStr">
        <is>
          <t>Paper Leveraged Buyout (LBO) – Multiple Problems Workbook Using Excel</t>
        </is>
      </c>
    </row>
    <row r="4"/>
    <row r="5" ht="23.5" customHeight="1">
      <c r="A5" s="27" t="inlineStr">
        <is>
          <t>High-Level LBO Feasibility Analysis and Equity Return Screening</t>
        </is>
      </c>
      <c r="I5" s="36" t="inlineStr">
        <is>
          <t>Learning Philosophy</t>
        </is>
      </c>
    </row>
    <row r="6"/>
    <row r="7" ht="28.5" customHeight="1">
      <c r="A7" s="28" t="inlineStr">
        <is>
          <t>Workbook Purpose</t>
        </is>
      </c>
      <c r="I7" s="37" t="inlineStr">
        <is>
          <t>Paper LBO mastery is built through repetition—quickly translating deal assumptions into disciplined equity return expectations.</t>
        </is>
      </c>
    </row>
    <row r="8"/>
    <row r="9" ht="132.5" customHeight="1">
      <c r="A9" s="38" t="inlineStr">
        <is>
          <t>This workbook is a problem-based Paper LBO practice set consisting of five structured Paper LBO problems, each designed to develop speed, clarity, and judgment in evaluating leveraged buyout opportunities at a high level. The workbook deliberately avoids detailed operating forecasts and instead focuses on deal economics, entry and exit assumptions, leverage structure, and equity return outcomes.
The purpose of this workbook is to train learners to think like private equity and investment banking professionals during initial deal screening. By repeatedly applying simplified LBO logic across multiple problems, learners understand how changes in purchase price, leverage, holding period, exit multiple, and debt repayment assumptions affect equity IRR. Excel is used to organize assumptions clearly and compute returns in a disciplined, auditable manner.</t>
        </is>
      </c>
    </row>
    <row r="10"/>
    <row r="11"/>
    <row r="12"/>
    <row r="13"/>
    <row r="14"/>
    <row r="15" ht="23.5" customHeight="1">
      <c r="A15" s="29" t="inlineStr">
        <is>
          <t>Key Concepts Covered</t>
        </is>
      </c>
      <c r="B15" s="30" t="n"/>
      <c r="C15" s="30" t="n"/>
      <c r="D15" s="30" t="n"/>
      <c r="E15" s="30" t="n"/>
      <c r="F15" s="30" t="n"/>
      <c r="G15" s="30" t="n"/>
      <c r="I15" s="31" t="inlineStr">
        <is>
          <t>Excel Functions Used</t>
        </is>
      </c>
    </row>
    <row r="16" ht="311.5" customHeight="1">
      <c r="A16" s="39" t="inlineStr">
        <is>
          <t>Concept and role of Paper LBOs in deal screening
Entry enterprise value and transaction structure
Simplified sources and uses of funds
Initial leverage and equity contribution
Assumed debt repayment over the holding period
Exit enterprise value estimation using exit multiples
Bridge from enterprise value to equity value at exit
Equity cash flows and holding period returns
Internal Rate of Return (IRR) as the primary decision metric
Comparative interpretation of outcomes across multiple LBO scenarios
Limitations of Paper LBOs relative to full operational LBO models</t>
        </is>
      </c>
      <c r="I16" s="32" t="inlineStr">
        <is>
          <t xml:space="preserve">The following Excel functions are used accurately and completely across the five Paper LBO problems in this workbook to support deal structuring and return estimation:
SUM – Aggregates sources and uses of funds and valuation components
IF – Applies conditional logic for simplified deal rules and assumptions
IRR – Computes the internal rate of return to equity investors
NPV – Used for structured consistency checks and value validation blocks
ABS – Maintains disciplined cash-flow sign conventions
ROUND – Ensures numerical clarity and clean presentation of results
MAX / MIN – Applies logical bounds to leverage, repayment, and valuation assumptions
PERCENTAGE CALCULATIONS – Used for leverage ratios, exit multiples, ownership, and return interpretation
The workbook emphasizes assumption clarity, correct cash-flow direction, and consistent linkage between entry assumptions, exit outcomes, and equity returns across all problems.
</t>
        </is>
      </c>
    </row>
    <row r="17">
      <c r="A17" s="33" t="n"/>
    </row>
    <row r="18">
      <c r="A18" s="33" t="n"/>
      <c r="E18" s="40"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34" t="n"/>
    </row>
    <row r="19">
      <c r="A19" s="33" t="n"/>
    </row>
    <row r="20">
      <c r="A20" s="33" t="n"/>
      <c r="I20" s="34" t="n"/>
    </row>
    <row r="21">
      <c r="A21" s="33" t="n"/>
    </row>
    <row r="22">
      <c r="A22" s="33" t="n"/>
      <c r="I22" s="34" t="n"/>
    </row>
    <row r="23">
      <c r="A23" s="33" t="n"/>
    </row>
    <row r="24">
      <c r="A24" s="33" t="n"/>
      <c r="I24" s="34" t="n"/>
    </row>
    <row r="25">
      <c r="A25" s="33" t="n"/>
    </row>
    <row r="26">
      <c r="A26" s="33" t="n"/>
      <c r="I26" s="34" t="n"/>
    </row>
    <row r="27">
      <c r="A27" s="33" t="n"/>
    </row>
    <row r="28">
      <c r="A28" s="33" t="n"/>
      <c r="I28" s="34" t="n"/>
    </row>
    <row r="29">
      <c r="A29" s="33" t="n"/>
    </row>
    <row r="30">
      <c r="A30" s="33" t="n"/>
      <c r="I30" s="34" t="n"/>
    </row>
    <row r="31">
      <c r="A31" s="33" t="n"/>
      <c r="I31" s="33" t="n"/>
    </row>
    <row r="32">
      <c r="A32" s="33" t="n"/>
      <c r="I32" s="35" t="n"/>
    </row>
    <row r="33">
      <c r="A33" s="33"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63"/>
  <sheetViews>
    <sheetView zoomScale="130" zoomScaleNormal="130" workbookViewId="0">
      <selection activeCell="K3" sqref="K3"/>
    </sheetView>
  </sheetViews>
  <sheetFormatPr baseColWidth="8" defaultRowHeight="14.5"/>
  <cols>
    <col width="2" customWidth="1" min="1" max="1"/>
    <col width="34" customWidth="1" min="2" max="2"/>
    <col width="18" customWidth="1" min="3" max="3"/>
    <col width="12" customWidth="1" min="4" max="4"/>
    <col width="16" customWidth="1" min="5" max="8"/>
    <col width="2" customWidth="1" min="9" max="9"/>
    <col width="32" customWidth="1" min="10" max="10"/>
    <col width="18" customWidth="1" min="11" max="11"/>
    <col width="14" customWidth="1" min="12" max="15"/>
  </cols>
  <sheetData>
    <row r="1" ht="18.5" customHeight="1">
      <c r="B1" s="41" t="inlineStr">
        <is>
          <t>LBO Model – FMCG (Packaged Food)</t>
        </is>
      </c>
      <c r="C1" s="49" t="n"/>
      <c r="D1" s="49" t="n"/>
      <c r="E1" s="49" t="n"/>
      <c r="F1" s="49" t="n"/>
      <c r="G1" s="49" t="n"/>
      <c r="H1" s="50" t="n"/>
    </row>
    <row r="2" ht="43.5" customHeight="1">
      <c r="B2" s="1" t="inlineStr">
        <is>
          <t>Currency:</t>
        </is>
      </c>
      <c r="C2" s="2" t="inlineStr">
        <is>
          <t>INR (₹) — Indian digit grouping (lakhs/crores)</t>
        </is>
      </c>
    </row>
    <row r="3"/>
    <row r="4">
      <c r="B4" s="44" t="inlineStr">
        <is>
          <t>INPUTS (manual entries)</t>
        </is>
      </c>
      <c r="C4" s="49" t="n"/>
      <c r="D4" s="50" t="n"/>
      <c r="J4" s="42" t="inlineStr">
        <is>
          <t>OUTPUTS (auto)</t>
        </is>
      </c>
      <c r="K4" s="50" t="n"/>
    </row>
    <row r="5">
      <c r="B5" s="3" t="inlineStr">
        <is>
          <t>LTM Sales</t>
        </is>
      </c>
      <c r="C5" s="4" t="n">
        <v>6500000</v>
      </c>
      <c r="D5" s="5" t="inlineStr">
        <is>
          <t>₹</t>
        </is>
      </c>
      <c r="J5" s="42" t="inlineStr">
        <is>
          <t>Valuation</t>
        </is>
      </c>
      <c r="K5" s="50" t="n"/>
    </row>
    <row r="6">
      <c r="B6" s="3" t="inlineStr">
        <is>
          <t>LTM EBITDA Margin</t>
        </is>
      </c>
      <c r="C6" s="6" t="n">
        <v>0.22</v>
      </c>
      <c r="D6" s="5" t="inlineStr">
        <is>
          <t>%</t>
        </is>
      </c>
      <c r="J6" s="7" t="inlineStr">
        <is>
          <t>Entry EBITDA (Y0)</t>
        </is>
      </c>
      <c r="K6" s="8">
        <f>C23</f>
        <v/>
      </c>
    </row>
    <row r="7">
      <c r="B7" s="3" t="inlineStr">
        <is>
          <t>Entry EBITDA Multiple</t>
        </is>
      </c>
      <c r="C7" s="9" t="n">
        <v>8</v>
      </c>
      <c r="D7" s="5" t="inlineStr">
        <is>
          <t>x</t>
        </is>
      </c>
      <c r="J7" s="7" t="inlineStr">
        <is>
          <t>Entry EV</t>
        </is>
      </c>
      <c r="K7" s="8">
        <f>K6*C7</f>
        <v/>
      </c>
    </row>
    <row r="8">
      <c r="B8" s="3" t="inlineStr">
        <is>
          <t>Annual Sales Growth</t>
        </is>
      </c>
      <c r="C8" s="6" t="n">
        <v>0.1</v>
      </c>
      <c r="D8" s="5" t="inlineStr">
        <is>
          <t>%</t>
        </is>
      </c>
      <c r="J8" s="7" t="inlineStr">
        <is>
          <t>Debt at Entry</t>
        </is>
      </c>
      <c r="K8" s="8">
        <f>K7*C12</f>
        <v/>
      </c>
    </row>
    <row r="9">
      <c r="B9" s="3" t="inlineStr">
        <is>
          <t>Projected EBITDA Margin (Y1–Y5)</t>
        </is>
      </c>
      <c r="C9" s="6" t="n">
        <v>0.24</v>
      </c>
      <c r="D9" s="5" t="inlineStr">
        <is>
          <t>%</t>
        </is>
      </c>
      <c r="J9" s="7" t="inlineStr">
        <is>
          <t>Equity at Entry</t>
        </is>
      </c>
      <c r="K9" s="8">
        <f>K7-K8</f>
        <v/>
      </c>
    </row>
    <row r="10">
      <c r="B10" s="3" t="inlineStr">
        <is>
          <t>Corporate Tax Rate</t>
        </is>
      </c>
      <c r="C10" s="6" t="n">
        <v>0.25</v>
      </c>
      <c r="D10" s="5" t="inlineStr">
        <is>
          <t>%</t>
        </is>
      </c>
    </row>
    <row r="11">
      <c r="B11" s="3" t="inlineStr">
        <is>
          <t>Exit EBITDA Multiple (Year 5)</t>
        </is>
      </c>
      <c r="C11" s="9" t="n">
        <v>9</v>
      </c>
      <c r="D11" s="5" t="inlineStr">
        <is>
          <t>x</t>
        </is>
      </c>
      <c r="J11" s="7" t="inlineStr">
        <is>
          <t>Exit EBITDA (Y5)</t>
        </is>
      </c>
      <c r="K11" s="8">
        <f>H23</f>
        <v/>
      </c>
    </row>
    <row r="12">
      <c r="B12" s="3" t="inlineStr">
        <is>
          <t>% Debt Financing (at Entry)</t>
        </is>
      </c>
      <c r="C12" s="6" t="n">
        <v>0.3</v>
      </c>
      <c r="D12" s="5" t="inlineStr">
        <is>
          <t>%</t>
        </is>
      </c>
      <c r="J12" s="7" t="inlineStr">
        <is>
          <t>Exit EV</t>
        </is>
      </c>
      <c r="K12" s="8">
        <f>K11*C11</f>
        <v/>
      </c>
    </row>
    <row r="13">
      <c r="B13" s="3" t="inlineStr">
        <is>
          <t>Interest Rate on Debt</t>
        </is>
      </c>
      <c r="C13" s="6" t="n">
        <v>0.1</v>
      </c>
      <c r="D13" s="5" t="inlineStr">
        <is>
          <t>%</t>
        </is>
      </c>
      <c r="J13" s="7" t="inlineStr">
        <is>
          <t>Ending Debt (assumed same as entry)</t>
        </is>
      </c>
      <c r="K13" s="8">
        <f>K8</f>
        <v/>
      </c>
    </row>
    <row r="14">
      <c r="B14" s="3" t="inlineStr">
        <is>
          <t>D&amp;A as % of Sales</t>
        </is>
      </c>
      <c r="C14" s="6" t="n">
        <v>0.06</v>
      </c>
      <c r="D14" s="5" t="inlineStr">
        <is>
          <t>%</t>
        </is>
      </c>
      <c r="J14" s="7" t="inlineStr">
        <is>
          <t>Equity at Exit</t>
        </is>
      </c>
      <c r="K14" s="8">
        <f>K12-K13</f>
        <v/>
      </c>
    </row>
    <row r="15">
      <c r="B15" s="3" t="inlineStr">
        <is>
          <t>CAPEX as % of Sales</t>
        </is>
      </c>
      <c r="C15" s="6" t="n">
        <v>0.07000000000000001</v>
      </c>
      <c r="D15" s="5" t="inlineStr">
        <is>
          <t>%</t>
        </is>
      </c>
    </row>
    <row r="16" ht="15.5" customHeight="1">
      <c r="B16" s="3" t="inlineStr">
        <is>
          <t>NWC Investment as % of Incremental Sales</t>
        </is>
      </c>
      <c r="C16" s="6" t="n">
        <v>0.08</v>
      </c>
      <c r="D16" s="5" t="inlineStr">
        <is>
          <t>%</t>
        </is>
      </c>
      <c r="J16" s="47" t="inlineStr">
        <is>
          <t>Rate of Return</t>
        </is>
      </c>
      <c r="K16" s="49" t="n"/>
      <c r="L16" s="49" t="n"/>
      <c r="M16" s="49" t="n"/>
      <c r="N16" s="49" t="n"/>
      <c r="O16" s="50" t="n"/>
    </row>
    <row r="17"/>
    <row r="18">
      <c r="J18" s="45" t="inlineStr">
        <is>
          <t>MOIC - Multiple on Invested Capital (Equity)</t>
        </is>
      </c>
      <c r="K18" s="49" t="n"/>
      <c r="L18" s="49" t="n"/>
      <c r="M18" s="50" t="n"/>
      <c r="N18" s="10">
        <f>K14/K9</f>
        <v/>
      </c>
      <c r="O18" s="11">
        <f>Equity_at_Exit/Equity_at_Entry</f>
        <v/>
      </c>
    </row>
    <row r="19">
      <c r="J19" s="45" t="inlineStr">
        <is>
          <t>IRR - Internal Rate of Return</t>
        </is>
      </c>
      <c r="K19" s="49" t="n"/>
      <c r="L19" s="49" t="n"/>
      <c r="M19" s="50" t="n"/>
      <c r="N19" s="12">
        <f>((K14/K9)^(1/5))-1</f>
        <v/>
      </c>
      <c r="O19" s="11">
        <f>((MOIC)^(1/5))-1</f>
        <v/>
      </c>
    </row>
    <row r="20">
      <c r="B20" s="46" t="inlineStr">
        <is>
          <t>PROJECTIONS &amp; CALCULATIONS (formula-driven)</t>
        </is>
      </c>
      <c r="C20" s="49" t="n"/>
      <c r="D20" s="49" t="n"/>
      <c r="E20" s="49" t="n"/>
      <c r="F20" s="49" t="n"/>
      <c r="G20" s="49" t="n"/>
      <c r="H20" s="50" t="n"/>
      <c r="J20" s="45" t="inlineStr">
        <is>
          <t>The Rule of 72 IRR - applicable only if your MOIC is close to 2!!!</t>
        </is>
      </c>
      <c r="K20" s="49" t="n"/>
      <c r="L20" s="49" t="n"/>
      <c r="M20" s="50" t="n"/>
      <c r="N20" s="13">
        <f>72/5</f>
        <v/>
      </c>
      <c r="O20" s="11">
        <f>72/5</f>
        <v/>
      </c>
    </row>
    <row r="21">
      <c r="B21" s="14" t="inlineStr">
        <is>
          <t>Line item</t>
        </is>
      </c>
      <c r="C21" s="15" t="inlineStr">
        <is>
          <t>Y0 (LTM)</t>
        </is>
      </c>
      <c r="D21" s="15" t="inlineStr">
        <is>
          <t>Y1</t>
        </is>
      </c>
      <c r="E21" s="15" t="inlineStr">
        <is>
          <t>Y2</t>
        </is>
      </c>
      <c r="F21" s="15" t="inlineStr">
        <is>
          <t>Y3</t>
        </is>
      </c>
      <c r="G21" s="15" t="inlineStr">
        <is>
          <t>Y4</t>
        </is>
      </c>
      <c r="H21" s="15" t="inlineStr">
        <is>
          <t>Y5</t>
        </is>
      </c>
      <c r="J21" s="45" t="inlineStr">
        <is>
          <t>The Rule of 114 IRR - applicable only if your MOIC is close to 3!!!</t>
        </is>
      </c>
      <c r="K21" s="49" t="n"/>
      <c r="L21" s="49" t="n"/>
      <c r="M21" s="50" t="n"/>
      <c r="N21" s="13">
        <f>114/5</f>
        <v/>
      </c>
      <c r="O21" s="11">
        <f>114/5</f>
        <v/>
      </c>
    </row>
    <row r="22">
      <c r="B22" s="16" t="inlineStr">
        <is>
          <t>Sales</t>
        </is>
      </c>
      <c r="C22" s="17">
        <f>C5</f>
        <v/>
      </c>
      <c r="D22" s="17">
        <f>C22*(1+C8)</f>
        <v/>
      </c>
      <c r="E22" s="17">
        <f>D22*(1+C8)</f>
        <v/>
      </c>
      <c r="F22" s="17">
        <f>E22*(1+C8)</f>
        <v/>
      </c>
      <c r="G22" s="17">
        <f>F22*(1+C8)</f>
        <v/>
      </c>
      <c r="H22" s="17">
        <f>G22*(1+C8)</f>
        <v/>
      </c>
      <c r="J22" s="45" t="inlineStr">
        <is>
          <t>The Rule of 144 IRR - applicable only if your MOIC is close to 4!!!</t>
        </is>
      </c>
      <c r="K22" s="49" t="n"/>
      <c r="L22" s="49" t="n"/>
      <c r="M22" s="50" t="n"/>
      <c r="N22" s="13">
        <f>144/5</f>
        <v/>
      </c>
      <c r="O22" s="11">
        <f>144/5</f>
        <v/>
      </c>
    </row>
    <row r="23">
      <c r="B23" s="16" t="inlineStr">
        <is>
          <t>EBITDA</t>
        </is>
      </c>
      <c r="C23" s="17">
        <f>C22*C6</f>
        <v/>
      </c>
      <c r="D23" s="17">
        <f>D22*C9</f>
        <v/>
      </c>
      <c r="E23" s="17">
        <f>E22*C9</f>
        <v/>
      </c>
      <c r="F23" s="17">
        <f>F22*C9</f>
        <v/>
      </c>
      <c r="G23" s="17">
        <f>G22*C9</f>
        <v/>
      </c>
      <c r="H23" s="17">
        <f>H22*C9</f>
        <v/>
      </c>
    </row>
    <row r="24">
      <c r="B24" s="16" t="inlineStr">
        <is>
          <t>D&amp;A</t>
        </is>
      </c>
      <c r="C24" s="17">
        <f>C22*C14</f>
        <v/>
      </c>
      <c r="D24" s="17">
        <f>D22*C14</f>
        <v/>
      </c>
      <c r="E24" s="17">
        <f>E22*C14</f>
        <v/>
      </c>
      <c r="F24" s="17">
        <f>F22*C14</f>
        <v/>
      </c>
      <c r="G24" s="17">
        <f>G22*C14</f>
        <v/>
      </c>
      <c r="H24" s="17">
        <f>H22*C14</f>
        <v/>
      </c>
    </row>
    <row r="25">
      <c r="B25" s="16" t="inlineStr">
        <is>
          <t>EBIT</t>
        </is>
      </c>
      <c r="C25" s="17">
        <f>C23-C24</f>
        <v/>
      </c>
      <c r="D25" s="17">
        <f>D23-D24</f>
        <v/>
      </c>
      <c r="E25" s="17">
        <f>E23-E24</f>
        <v/>
      </c>
      <c r="F25" s="17">
        <f>F23-F24</f>
        <v/>
      </c>
      <c r="G25" s="17">
        <f>G23-G24</f>
        <v/>
      </c>
      <c r="H25" s="17">
        <f>H23-H24</f>
        <v/>
      </c>
    </row>
    <row r="26">
      <c r="B26" s="16" t="inlineStr">
        <is>
          <t>Interest</t>
        </is>
      </c>
      <c r="C26" s="17">
        <f>$K$8*C13</f>
        <v/>
      </c>
      <c r="D26" s="17">
        <f>$K$8*C13</f>
        <v/>
      </c>
      <c r="E26" s="17">
        <f>$K$8*C13</f>
        <v/>
      </c>
      <c r="F26" s="17">
        <f>$K$8*C13</f>
        <v/>
      </c>
      <c r="G26" s="17">
        <f>$K$8*C13</f>
        <v/>
      </c>
      <c r="H26" s="17">
        <f>$K$8*C13</f>
        <v/>
      </c>
    </row>
    <row r="27">
      <c r="B27" s="16" t="inlineStr">
        <is>
          <t>EBT</t>
        </is>
      </c>
      <c r="C27" s="17">
        <f>C25-C26</f>
        <v/>
      </c>
      <c r="D27" s="17">
        <f>D25-D26</f>
        <v/>
      </c>
      <c r="E27" s="17">
        <f>E25-E26</f>
        <v/>
      </c>
      <c r="F27" s="17">
        <f>F25-F26</f>
        <v/>
      </c>
      <c r="G27" s="17">
        <f>G25-G26</f>
        <v/>
      </c>
      <c r="H27" s="17">
        <f>H25-H26</f>
        <v/>
      </c>
    </row>
    <row r="28">
      <c r="B28" s="16" t="inlineStr">
        <is>
          <t>Taxes</t>
        </is>
      </c>
      <c r="C28" s="17">
        <f>MAX(0,C27*C10)</f>
        <v/>
      </c>
      <c r="D28" s="17">
        <f>MAX(0,D27*C10)</f>
        <v/>
      </c>
      <c r="E28" s="17">
        <f>MAX(0,E27*C10)</f>
        <v/>
      </c>
      <c r="F28" s="17">
        <f>MAX(0,F27*C10)</f>
        <v/>
      </c>
      <c r="G28" s="17">
        <f>MAX(0,G27*C10)</f>
        <v/>
      </c>
      <c r="H28" s="17">
        <f>MAX(0,H27*C10)</f>
        <v/>
      </c>
    </row>
    <row r="29">
      <c r="B29" s="16" t="inlineStr">
        <is>
          <t>Net Income</t>
        </is>
      </c>
      <c r="C29" s="17">
        <f>C27-C28</f>
        <v/>
      </c>
      <c r="D29" s="17">
        <f>D27-D28</f>
        <v/>
      </c>
      <c r="E29" s="17">
        <f>E27-E28</f>
        <v/>
      </c>
      <c r="F29" s="17">
        <f>F27-F28</f>
        <v/>
      </c>
      <c r="G29" s="17">
        <f>G27-G28</f>
        <v/>
      </c>
      <c r="H29" s="17">
        <f>H27-H28</f>
        <v/>
      </c>
    </row>
    <row r="30">
      <c r="B30" s="16" t="inlineStr">
        <is>
          <t>CAPEX</t>
        </is>
      </c>
      <c r="C30" s="17">
        <f>C22*C15</f>
        <v/>
      </c>
      <c r="D30" s="17">
        <f>D22*C15</f>
        <v/>
      </c>
      <c r="E30" s="17">
        <f>E22*C15</f>
        <v/>
      </c>
      <c r="F30" s="17">
        <f>F22*C15</f>
        <v/>
      </c>
      <c r="G30" s="17">
        <f>G22*C15</f>
        <v/>
      </c>
      <c r="H30" s="17">
        <f>H22*C15</f>
        <v/>
      </c>
    </row>
    <row r="31">
      <c r="B31" s="16" t="inlineStr">
        <is>
          <t>ΔNWC (Investment)</t>
        </is>
      </c>
      <c r="C31" s="17" t="n">
        <v>0</v>
      </c>
      <c r="D31" s="17">
        <f>MAX(0,(D22-C22)*C16)</f>
        <v/>
      </c>
      <c r="E31" s="17">
        <f>MAX(0,(E22-D22)*C16)</f>
        <v/>
      </c>
      <c r="F31" s="17">
        <f>MAX(0,(F22-E22)*C16)</f>
        <v/>
      </c>
      <c r="G31" s="17">
        <f>MAX(0,(G22-F22)*C16)</f>
        <v/>
      </c>
      <c r="H31" s="17">
        <f>MAX(0,(H22-G22)*C16)</f>
        <v/>
      </c>
    </row>
    <row r="32">
      <c r="B32" s="18" t="inlineStr">
        <is>
          <t>Free Cash Flow (FCF)</t>
        </is>
      </c>
      <c r="C32" s="17">
        <f>C23-C28-C30-C31</f>
        <v/>
      </c>
      <c r="D32" s="17">
        <f>D23-D28-D30-D31</f>
        <v/>
      </c>
      <c r="E32" s="17">
        <f>E23-E28-E30-E31</f>
        <v/>
      </c>
      <c r="F32" s="17">
        <f>F23-F28-F30-F31</f>
        <v/>
      </c>
      <c r="G32" s="17">
        <f>G23-G28-G30-G31</f>
        <v/>
      </c>
      <c r="H32" s="17">
        <f>H23-H28-H30-H31</f>
        <v/>
      </c>
    </row>
    <row r="33">
      <c r="B33" s="18" t="inlineStr">
        <is>
          <t>Cumulative FCF</t>
        </is>
      </c>
      <c r="C33" s="17">
        <f>C32</f>
        <v/>
      </c>
      <c r="D33" s="17">
        <f>C33+D32</f>
        <v/>
      </c>
      <c r="E33" s="17">
        <f>D33+E32</f>
        <v/>
      </c>
      <c r="F33" s="17">
        <f>E33+F32</f>
        <v/>
      </c>
      <c r="G33" s="17">
        <f>F33+G32</f>
        <v/>
      </c>
      <c r="H33" s="17">
        <f>G33+H32</f>
        <v/>
      </c>
    </row>
    <row r="34"/>
    <row r="35"/>
    <row r="36"/>
    <row r="37"/>
    <row r="38"/>
    <row r="39"/>
    <row r="40">
      <c r="B40" s="48" t="inlineStr">
        <is>
          <t>OUTPUT STATEMENTS (references to projection block)</t>
        </is>
      </c>
      <c r="C40" s="49" t="n"/>
      <c r="D40" s="49" t="n"/>
      <c r="E40" s="49" t="n"/>
      <c r="F40" s="49" t="n"/>
      <c r="G40" s="49" t="n"/>
      <c r="H40" s="50" t="n"/>
    </row>
    <row r="41">
      <c r="B41" s="19" t="inlineStr">
        <is>
          <t>Income Statement</t>
        </is>
      </c>
      <c r="C41" s="20" t="inlineStr">
        <is>
          <t>Y0 (LTM)</t>
        </is>
      </c>
      <c r="D41" s="20" t="inlineStr">
        <is>
          <t>Y1</t>
        </is>
      </c>
      <c r="E41" s="20" t="inlineStr">
        <is>
          <t>Y2</t>
        </is>
      </c>
      <c r="F41" s="20" t="inlineStr">
        <is>
          <t>Y3</t>
        </is>
      </c>
      <c r="G41" s="20" t="inlineStr">
        <is>
          <t>Y4</t>
        </is>
      </c>
      <c r="H41" s="20"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9" t="inlineStr">
        <is>
          <t>Cash Flow Statement</t>
        </is>
      </c>
      <c r="C51" s="20" t="inlineStr">
        <is>
          <t>Y0 (LTM)</t>
        </is>
      </c>
      <c r="D51" s="20" t="inlineStr">
        <is>
          <t>Y1</t>
        </is>
      </c>
      <c r="E51" s="20" t="inlineStr">
        <is>
          <t>Y2</t>
        </is>
      </c>
      <c r="F51" s="20" t="inlineStr">
        <is>
          <t>Y3</t>
        </is>
      </c>
      <c r="G51" s="20" t="inlineStr">
        <is>
          <t>Y4</t>
        </is>
      </c>
      <c r="H51" s="20"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43" t="inlineStr">
        <is>
          <t>CHECKS (should show OK)</t>
        </is>
      </c>
      <c r="C60" s="49" t="n"/>
      <c r="D60" s="49" t="n"/>
      <c r="E60" s="49" t="n"/>
      <c r="F60" s="49" t="n"/>
      <c r="G60" s="49" t="n"/>
      <c r="H60" s="50" t="n"/>
    </row>
    <row r="61">
      <c r="B61" s="21" t="inlineStr">
        <is>
          <t>Check 1: Entry EV = Debt + Equity</t>
        </is>
      </c>
      <c r="C61" s="22">
        <f>K7-(K8+K9)</f>
        <v/>
      </c>
      <c r="D61" s="21" t="inlineStr">
        <is>
          <t>Difference</t>
        </is>
      </c>
      <c r="E61" s="23">
        <f>IF(ABS(C61)&lt;1,"OK","ERROR")</f>
        <v/>
      </c>
    </row>
    <row r="62" ht="26" customHeight="1">
      <c r="B62" s="21" t="inlineStr">
        <is>
          <t>Check 2: Exit Equity = Exit EV − Ending Debt</t>
        </is>
      </c>
      <c r="C62" s="22">
        <f>K14-(K12-K13)</f>
        <v/>
      </c>
      <c r="D62" s="21" t="inlineStr">
        <is>
          <t>Difference</t>
        </is>
      </c>
      <c r="E62" s="23">
        <f>IF(ABS(C62)&lt;1,"OK","ERROR")</f>
        <v/>
      </c>
    </row>
    <row r="63" ht="26" customHeight="1">
      <c r="B63" s="21" t="inlineStr">
        <is>
          <t>Check 3: FCF(Y3) = EBITDA − Taxes − CAPEX − ΔNWC</t>
        </is>
      </c>
      <c r="C63" s="22">
        <f>F32-(F23-F28-F30-F31)</f>
        <v/>
      </c>
      <c r="D63" s="21" t="inlineStr">
        <is>
          <t>Difference</t>
        </is>
      </c>
      <c r="E63" s="23">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3">
    <mergeCell ref="J16:O16"/>
    <mergeCell ref="J4:K4"/>
    <mergeCell ref="J22:M22"/>
    <mergeCell ref="B40:H40"/>
    <mergeCell ref="B1:H1"/>
    <mergeCell ref="J5:K5"/>
    <mergeCell ref="B60:H60"/>
    <mergeCell ref="B4:D4"/>
    <mergeCell ref="J20:M20"/>
    <mergeCell ref="J21:M21"/>
    <mergeCell ref="B20:H20"/>
    <mergeCell ref="J18:M18"/>
    <mergeCell ref="J19:M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3"/>
  <sheetViews>
    <sheetView workbookViewId="0">
      <selection activeCell="B38" sqref="B38"/>
    </sheetView>
  </sheetViews>
  <sheetFormatPr baseColWidth="8" defaultRowHeight="14.5"/>
  <cols>
    <col width="2" customWidth="1" min="1" max="1"/>
    <col width="34" customWidth="1" min="2" max="2"/>
    <col width="18" customWidth="1" min="3" max="3"/>
    <col width="12" customWidth="1" min="4" max="4"/>
    <col width="16" customWidth="1" min="5" max="8"/>
    <col width="2" customWidth="1" min="9" max="9"/>
    <col width="32" customWidth="1" min="10" max="10"/>
    <col width="18" customWidth="1" min="11" max="11"/>
    <col width="14" customWidth="1" min="12" max="15"/>
  </cols>
  <sheetData>
    <row r="1" ht="18.5" customHeight="1">
      <c r="B1" s="41" t="inlineStr">
        <is>
          <t>LBO Model – IT Services (Mid-tier)</t>
        </is>
      </c>
      <c r="C1" s="49" t="n"/>
      <c r="D1" s="49" t="n"/>
      <c r="E1" s="49" t="n"/>
      <c r="F1" s="49" t="n"/>
      <c r="G1" s="49" t="n"/>
      <c r="H1" s="50" t="n"/>
    </row>
    <row r="2" ht="43.5" customHeight="1">
      <c r="B2" s="1" t="inlineStr">
        <is>
          <t>Currency:</t>
        </is>
      </c>
      <c r="C2" s="2" t="inlineStr">
        <is>
          <t>INR (₹) — Indian digit grouping (lakhs/crores)</t>
        </is>
      </c>
    </row>
    <row r="3"/>
    <row r="4">
      <c r="B4" s="44" t="inlineStr">
        <is>
          <t>INPUTS (manual entries)</t>
        </is>
      </c>
      <c r="C4" s="49" t="n"/>
      <c r="D4" s="50" t="n"/>
      <c r="J4" s="42" t="inlineStr">
        <is>
          <t>OUTPUTS (auto)</t>
        </is>
      </c>
      <c r="K4" s="50" t="n"/>
    </row>
    <row r="5">
      <c r="B5" s="3" t="inlineStr">
        <is>
          <t>LTM Sales</t>
        </is>
      </c>
      <c r="C5" s="4" t="n">
        <v>12000000</v>
      </c>
      <c r="D5" s="5" t="inlineStr">
        <is>
          <t>₹</t>
        </is>
      </c>
      <c r="J5" s="42" t="inlineStr">
        <is>
          <t>Valuation</t>
        </is>
      </c>
      <c r="K5" s="50" t="n"/>
    </row>
    <row r="6">
      <c r="B6" s="3" t="inlineStr">
        <is>
          <t>LTM EBITDA Margin</t>
        </is>
      </c>
      <c r="C6" s="6" t="n">
        <v>0.32</v>
      </c>
      <c r="D6" s="5" t="inlineStr">
        <is>
          <t>%</t>
        </is>
      </c>
      <c r="J6" s="7" t="inlineStr">
        <is>
          <t>Entry EBITDA (Y0)</t>
        </is>
      </c>
      <c r="K6" s="8">
        <f>C23</f>
        <v/>
      </c>
    </row>
    <row r="7">
      <c r="B7" s="3" t="inlineStr">
        <is>
          <t>Entry EBITDA Multiple</t>
        </is>
      </c>
      <c r="C7" s="9" t="n">
        <v>10</v>
      </c>
      <c r="D7" s="5" t="inlineStr">
        <is>
          <t>x</t>
        </is>
      </c>
      <c r="J7" s="7" t="inlineStr">
        <is>
          <t>Entry EV</t>
        </is>
      </c>
      <c r="K7" s="8">
        <f>K6*C7</f>
        <v/>
      </c>
    </row>
    <row r="8">
      <c r="B8" s="3" t="inlineStr">
        <is>
          <t>Annual Sales Growth</t>
        </is>
      </c>
      <c r="C8" s="6" t="n">
        <v>0.14</v>
      </c>
      <c r="D8" s="5" t="inlineStr">
        <is>
          <t>%</t>
        </is>
      </c>
      <c r="J8" s="7" t="inlineStr">
        <is>
          <t>Debt at Entry</t>
        </is>
      </c>
      <c r="K8" s="8">
        <f>K7*C12</f>
        <v/>
      </c>
    </row>
    <row r="9">
      <c r="B9" s="3" t="inlineStr">
        <is>
          <t>Projected EBITDA Margin (Y1–Y5)</t>
        </is>
      </c>
      <c r="C9" s="6" t="n">
        <v>0.35</v>
      </c>
      <c r="D9" s="5" t="inlineStr">
        <is>
          <t>%</t>
        </is>
      </c>
      <c r="J9" s="7" t="inlineStr">
        <is>
          <t>Equity at Entry</t>
        </is>
      </c>
      <c r="K9" s="8">
        <f>K7-K8</f>
        <v/>
      </c>
    </row>
    <row r="10">
      <c r="B10" s="3" t="inlineStr">
        <is>
          <t>Corporate Tax Rate</t>
        </is>
      </c>
      <c r="C10" s="6" t="n">
        <v>0.22</v>
      </c>
      <c r="D10" s="5" t="inlineStr">
        <is>
          <t>%</t>
        </is>
      </c>
    </row>
    <row r="11">
      <c r="B11" s="3" t="inlineStr">
        <is>
          <t>Exit EBITDA Multiple (Year 5)</t>
        </is>
      </c>
      <c r="C11" s="9" t="n">
        <v>11</v>
      </c>
      <c r="D11" s="5" t="inlineStr">
        <is>
          <t>x</t>
        </is>
      </c>
      <c r="J11" s="7" t="inlineStr">
        <is>
          <t>Exit EBITDA (Y5)</t>
        </is>
      </c>
      <c r="K11" s="8">
        <f>H23</f>
        <v/>
      </c>
    </row>
    <row r="12">
      <c r="B12" s="3" t="inlineStr">
        <is>
          <t>% Debt Financing (at Entry)</t>
        </is>
      </c>
      <c r="C12" s="6" t="n">
        <v>0.2</v>
      </c>
      <c r="D12" s="5" t="inlineStr">
        <is>
          <t>%</t>
        </is>
      </c>
      <c r="J12" s="7" t="inlineStr">
        <is>
          <t>Exit EV</t>
        </is>
      </c>
      <c r="K12" s="8">
        <f>K11*C11</f>
        <v/>
      </c>
    </row>
    <row r="13">
      <c r="B13" s="3" t="inlineStr">
        <is>
          <t>Interest Rate on Debt</t>
        </is>
      </c>
      <c r="C13" s="6" t="n">
        <v>0.09</v>
      </c>
      <c r="D13" s="5" t="inlineStr">
        <is>
          <t>%</t>
        </is>
      </c>
      <c r="J13" s="7" t="inlineStr">
        <is>
          <t>Ending Debt (assumed same as entry)</t>
        </is>
      </c>
      <c r="K13" s="8">
        <f>K8</f>
        <v/>
      </c>
    </row>
    <row r="14">
      <c r="B14" s="3" t="inlineStr">
        <is>
          <t>D&amp;A as % of Sales</t>
        </is>
      </c>
      <c r="C14" s="6" t="n">
        <v>0.04</v>
      </c>
      <c r="D14" s="5" t="inlineStr">
        <is>
          <t>%</t>
        </is>
      </c>
      <c r="J14" s="7" t="inlineStr">
        <is>
          <t>Equity at Exit</t>
        </is>
      </c>
      <c r="K14" s="8">
        <f>K12-K13</f>
        <v/>
      </c>
    </row>
    <row r="15">
      <c r="B15" s="3" t="inlineStr">
        <is>
          <t>CAPEX as % of Sales</t>
        </is>
      </c>
      <c r="C15" s="6" t="n">
        <v>0.05</v>
      </c>
      <c r="D15" s="5" t="inlineStr">
        <is>
          <t>%</t>
        </is>
      </c>
    </row>
    <row r="16" ht="15.5" customHeight="1">
      <c r="B16" s="3" t="inlineStr">
        <is>
          <t>NWC Investment as % of Incremental Sales</t>
        </is>
      </c>
      <c r="C16" s="6" t="n">
        <v>0.06</v>
      </c>
      <c r="D16" s="5" t="inlineStr">
        <is>
          <t>%</t>
        </is>
      </c>
      <c r="J16" s="47" t="inlineStr">
        <is>
          <t>Rate of Return</t>
        </is>
      </c>
      <c r="K16" s="49" t="n"/>
      <c r="L16" s="49" t="n"/>
      <c r="M16" s="49" t="n"/>
      <c r="N16" s="49" t="n"/>
      <c r="O16" s="50" t="n"/>
    </row>
    <row r="17"/>
    <row r="18">
      <c r="J18" s="45" t="inlineStr">
        <is>
          <t>MOIC - Multiple on Invested Capital (Equity)</t>
        </is>
      </c>
      <c r="K18" s="49" t="n"/>
      <c r="L18" s="49" t="n"/>
      <c r="M18" s="50" t="n"/>
      <c r="N18" s="10">
        <f>K14/K9</f>
        <v/>
      </c>
      <c r="O18" s="11">
        <f>Equity_at_Exit/Equity_at_Entry</f>
        <v/>
      </c>
    </row>
    <row r="19">
      <c r="J19" s="45" t="inlineStr">
        <is>
          <t>IRR - Internal Rate of Return</t>
        </is>
      </c>
      <c r="K19" s="49" t="n"/>
      <c r="L19" s="49" t="n"/>
      <c r="M19" s="50" t="n"/>
      <c r="N19" s="12">
        <f>((K14/K9)^(1/5))-1</f>
        <v/>
      </c>
      <c r="O19" s="11">
        <f>((MOIC)^(1/5))-1</f>
        <v/>
      </c>
    </row>
    <row r="20">
      <c r="B20" s="46" t="inlineStr">
        <is>
          <t>PROJECTIONS &amp; CALCULATIONS (formula-driven)</t>
        </is>
      </c>
      <c r="C20" s="49" t="n"/>
      <c r="D20" s="49" t="n"/>
      <c r="E20" s="49" t="n"/>
      <c r="F20" s="49" t="n"/>
      <c r="G20" s="49" t="n"/>
      <c r="H20" s="50" t="n"/>
      <c r="J20" s="45" t="inlineStr">
        <is>
          <t>The Rule of 72 IRR - applicable only if your MOIC is close to 2!!!</t>
        </is>
      </c>
      <c r="K20" s="49" t="n"/>
      <c r="L20" s="49" t="n"/>
      <c r="M20" s="50" t="n"/>
      <c r="N20" s="13">
        <f>72/5</f>
        <v/>
      </c>
      <c r="O20" s="11">
        <f>72/5</f>
        <v/>
      </c>
    </row>
    <row r="21">
      <c r="B21" s="14" t="inlineStr">
        <is>
          <t>Line item</t>
        </is>
      </c>
      <c r="C21" s="15" t="inlineStr">
        <is>
          <t>Y0 (LTM)</t>
        </is>
      </c>
      <c r="D21" s="15" t="inlineStr">
        <is>
          <t>Y1</t>
        </is>
      </c>
      <c r="E21" s="15" t="inlineStr">
        <is>
          <t>Y2</t>
        </is>
      </c>
      <c r="F21" s="15" t="inlineStr">
        <is>
          <t>Y3</t>
        </is>
      </c>
      <c r="G21" s="15" t="inlineStr">
        <is>
          <t>Y4</t>
        </is>
      </c>
      <c r="H21" s="15" t="inlineStr">
        <is>
          <t>Y5</t>
        </is>
      </c>
      <c r="J21" s="45" t="inlineStr">
        <is>
          <t>The Rule of 114 IRR - applicable only if your MOIC is close to 3!!!</t>
        </is>
      </c>
      <c r="K21" s="49" t="n"/>
      <c r="L21" s="49" t="n"/>
      <c r="M21" s="50" t="n"/>
      <c r="N21" s="13">
        <f>114/5</f>
        <v/>
      </c>
      <c r="O21" s="11">
        <f>114/5</f>
        <v/>
      </c>
    </row>
    <row r="22">
      <c r="B22" s="16" t="inlineStr">
        <is>
          <t>Sales</t>
        </is>
      </c>
      <c r="C22" s="17">
        <f>C5</f>
        <v/>
      </c>
      <c r="D22" s="17">
        <f>C22*(1+C8)</f>
        <v/>
      </c>
      <c r="E22" s="17">
        <f>D22*(1+C8)</f>
        <v/>
      </c>
      <c r="F22" s="17">
        <f>E22*(1+C8)</f>
        <v/>
      </c>
      <c r="G22" s="17">
        <f>F22*(1+C8)</f>
        <v/>
      </c>
      <c r="H22" s="17">
        <f>G22*(1+C8)</f>
        <v/>
      </c>
      <c r="J22" s="45" t="inlineStr">
        <is>
          <t>The Rule of 144 IRR - applicable only if your MOIC is close to 4!!!</t>
        </is>
      </c>
      <c r="K22" s="49" t="n"/>
      <c r="L22" s="49" t="n"/>
      <c r="M22" s="50" t="n"/>
      <c r="N22" s="13">
        <f>144/5</f>
        <v/>
      </c>
      <c r="O22" s="11">
        <f>144/5</f>
        <v/>
      </c>
    </row>
    <row r="23">
      <c r="B23" s="16" t="inlineStr">
        <is>
          <t>EBITDA</t>
        </is>
      </c>
      <c r="C23" s="17">
        <f>C22*C6</f>
        <v/>
      </c>
      <c r="D23" s="17">
        <f>D22*C9</f>
        <v/>
      </c>
      <c r="E23" s="17">
        <f>E22*C9</f>
        <v/>
      </c>
      <c r="F23" s="17">
        <f>F22*C9</f>
        <v/>
      </c>
      <c r="G23" s="17">
        <f>G22*C9</f>
        <v/>
      </c>
      <c r="H23" s="17">
        <f>H22*C9</f>
        <v/>
      </c>
    </row>
    <row r="24">
      <c r="B24" s="16" t="inlineStr">
        <is>
          <t>D&amp;A</t>
        </is>
      </c>
      <c r="C24" s="17">
        <f>C22*C14</f>
        <v/>
      </c>
      <c r="D24" s="17">
        <f>D22*C14</f>
        <v/>
      </c>
      <c r="E24" s="17">
        <f>E22*C14</f>
        <v/>
      </c>
      <c r="F24" s="17">
        <f>F22*C14</f>
        <v/>
      </c>
      <c r="G24" s="17">
        <f>G22*C14</f>
        <v/>
      </c>
      <c r="H24" s="17">
        <f>H22*C14</f>
        <v/>
      </c>
    </row>
    <row r="25">
      <c r="B25" s="16" t="inlineStr">
        <is>
          <t>EBIT</t>
        </is>
      </c>
      <c r="C25" s="17">
        <f>C23-C24</f>
        <v/>
      </c>
      <c r="D25" s="17">
        <f>D23-D24</f>
        <v/>
      </c>
      <c r="E25" s="17">
        <f>E23-E24</f>
        <v/>
      </c>
      <c r="F25" s="17">
        <f>F23-F24</f>
        <v/>
      </c>
      <c r="G25" s="17">
        <f>G23-G24</f>
        <v/>
      </c>
      <c r="H25" s="17">
        <f>H23-H24</f>
        <v/>
      </c>
    </row>
    <row r="26">
      <c r="B26" s="16" t="inlineStr">
        <is>
          <t>Interest</t>
        </is>
      </c>
      <c r="C26" s="17">
        <f>$K$8*C13</f>
        <v/>
      </c>
      <c r="D26" s="17">
        <f>$K$8*C13</f>
        <v/>
      </c>
      <c r="E26" s="17">
        <f>$K$8*C13</f>
        <v/>
      </c>
      <c r="F26" s="17">
        <f>$K$8*C13</f>
        <v/>
      </c>
      <c r="G26" s="17">
        <f>$K$8*C13</f>
        <v/>
      </c>
      <c r="H26" s="17">
        <f>$K$8*C13</f>
        <v/>
      </c>
    </row>
    <row r="27">
      <c r="B27" s="16" t="inlineStr">
        <is>
          <t>EBT</t>
        </is>
      </c>
      <c r="C27" s="17">
        <f>C25-C26</f>
        <v/>
      </c>
      <c r="D27" s="17">
        <f>D25-D26</f>
        <v/>
      </c>
      <c r="E27" s="17">
        <f>E25-E26</f>
        <v/>
      </c>
      <c r="F27" s="17">
        <f>F25-F26</f>
        <v/>
      </c>
      <c r="G27" s="17">
        <f>G25-G26</f>
        <v/>
      </c>
      <c r="H27" s="17">
        <f>H25-H26</f>
        <v/>
      </c>
    </row>
    <row r="28">
      <c r="B28" s="16" t="inlineStr">
        <is>
          <t>Taxes</t>
        </is>
      </c>
      <c r="C28" s="17">
        <f>MAX(0,C27*C10)</f>
        <v/>
      </c>
      <c r="D28" s="17">
        <f>MAX(0,D27*C10)</f>
        <v/>
      </c>
      <c r="E28" s="17">
        <f>MAX(0,E27*C10)</f>
        <v/>
      </c>
      <c r="F28" s="17">
        <f>MAX(0,F27*C10)</f>
        <v/>
      </c>
      <c r="G28" s="17">
        <f>MAX(0,G27*C10)</f>
        <v/>
      </c>
      <c r="H28" s="17">
        <f>MAX(0,H27*C10)</f>
        <v/>
      </c>
    </row>
    <row r="29">
      <c r="B29" s="16" t="inlineStr">
        <is>
          <t>Net Income</t>
        </is>
      </c>
      <c r="C29" s="17">
        <f>C27-C28</f>
        <v/>
      </c>
      <c r="D29" s="17">
        <f>D27-D28</f>
        <v/>
      </c>
      <c r="E29" s="17">
        <f>E27-E28</f>
        <v/>
      </c>
      <c r="F29" s="17">
        <f>F27-F28</f>
        <v/>
      </c>
      <c r="G29" s="17">
        <f>G27-G28</f>
        <v/>
      </c>
      <c r="H29" s="17">
        <f>H27-H28</f>
        <v/>
      </c>
    </row>
    <row r="30">
      <c r="B30" s="16" t="inlineStr">
        <is>
          <t>CAPEX</t>
        </is>
      </c>
      <c r="C30" s="17">
        <f>C22*C15</f>
        <v/>
      </c>
      <c r="D30" s="17">
        <f>D22*C15</f>
        <v/>
      </c>
      <c r="E30" s="17">
        <f>E22*C15</f>
        <v/>
      </c>
      <c r="F30" s="17">
        <f>F22*C15</f>
        <v/>
      </c>
      <c r="G30" s="17">
        <f>G22*C15</f>
        <v/>
      </c>
      <c r="H30" s="17">
        <f>H22*C15</f>
        <v/>
      </c>
    </row>
    <row r="31">
      <c r="B31" s="16" t="inlineStr">
        <is>
          <t>ΔNWC (Investment)</t>
        </is>
      </c>
      <c r="C31" s="17" t="n">
        <v>0</v>
      </c>
      <c r="D31" s="17">
        <f>MAX(0,(D22-C22)*C16)</f>
        <v/>
      </c>
      <c r="E31" s="17">
        <f>MAX(0,(E22-D22)*C16)</f>
        <v/>
      </c>
      <c r="F31" s="17">
        <f>MAX(0,(F22-E22)*C16)</f>
        <v/>
      </c>
      <c r="G31" s="17">
        <f>MAX(0,(G22-F22)*C16)</f>
        <v/>
      </c>
      <c r="H31" s="17">
        <f>MAX(0,(H22-G22)*C16)</f>
        <v/>
      </c>
    </row>
    <row r="32">
      <c r="B32" s="18" t="inlineStr">
        <is>
          <t>Free Cash Flow (FCF)</t>
        </is>
      </c>
      <c r="C32" s="17">
        <f>C23-C28-C30-C31</f>
        <v/>
      </c>
      <c r="D32" s="17">
        <f>D23-D28-D30-D31</f>
        <v/>
      </c>
      <c r="E32" s="17">
        <f>E23-E28-E30-E31</f>
        <v/>
      </c>
      <c r="F32" s="17">
        <f>F23-F28-F30-F31</f>
        <v/>
      </c>
      <c r="G32" s="17">
        <f>G23-G28-G30-G31</f>
        <v/>
      </c>
      <c r="H32" s="17">
        <f>H23-H28-H30-H31</f>
        <v/>
      </c>
    </row>
    <row r="33">
      <c r="B33" s="18" t="inlineStr">
        <is>
          <t>Cumulative FCF</t>
        </is>
      </c>
      <c r="C33" s="17">
        <f>C32</f>
        <v/>
      </c>
      <c r="D33" s="17">
        <f>C33+D32</f>
        <v/>
      </c>
      <c r="E33" s="17">
        <f>D33+E32</f>
        <v/>
      </c>
      <c r="F33" s="17">
        <f>E33+F32</f>
        <v/>
      </c>
      <c r="G33" s="17">
        <f>F33+G32</f>
        <v/>
      </c>
      <c r="H33" s="17">
        <f>G33+H32</f>
        <v/>
      </c>
    </row>
    <row r="34"/>
    <row r="35"/>
    <row r="36"/>
    <row r="37"/>
    <row r="38"/>
    <row r="39"/>
    <row r="40">
      <c r="B40" s="48" t="inlineStr">
        <is>
          <t>OUTPUT STATEMENTS (references to projection block)</t>
        </is>
      </c>
      <c r="C40" s="49" t="n"/>
      <c r="D40" s="49" t="n"/>
      <c r="E40" s="49" t="n"/>
      <c r="F40" s="49" t="n"/>
      <c r="G40" s="49" t="n"/>
      <c r="H40" s="50" t="n"/>
    </row>
    <row r="41">
      <c r="B41" s="19" t="inlineStr">
        <is>
          <t>Income Statement</t>
        </is>
      </c>
      <c r="C41" s="20" t="inlineStr">
        <is>
          <t>Y0 (LTM)</t>
        </is>
      </c>
      <c r="D41" s="20" t="inlineStr">
        <is>
          <t>Y1</t>
        </is>
      </c>
      <c r="E41" s="20" t="inlineStr">
        <is>
          <t>Y2</t>
        </is>
      </c>
      <c r="F41" s="20" t="inlineStr">
        <is>
          <t>Y3</t>
        </is>
      </c>
      <c r="G41" s="20" t="inlineStr">
        <is>
          <t>Y4</t>
        </is>
      </c>
      <c r="H41" s="20"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9" t="inlineStr">
        <is>
          <t>Cash Flow Statement</t>
        </is>
      </c>
      <c r="C51" s="20" t="inlineStr">
        <is>
          <t>Y0 (LTM)</t>
        </is>
      </c>
      <c r="D51" s="20" t="inlineStr">
        <is>
          <t>Y1</t>
        </is>
      </c>
      <c r="E51" s="20" t="inlineStr">
        <is>
          <t>Y2</t>
        </is>
      </c>
      <c r="F51" s="20" t="inlineStr">
        <is>
          <t>Y3</t>
        </is>
      </c>
      <c r="G51" s="20" t="inlineStr">
        <is>
          <t>Y4</t>
        </is>
      </c>
      <c r="H51" s="20"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43" t="inlineStr">
        <is>
          <t>CHECKS (should show OK)</t>
        </is>
      </c>
      <c r="C60" s="49" t="n"/>
      <c r="D60" s="49" t="n"/>
      <c r="E60" s="49" t="n"/>
      <c r="F60" s="49" t="n"/>
      <c r="G60" s="49" t="n"/>
      <c r="H60" s="50" t="n"/>
    </row>
    <row r="61">
      <c r="B61" s="21" t="inlineStr">
        <is>
          <t>Check 1: Entry EV = Debt + Equity</t>
        </is>
      </c>
      <c r="C61" s="22">
        <f>K7-(K8+K9)</f>
        <v/>
      </c>
      <c r="D61" s="21" t="inlineStr">
        <is>
          <t>Difference</t>
        </is>
      </c>
      <c r="E61" s="23">
        <f>IF(ABS(C61)&lt;1,"OK","ERROR")</f>
        <v/>
      </c>
    </row>
    <row r="62" ht="26" customHeight="1">
      <c r="B62" s="21" t="inlineStr">
        <is>
          <t>Check 2: Exit Equity = Exit EV − Ending Debt</t>
        </is>
      </c>
      <c r="C62" s="22">
        <f>K14-(K12-K13)</f>
        <v/>
      </c>
      <c r="D62" s="21" t="inlineStr">
        <is>
          <t>Difference</t>
        </is>
      </c>
      <c r="E62" s="23">
        <f>IF(ABS(C62)&lt;1,"OK","ERROR")</f>
        <v/>
      </c>
    </row>
    <row r="63" ht="26" customHeight="1">
      <c r="B63" s="21" t="inlineStr">
        <is>
          <t>Check 3: FCF(Y3) = EBITDA − Taxes − CAPEX − ΔNWC</t>
        </is>
      </c>
      <c r="C63" s="22">
        <f>F32-(F23-F28-F30-F31)</f>
        <v/>
      </c>
      <c r="D63" s="21" t="inlineStr">
        <is>
          <t>Difference</t>
        </is>
      </c>
      <c r="E63" s="23">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3">
    <mergeCell ref="J16:O16"/>
    <mergeCell ref="J4:K4"/>
    <mergeCell ref="J22:M22"/>
    <mergeCell ref="B40:H40"/>
    <mergeCell ref="B1:H1"/>
    <mergeCell ref="J5:K5"/>
    <mergeCell ref="B60:H60"/>
    <mergeCell ref="B4:D4"/>
    <mergeCell ref="J20:M20"/>
    <mergeCell ref="J21:M21"/>
    <mergeCell ref="B20:H20"/>
    <mergeCell ref="J18:M18"/>
    <mergeCell ref="J19:M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3"/>
  <sheetViews>
    <sheetView workbookViewId="0">
      <selection activeCell="G10" sqref="G10"/>
    </sheetView>
  </sheetViews>
  <sheetFormatPr baseColWidth="8" defaultRowHeight="14.5"/>
  <cols>
    <col width="2" customWidth="1" min="1" max="1"/>
    <col width="34" customWidth="1" min="2" max="2"/>
    <col width="18" customWidth="1" min="3" max="3"/>
    <col width="12" customWidth="1" min="4" max="4"/>
    <col width="16" customWidth="1" min="5" max="8"/>
    <col width="2" customWidth="1" min="9" max="9"/>
    <col width="32" customWidth="1" min="10" max="10"/>
    <col width="18" customWidth="1" min="11" max="11"/>
    <col width="14" customWidth="1" min="12" max="15"/>
  </cols>
  <sheetData>
    <row r="1" ht="18.5" customHeight="1">
      <c r="B1" s="41" t="inlineStr">
        <is>
          <t>LBO Model – Pharmaceuticals (Generics)</t>
        </is>
      </c>
      <c r="C1" s="49" t="n"/>
      <c r="D1" s="49" t="n"/>
      <c r="E1" s="49" t="n"/>
      <c r="F1" s="49" t="n"/>
      <c r="G1" s="49" t="n"/>
      <c r="H1" s="50" t="n"/>
    </row>
    <row r="2" ht="43.5" customHeight="1">
      <c r="B2" s="1" t="inlineStr">
        <is>
          <t>Currency:</t>
        </is>
      </c>
      <c r="C2" s="2" t="inlineStr">
        <is>
          <t>INR (₹) — Indian digit grouping (lakhs/crores)</t>
        </is>
      </c>
    </row>
    <row r="3"/>
    <row r="4">
      <c r="B4" s="44" t="inlineStr">
        <is>
          <t>INPUTS (manual entries)</t>
        </is>
      </c>
      <c r="C4" s="49" t="n"/>
      <c r="D4" s="50" t="n"/>
      <c r="J4" s="42" t="inlineStr">
        <is>
          <t>OUTPUTS (auto)</t>
        </is>
      </c>
      <c r="K4" s="50" t="n"/>
    </row>
    <row r="5">
      <c r="B5" s="3" t="inlineStr">
        <is>
          <t>LTM Sales</t>
        </is>
      </c>
      <c r="C5" s="4" t="n">
        <v>9000000</v>
      </c>
      <c r="D5" s="5" t="inlineStr">
        <is>
          <t>₹</t>
        </is>
      </c>
      <c r="J5" s="42" t="inlineStr">
        <is>
          <t>Valuation</t>
        </is>
      </c>
      <c r="K5" s="50" t="n"/>
    </row>
    <row r="6">
      <c r="B6" s="3" t="inlineStr">
        <is>
          <t>LTM EBITDA Margin</t>
        </is>
      </c>
      <c r="C6" s="6" t="n">
        <v>0.28</v>
      </c>
      <c r="D6" s="5" t="inlineStr">
        <is>
          <t>%</t>
        </is>
      </c>
      <c r="J6" s="7" t="inlineStr">
        <is>
          <t>Entry EBITDA (Y0)</t>
        </is>
      </c>
      <c r="K6" s="8">
        <f>C23</f>
        <v/>
      </c>
    </row>
    <row r="7">
      <c r="B7" s="3" t="inlineStr">
        <is>
          <t>Entry EBITDA Multiple</t>
        </is>
      </c>
      <c r="C7" s="9" t="n">
        <v>7.5</v>
      </c>
      <c r="D7" s="5" t="inlineStr">
        <is>
          <t>x</t>
        </is>
      </c>
      <c r="J7" s="7" t="inlineStr">
        <is>
          <t>Entry EV</t>
        </is>
      </c>
      <c r="K7" s="8">
        <f>K6*C7</f>
        <v/>
      </c>
    </row>
    <row r="8">
      <c r="B8" s="3" t="inlineStr">
        <is>
          <t>Annual Sales Growth</t>
        </is>
      </c>
      <c r="C8" s="6" t="n">
        <v>0.09</v>
      </c>
      <c r="D8" s="5" t="inlineStr">
        <is>
          <t>%</t>
        </is>
      </c>
      <c r="J8" s="7" t="inlineStr">
        <is>
          <t>Debt at Entry</t>
        </is>
      </c>
      <c r="K8" s="8">
        <f>K7*C12</f>
        <v/>
      </c>
    </row>
    <row r="9">
      <c r="B9" s="3" t="inlineStr">
        <is>
          <t>Projected EBITDA Margin (Y1–Y5)</t>
        </is>
      </c>
      <c r="C9" s="6" t="n">
        <v>0.3</v>
      </c>
      <c r="D9" s="5" t="inlineStr">
        <is>
          <t>%</t>
        </is>
      </c>
      <c r="J9" s="7" t="inlineStr">
        <is>
          <t>Equity at Entry</t>
        </is>
      </c>
      <c r="K9" s="8">
        <f>K7-K8</f>
        <v/>
      </c>
    </row>
    <row r="10">
      <c r="B10" s="3" t="inlineStr">
        <is>
          <t>Corporate Tax Rate</t>
        </is>
      </c>
      <c r="C10" s="6" t="n">
        <v>0.25</v>
      </c>
      <c r="D10" s="5" t="inlineStr">
        <is>
          <t>%</t>
        </is>
      </c>
    </row>
    <row r="11">
      <c r="B11" s="3" t="inlineStr">
        <is>
          <t>Exit EBITDA Multiple (Year 5)</t>
        </is>
      </c>
      <c r="C11" s="9" t="n">
        <v>8.5</v>
      </c>
      <c r="D11" s="5" t="inlineStr">
        <is>
          <t>x</t>
        </is>
      </c>
      <c r="J11" s="7" t="inlineStr">
        <is>
          <t>Exit EBITDA (Y5)</t>
        </is>
      </c>
      <c r="K11" s="8">
        <f>H23</f>
        <v/>
      </c>
    </row>
    <row r="12">
      <c r="B12" s="3" t="inlineStr">
        <is>
          <t>% Debt Financing (at Entry)</t>
        </is>
      </c>
      <c r="C12" s="6" t="n">
        <v>0.35</v>
      </c>
      <c r="D12" s="5" t="inlineStr">
        <is>
          <t>%</t>
        </is>
      </c>
      <c r="J12" s="7" t="inlineStr">
        <is>
          <t>Exit EV</t>
        </is>
      </c>
      <c r="K12" s="8">
        <f>K11*C11</f>
        <v/>
      </c>
    </row>
    <row r="13">
      <c r="B13" s="3" t="inlineStr">
        <is>
          <t>Interest Rate on Debt</t>
        </is>
      </c>
      <c r="C13" s="6" t="n">
        <v>0.11</v>
      </c>
      <c r="D13" s="5" t="inlineStr">
        <is>
          <t>%</t>
        </is>
      </c>
      <c r="J13" s="7" t="inlineStr">
        <is>
          <t>Ending Debt (assumed same as entry)</t>
        </is>
      </c>
      <c r="K13" s="8">
        <f>K8</f>
        <v/>
      </c>
    </row>
    <row r="14">
      <c r="B14" s="3" t="inlineStr">
        <is>
          <t>D&amp;A as % of Sales</t>
        </is>
      </c>
      <c r="C14" s="6" t="n">
        <v>0.08</v>
      </c>
      <c r="D14" s="5" t="inlineStr">
        <is>
          <t>%</t>
        </is>
      </c>
      <c r="J14" s="7" t="inlineStr">
        <is>
          <t>Equity at Exit</t>
        </is>
      </c>
      <c r="K14" s="8">
        <f>K12-K13</f>
        <v/>
      </c>
    </row>
    <row r="15">
      <c r="B15" s="3" t="inlineStr">
        <is>
          <t>CAPEX as % of Sales</t>
        </is>
      </c>
      <c r="C15" s="6" t="n">
        <v>0.1</v>
      </c>
      <c r="D15" s="5" t="inlineStr">
        <is>
          <t>%</t>
        </is>
      </c>
    </row>
    <row r="16" ht="15.5" customHeight="1">
      <c r="B16" s="3" t="inlineStr">
        <is>
          <t>NWC Investment as % of Incremental Sales</t>
        </is>
      </c>
      <c r="C16" s="6" t="n">
        <v>0.12</v>
      </c>
      <c r="D16" s="5" t="inlineStr">
        <is>
          <t>%</t>
        </is>
      </c>
      <c r="J16" s="47" t="inlineStr">
        <is>
          <t>Rate of Return</t>
        </is>
      </c>
      <c r="K16" s="49" t="n"/>
      <c r="L16" s="49" t="n"/>
      <c r="M16" s="49" t="n"/>
      <c r="N16" s="49" t="n"/>
      <c r="O16" s="50" t="n"/>
    </row>
    <row r="17"/>
    <row r="18">
      <c r="J18" s="45" t="inlineStr">
        <is>
          <t>MOIC - Multiple on Invested Capital (Equity)</t>
        </is>
      </c>
      <c r="K18" s="49" t="n"/>
      <c r="L18" s="49" t="n"/>
      <c r="M18" s="50" t="n"/>
      <c r="N18" s="10">
        <f>K14/K9</f>
        <v/>
      </c>
      <c r="O18" s="11">
        <f>Equity_at_Exit/Equity_at_Entry</f>
        <v/>
      </c>
    </row>
    <row r="19">
      <c r="J19" s="45" t="inlineStr">
        <is>
          <t>IRR - Internal Rate of Return</t>
        </is>
      </c>
      <c r="K19" s="49" t="n"/>
      <c r="L19" s="49" t="n"/>
      <c r="M19" s="50" t="n"/>
      <c r="N19" s="12">
        <f>((K14/K9)^(1/5))-1</f>
        <v/>
      </c>
      <c r="O19" s="11">
        <f>((MOIC)^(1/5))-1</f>
        <v/>
      </c>
    </row>
    <row r="20">
      <c r="B20" s="46" t="inlineStr">
        <is>
          <t>PROJECTIONS &amp; CALCULATIONS (formula-driven)</t>
        </is>
      </c>
      <c r="C20" s="49" t="n"/>
      <c r="D20" s="49" t="n"/>
      <c r="E20" s="49" t="n"/>
      <c r="F20" s="49" t="n"/>
      <c r="G20" s="49" t="n"/>
      <c r="H20" s="50" t="n"/>
      <c r="J20" s="45" t="inlineStr">
        <is>
          <t>The Rule of 72 IRR - applicable only if your MOIC is close to 2!!!</t>
        </is>
      </c>
      <c r="K20" s="49" t="n"/>
      <c r="L20" s="49" t="n"/>
      <c r="M20" s="50" t="n"/>
      <c r="N20" s="13">
        <f>72/5</f>
        <v/>
      </c>
      <c r="O20" s="11">
        <f>72/5</f>
        <v/>
      </c>
    </row>
    <row r="21">
      <c r="B21" s="14" t="inlineStr">
        <is>
          <t>Line item</t>
        </is>
      </c>
      <c r="C21" s="15" t="inlineStr">
        <is>
          <t>Y0 (LTM)</t>
        </is>
      </c>
      <c r="D21" s="15" t="inlineStr">
        <is>
          <t>Y1</t>
        </is>
      </c>
      <c r="E21" s="15" t="inlineStr">
        <is>
          <t>Y2</t>
        </is>
      </c>
      <c r="F21" s="15" t="inlineStr">
        <is>
          <t>Y3</t>
        </is>
      </c>
      <c r="G21" s="15" t="inlineStr">
        <is>
          <t>Y4</t>
        </is>
      </c>
      <c r="H21" s="15" t="inlineStr">
        <is>
          <t>Y5</t>
        </is>
      </c>
      <c r="J21" s="45" t="inlineStr">
        <is>
          <t>The Rule of 114 IRR - applicable only if your MOIC is close to 3!!!</t>
        </is>
      </c>
      <c r="K21" s="49" t="n"/>
      <c r="L21" s="49" t="n"/>
      <c r="M21" s="50" t="n"/>
      <c r="N21" s="13">
        <f>114/5</f>
        <v/>
      </c>
      <c r="O21" s="11">
        <f>114/5</f>
        <v/>
      </c>
    </row>
    <row r="22">
      <c r="B22" s="16" t="inlineStr">
        <is>
          <t>Sales</t>
        </is>
      </c>
      <c r="C22" s="17">
        <f>C5</f>
        <v/>
      </c>
      <c r="D22" s="17">
        <f>C22*(1+C8)</f>
        <v/>
      </c>
      <c r="E22" s="17">
        <f>D22*(1+C8)</f>
        <v/>
      </c>
      <c r="F22" s="17">
        <f>E22*(1+C8)</f>
        <v/>
      </c>
      <c r="G22" s="17">
        <f>F22*(1+C8)</f>
        <v/>
      </c>
      <c r="H22" s="17">
        <f>G22*(1+C8)</f>
        <v/>
      </c>
      <c r="J22" s="45" t="inlineStr">
        <is>
          <t>The Rule of 144 IRR - applicable only if your MOIC is close to 4!!!</t>
        </is>
      </c>
      <c r="K22" s="49" t="n"/>
      <c r="L22" s="49" t="n"/>
      <c r="M22" s="50" t="n"/>
      <c r="N22" s="13">
        <f>144/5</f>
        <v/>
      </c>
      <c r="O22" s="11">
        <f>144/5</f>
        <v/>
      </c>
    </row>
    <row r="23">
      <c r="B23" s="16" t="inlineStr">
        <is>
          <t>EBITDA</t>
        </is>
      </c>
      <c r="C23" s="17">
        <f>C22*C6</f>
        <v/>
      </c>
      <c r="D23" s="17">
        <f>D22*C9</f>
        <v/>
      </c>
      <c r="E23" s="17">
        <f>E22*C9</f>
        <v/>
      </c>
      <c r="F23" s="17">
        <f>F22*C9</f>
        <v/>
      </c>
      <c r="G23" s="17">
        <f>G22*C9</f>
        <v/>
      </c>
      <c r="H23" s="17">
        <f>H22*C9</f>
        <v/>
      </c>
    </row>
    <row r="24">
      <c r="B24" s="16" t="inlineStr">
        <is>
          <t>D&amp;A</t>
        </is>
      </c>
      <c r="C24" s="17">
        <f>C22*C14</f>
        <v/>
      </c>
      <c r="D24" s="17">
        <f>D22*C14</f>
        <v/>
      </c>
      <c r="E24" s="17">
        <f>E22*C14</f>
        <v/>
      </c>
      <c r="F24" s="17">
        <f>F22*C14</f>
        <v/>
      </c>
      <c r="G24" s="17">
        <f>G22*C14</f>
        <v/>
      </c>
      <c r="H24" s="17">
        <f>H22*C14</f>
        <v/>
      </c>
    </row>
    <row r="25">
      <c r="B25" s="16" t="inlineStr">
        <is>
          <t>EBIT</t>
        </is>
      </c>
      <c r="C25" s="17">
        <f>C23-C24</f>
        <v/>
      </c>
      <c r="D25" s="17">
        <f>D23-D24</f>
        <v/>
      </c>
      <c r="E25" s="17">
        <f>E23-E24</f>
        <v/>
      </c>
      <c r="F25" s="17">
        <f>F23-F24</f>
        <v/>
      </c>
      <c r="G25" s="17">
        <f>G23-G24</f>
        <v/>
      </c>
      <c r="H25" s="17">
        <f>H23-H24</f>
        <v/>
      </c>
    </row>
    <row r="26">
      <c r="B26" s="16" t="inlineStr">
        <is>
          <t>Interest</t>
        </is>
      </c>
      <c r="C26" s="17">
        <f>$K$8*C13</f>
        <v/>
      </c>
      <c r="D26" s="17">
        <f>$K$8*C13</f>
        <v/>
      </c>
      <c r="E26" s="17">
        <f>$K$8*C13</f>
        <v/>
      </c>
      <c r="F26" s="17">
        <f>$K$8*C13</f>
        <v/>
      </c>
      <c r="G26" s="17">
        <f>$K$8*C13</f>
        <v/>
      </c>
      <c r="H26" s="17">
        <f>$K$8*C13</f>
        <v/>
      </c>
    </row>
    <row r="27">
      <c r="B27" s="16" t="inlineStr">
        <is>
          <t>EBT</t>
        </is>
      </c>
      <c r="C27" s="17">
        <f>C25-C26</f>
        <v/>
      </c>
      <c r="D27" s="17">
        <f>D25-D26</f>
        <v/>
      </c>
      <c r="E27" s="17">
        <f>E25-E26</f>
        <v/>
      </c>
      <c r="F27" s="17">
        <f>F25-F26</f>
        <v/>
      </c>
      <c r="G27" s="17">
        <f>G25-G26</f>
        <v/>
      </c>
      <c r="H27" s="17">
        <f>H25-H26</f>
        <v/>
      </c>
    </row>
    <row r="28">
      <c r="B28" s="16" t="inlineStr">
        <is>
          <t>Taxes</t>
        </is>
      </c>
      <c r="C28" s="17">
        <f>MAX(0,C27*C10)</f>
        <v/>
      </c>
      <c r="D28" s="17">
        <f>MAX(0,D27*C10)</f>
        <v/>
      </c>
      <c r="E28" s="17">
        <f>MAX(0,E27*C10)</f>
        <v/>
      </c>
      <c r="F28" s="17">
        <f>MAX(0,F27*C10)</f>
        <v/>
      </c>
      <c r="G28" s="17">
        <f>MAX(0,G27*C10)</f>
        <v/>
      </c>
      <c r="H28" s="17">
        <f>MAX(0,H27*C10)</f>
        <v/>
      </c>
    </row>
    <row r="29">
      <c r="B29" s="16" t="inlineStr">
        <is>
          <t>Net Income</t>
        </is>
      </c>
      <c r="C29" s="17">
        <f>C27-C28</f>
        <v/>
      </c>
      <c r="D29" s="17">
        <f>D27-D28</f>
        <v/>
      </c>
      <c r="E29" s="17">
        <f>E27-E28</f>
        <v/>
      </c>
      <c r="F29" s="17">
        <f>F27-F28</f>
        <v/>
      </c>
      <c r="G29" s="17">
        <f>G27-G28</f>
        <v/>
      </c>
      <c r="H29" s="17">
        <f>H27-H28</f>
        <v/>
      </c>
    </row>
    <row r="30">
      <c r="B30" s="16" t="inlineStr">
        <is>
          <t>CAPEX</t>
        </is>
      </c>
      <c r="C30" s="17">
        <f>C22*C15</f>
        <v/>
      </c>
      <c r="D30" s="17">
        <f>D22*C15</f>
        <v/>
      </c>
      <c r="E30" s="17">
        <f>E22*C15</f>
        <v/>
      </c>
      <c r="F30" s="17">
        <f>F22*C15</f>
        <v/>
      </c>
      <c r="G30" s="17">
        <f>G22*C15</f>
        <v/>
      </c>
      <c r="H30" s="17">
        <f>H22*C15</f>
        <v/>
      </c>
    </row>
    <row r="31">
      <c r="B31" s="16" t="inlineStr">
        <is>
          <t>ΔNWC (Investment)</t>
        </is>
      </c>
      <c r="C31" s="17" t="n">
        <v>0</v>
      </c>
      <c r="D31" s="17">
        <f>MAX(0,(D22-C22)*C16)</f>
        <v/>
      </c>
      <c r="E31" s="17">
        <f>MAX(0,(E22-D22)*C16)</f>
        <v/>
      </c>
      <c r="F31" s="17">
        <f>MAX(0,(F22-E22)*C16)</f>
        <v/>
      </c>
      <c r="G31" s="17">
        <f>MAX(0,(G22-F22)*C16)</f>
        <v/>
      </c>
      <c r="H31" s="17">
        <f>MAX(0,(H22-G22)*C16)</f>
        <v/>
      </c>
    </row>
    <row r="32">
      <c r="B32" s="18" t="inlineStr">
        <is>
          <t>Free Cash Flow (FCF)</t>
        </is>
      </c>
      <c r="C32" s="17">
        <f>C23-C28-C30-C31</f>
        <v/>
      </c>
      <c r="D32" s="17">
        <f>D23-D28-D30-D31</f>
        <v/>
      </c>
      <c r="E32" s="17">
        <f>E23-E28-E30-E31</f>
        <v/>
      </c>
      <c r="F32" s="17">
        <f>F23-F28-F30-F31</f>
        <v/>
      </c>
      <c r="G32" s="17">
        <f>G23-G28-G30-G31</f>
        <v/>
      </c>
      <c r="H32" s="17">
        <f>H23-H28-H30-H31</f>
        <v/>
      </c>
    </row>
    <row r="33">
      <c r="B33" s="18" t="inlineStr">
        <is>
          <t>Cumulative FCF</t>
        </is>
      </c>
      <c r="C33" s="17">
        <f>C32</f>
        <v/>
      </c>
      <c r="D33" s="17">
        <f>C33+D32</f>
        <v/>
      </c>
      <c r="E33" s="17">
        <f>D33+E32</f>
        <v/>
      </c>
      <c r="F33" s="17">
        <f>E33+F32</f>
        <v/>
      </c>
      <c r="G33" s="17">
        <f>F33+G32</f>
        <v/>
      </c>
      <c r="H33" s="17">
        <f>G33+H32</f>
        <v/>
      </c>
    </row>
    <row r="34"/>
    <row r="35"/>
    <row r="36"/>
    <row r="37"/>
    <row r="38"/>
    <row r="39"/>
    <row r="40">
      <c r="B40" s="48" t="inlineStr">
        <is>
          <t>OUTPUT STATEMENTS (references to projection block)</t>
        </is>
      </c>
      <c r="C40" s="49" t="n"/>
      <c r="D40" s="49" t="n"/>
      <c r="E40" s="49" t="n"/>
      <c r="F40" s="49" t="n"/>
      <c r="G40" s="49" t="n"/>
      <c r="H40" s="50" t="n"/>
    </row>
    <row r="41">
      <c r="B41" s="19" t="inlineStr">
        <is>
          <t>Income Statement</t>
        </is>
      </c>
      <c r="C41" s="20" t="inlineStr">
        <is>
          <t>Y0 (LTM)</t>
        </is>
      </c>
      <c r="D41" s="20" t="inlineStr">
        <is>
          <t>Y1</t>
        </is>
      </c>
      <c r="E41" s="20" t="inlineStr">
        <is>
          <t>Y2</t>
        </is>
      </c>
      <c r="F41" s="20" t="inlineStr">
        <is>
          <t>Y3</t>
        </is>
      </c>
      <c r="G41" s="20" t="inlineStr">
        <is>
          <t>Y4</t>
        </is>
      </c>
      <c r="H41" s="20"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9" t="inlineStr">
        <is>
          <t>Cash Flow Statement</t>
        </is>
      </c>
      <c r="C51" s="20" t="inlineStr">
        <is>
          <t>Y0 (LTM)</t>
        </is>
      </c>
      <c r="D51" s="20" t="inlineStr">
        <is>
          <t>Y1</t>
        </is>
      </c>
      <c r="E51" s="20" t="inlineStr">
        <is>
          <t>Y2</t>
        </is>
      </c>
      <c r="F51" s="20" t="inlineStr">
        <is>
          <t>Y3</t>
        </is>
      </c>
      <c r="G51" s="20" t="inlineStr">
        <is>
          <t>Y4</t>
        </is>
      </c>
      <c r="H51" s="20"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43" t="inlineStr">
        <is>
          <t>CHECKS (should show OK)</t>
        </is>
      </c>
      <c r="C60" s="49" t="n"/>
      <c r="D60" s="49" t="n"/>
      <c r="E60" s="49" t="n"/>
      <c r="F60" s="49" t="n"/>
      <c r="G60" s="49" t="n"/>
      <c r="H60" s="50" t="n"/>
    </row>
    <row r="61">
      <c r="B61" s="21" t="inlineStr">
        <is>
          <t>Check 1: Entry EV = Debt + Equity</t>
        </is>
      </c>
      <c r="C61" s="22">
        <f>K7-(K8+K9)</f>
        <v/>
      </c>
      <c r="D61" s="21" t="inlineStr">
        <is>
          <t>Difference</t>
        </is>
      </c>
      <c r="E61" s="23">
        <f>IF(ABS(C61)&lt;1,"OK","ERROR")</f>
        <v/>
      </c>
    </row>
    <row r="62" ht="26" customHeight="1">
      <c r="B62" s="21" t="inlineStr">
        <is>
          <t>Check 2: Exit Equity = Exit EV − Ending Debt</t>
        </is>
      </c>
      <c r="C62" s="22">
        <f>K14-(K12-K13)</f>
        <v/>
      </c>
      <c r="D62" s="21" t="inlineStr">
        <is>
          <t>Difference</t>
        </is>
      </c>
      <c r="E62" s="23">
        <f>IF(ABS(C62)&lt;1,"OK","ERROR")</f>
        <v/>
      </c>
    </row>
    <row r="63" ht="26" customHeight="1">
      <c r="B63" s="21" t="inlineStr">
        <is>
          <t>Check 3: FCF(Y3) = EBITDA − Taxes − CAPEX − ΔNWC</t>
        </is>
      </c>
      <c r="C63" s="22">
        <f>F32-(F23-F28-F30-F31)</f>
        <v/>
      </c>
      <c r="D63" s="21" t="inlineStr">
        <is>
          <t>Difference</t>
        </is>
      </c>
      <c r="E63" s="23">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3">
    <mergeCell ref="J16:O16"/>
    <mergeCell ref="J4:K4"/>
    <mergeCell ref="J22:M22"/>
    <mergeCell ref="B40:H40"/>
    <mergeCell ref="B1:H1"/>
    <mergeCell ref="J5:K5"/>
    <mergeCell ref="B60:H60"/>
    <mergeCell ref="B4:D4"/>
    <mergeCell ref="J20:M20"/>
    <mergeCell ref="J21:M21"/>
    <mergeCell ref="B20:H20"/>
    <mergeCell ref="J18:M18"/>
    <mergeCell ref="J19:M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3"/>
  <sheetViews>
    <sheetView workbookViewId="0">
      <selection activeCell="O19" sqref="O19"/>
    </sheetView>
  </sheetViews>
  <sheetFormatPr baseColWidth="8" defaultRowHeight="14.5"/>
  <cols>
    <col width="2" customWidth="1" min="1" max="1"/>
    <col width="34" customWidth="1" min="2" max="2"/>
    <col width="18" customWidth="1" min="3" max="3"/>
    <col width="12" customWidth="1" min="4" max="4"/>
    <col width="16" customWidth="1" min="5" max="8"/>
    <col width="2" customWidth="1" min="9" max="9"/>
    <col width="32" customWidth="1" min="10" max="10"/>
    <col width="18" customWidth="1" min="11" max="11"/>
    <col width="14" customWidth="1" min="12" max="15"/>
  </cols>
  <sheetData>
    <row r="1" ht="18.5" customHeight="1">
      <c r="B1" s="41" t="inlineStr">
        <is>
          <t>LBO Model – Automobile Components</t>
        </is>
      </c>
      <c r="C1" s="49" t="n"/>
      <c r="D1" s="49" t="n"/>
      <c r="E1" s="49" t="n"/>
      <c r="F1" s="49" t="n"/>
      <c r="G1" s="49" t="n"/>
      <c r="H1" s="50" t="n"/>
    </row>
    <row r="2" ht="43.5" customHeight="1">
      <c r="B2" s="1" t="inlineStr">
        <is>
          <t>Currency:</t>
        </is>
      </c>
      <c r="C2" s="2" t="inlineStr">
        <is>
          <t>INR (₹) — Indian digit grouping (lakhs/crores)</t>
        </is>
      </c>
    </row>
    <row r="3"/>
    <row r="4">
      <c r="B4" s="44" t="inlineStr">
        <is>
          <t>INPUTS (manual entries)</t>
        </is>
      </c>
      <c r="C4" s="49" t="n"/>
      <c r="D4" s="50" t="n"/>
      <c r="J4" s="42" t="inlineStr">
        <is>
          <t>OUTPUTS (auto)</t>
        </is>
      </c>
      <c r="K4" s="50" t="n"/>
    </row>
    <row r="5">
      <c r="B5" s="3" t="inlineStr">
        <is>
          <t>LTM Sales</t>
        </is>
      </c>
      <c r="C5" s="4" t="n">
        <v>15000000</v>
      </c>
      <c r="D5" s="5" t="inlineStr">
        <is>
          <t>₹</t>
        </is>
      </c>
      <c r="J5" s="42" t="inlineStr">
        <is>
          <t>Valuation</t>
        </is>
      </c>
      <c r="K5" s="50" t="n"/>
    </row>
    <row r="6">
      <c r="B6" s="3" t="inlineStr">
        <is>
          <t>LTM EBITDA Margin</t>
        </is>
      </c>
      <c r="C6" s="6" t="n">
        <v>0.18</v>
      </c>
      <c r="D6" s="5" t="inlineStr">
        <is>
          <t>%</t>
        </is>
      </c>
      <c r="J6" s="7" t="inlineStr">
        <is>
          <t>Entry EBITDA (Y0)</t>
        </is>
      </c>
      <c r="K6" s="8">
        <f>C23</f>
        <v/>
      </c>
    </row>
    <row r="7">
      <c r="B7" s="3" t="inlineStr">
        <is>
          <t>Entry EBITDA Multiple</t>
        </is>
      </c>
      <c r="C7" s="9" t="n">
        <v>6.5</v>
      </c>
      <c r="D7" s="5" t="inlineStr">
        <is>
          <t>x</t>
        </is>
      </c>
      <c r="J7" s="7" t="inlineStr">
        <is>
          <t>Entry EV</t>
        </is>
      </c>
      <c r="K7" s="8">
        <f>K6*C7</f>
        <v/>
      </c>
    </row>
    <row r="8">
      <c r="B8" s="3" t="inlineStr">
        <is>
          <t>Annual Sales Growth</t>
        </is>
      </c>
      <c r="C8" s="6" t="n">
        <v>0.08</v>
      </c>
      <c r="D8" s="5" t="inlineStr">
        <is>
          <t>%</t>
        </is>
      </c>
      <c r="J8" s="7" t="inlineStr">
        <is>
          <t>Debt at Entry</t>
        </is>
      </c>
      <c r="K8" s="8">
        <f>K7*C12</f>
        <v/>
      </c>
    </row>
    <row r="9">
      <c r="B9" s="3" t="inlineStr">
        <is>
          <t>Projected EBITDA Margin (Y1–Y5)</t>
        </is>
      </c>
      <c r="C9" s="6" t="n">
        <v>0.2</v>
      </c>
      <c r="D9" s="5" t="inlineStr">
        <is>
          <t>%</t>
        </is>
      </c>
      <c r="J9" s="7" t="inlineStr">
        <is>
          <t>Equity at Entry</t>
        </is>
      </c>
      <c r="K9" s="8">
        <f>K7-K8</f>
        <v/>
      </c>
    </row>
    <row r="10">
      <c r="B10" s="3" t="inlineStr">
        <is>
          <t>Corporate Tax Rate</t>
        </is>
      </c>
      <c r="C10" s="6" t="n">
        <v>0.25</v>
      </c>
      <c r="D10" s="5" t="inlineStr">
        <is>
          <t>%</t>
        </is>
      </c>
    </row>
    <row r="11">
      <c r="B11" s="3" t="inlineStr">
        <is>
          <t>Exit EBITDA Multiple (Year 5)</t>
        </is>
      </c>
      <c r="C11" s="9" t="n">
        <v>7</v>
      </c>
      <c r="D11" s="5" t="inlineStr">
        <is>
          <t>x</t>
        </is>
      </c>
      <c r="J11" s="7" t="inlineStr">
        <is>
          <t>Exit EBITDA (Y5)</t>
        </is>
      </c>
      <c r="K11" s="8">
        <f>H23</f>
        <v/>
      </c>
    </row>
    <row r="12">
      <c r="B12" s="3" t="inlineStr">
        <is>
          <t>% Debt Financing (at Entry)</t>
        </is>
      </c>
      <c r="C12" s="6" t="n">
        <v>0.4</v>
      </c>
      <c r="D12" s="5" t="inlineStr">
        <is>
          <t>%</t>
        </is>
      </c>
      <c r="J12" s="7" t="inlineStr">
        <is>
          <t>Exit EV</t>
        </is>
      </c>
      <c r="K12" s="8">
        <f>K11*C11</f>
        <v/>
      </c>
    </row>
    <row r="13">
      <c r="B13" s="3" t="inlineStr">
        <is>
          <t>Interest Rate on Debt</t>
        </is>
      </c>
      <c r="C13" s="6" t="n">
        <v>0.12</v>
      </c>
      <c r="D13" s="5" t="inlineStr">
        <is>
          <t>%</t>
        </is>
      </c>
      <c r="J13" s="7" t="inlineStr">
        <is>
          <t>Ending Debt (assumed same as entry)</t>
        </is>
      </c>
      <c r="K13" s="8">
        <f>K8</f>
        <v/>
      </c>
    </row>
    <row r="14">
      <c r="B14" s="3" t="inlineStr">
        <is>
          <t>D&amp;A as % of Sales</t>
        </is>
      </c>
      <c r="C14" s="6" t="n">
        <v>0.09</v>
      </c>
      <c r="D14" s="5" t="inlineStr">
        <is>
          <t>%</t>
        </is>
      </c>
      <c r="J14" s="7" t="inlineStr">
        <is>
          <t>Equity at Exit</t>
        </is>
      </c>
      <c r="K14" s="8">
        <f>K12-K13</f>
        <v/>
      </c>
    </row>
    <row r="15">
      <c r="B15" s="3" t="inlineStr">
        <is>
          <t>CAPEX as % of Sales</t>
        </is>
      </c>
      <c r="C15" s="6" t="n">
        <v>0.11</v>
      </c>
      <c r="D15" s="5" t="inlineStr">
        <is>
          <t>%</t>
        </is>
      </c>
    </row>
    <row r="16" ht="15.5" customHeight="1">
      <c r="B16" s="3" t="inlineStr">
        <is>
          <t>NWC Investment as % of Incremental Sales</t>
        </is>
      </c>
      <c r="C16" s="6" t="n">
        <v>0.15</v>
      </c>
      <c r="D16" s="5" t="inlineStr">
        <is>
          <t>%</t>
        </is>
      </c>
      <c r="J16" s="47" t="inlineStr">
        <is>
          <t>Rate of Return</t>
        </is>
      </c>
      <c r="K16" s="49" t="n"/>
      <c r="L16" s="49" t="n"/>
      <c r="M16" s="49" t="n"/>
      <c r="N16" s="49" t="n"/>
      <c r="O16" s="50" t="n"/>
    </row>
    <row r="17"/>
    <row r="18">
      <c r="J18" s="45" t="inlineStr">
        <is>
          <t>MOIC - Multiple on Invested Capital (Equity)</t>
        </is>
      </c>
      <c r="K18" s="49" t="n"/>
      <c r="L18" s="49" t="n"/>
      <c r="M18" s="50" t="n"/>
      <c r="N18" s="10">
        <f>K14/K9</f>
        <v/>
      </c>
      <c r="O18" s="11" t="n"/>
    </row>
    <row r="19">
      <c r="J19" s="45" t="inlineStr">
        <is>
          <t>IRR - Internal Rate of Return</t>
        </is>
      </c>
      <c r="K19" s="49" t="n"/>
      <c r="L19" s="49" t="n"/>
      <c r="M19" s="50" t="n"/>
      <c r="N19" s="12">
        <f>((K14/K9)^(1/5))-1</f>
        <v/>
      </c>
      <c r="O19" s="11" t="n"/>
    </row>
    <row r="20">
      <c r="B20" s="46" t="inlineStr">
        <is>
          <t>PROJECTIONS &amp; CALCULATIONS (formula-driven)</t>
        </is>
      </c>
      <c r="C20" s="49" t="n"/>
      <c r="D20" s="49" t="n"/>
      <c r="E20" s="49" t="n"/>
      <c r="F20" s="49" t="n"/>
      <c r="G20" s="49" t="n"/>
      <c r="H20" s="50" t="n"/>
      <c r="J20" s="45" t="inlineStr">
        <is>
          <t>The Rule of 72 IRR - applicable only if your MOIC is close to 2!!!</t>
        </is>
      </c>
      <c r="K20" s="49" t="n"/>
      <c r="L20" s="49" t="n"/>
      <c r="M20" s="50" t="n"/>
      <c r="N20" s="13">
        <f>72/5</f>
        <v/>
      </c>
      <c r="O20" s="11">
        <f>72/5</f>
        <v/>
      </c>
    </row>
    <row r="21">
      <c r="B21" s="14" t="inlineStr">
        <is>
          <t>Line item</t>
        </is>
      </c>
      <c r="C21" s="15" t="inlineStr">
        <is>
          <t>Y0 (LTM)</t>
        </is>
      </c>
      <c r="D21" s="15" t="inlineStr">
        <is>
          <t>Y1</t>
        </is>
      </c>
      <c r="E21" s="15" t="inlineStr">
        <is>
          <t>Y2</t>
        </is>
      </c>
      <c r="F21" s="15" t="inlineStr">
        <is>
          <t>Y3</t>
        </is>
      </c>
      <c r="G21" s="15" t="inlineStr">
        <is>
          <t>Y4</t>
        </is>
      </c>
      <c r="H21" s="15" t="inlineStr">
        <is>
          <t>Y5</t>
        </is>
      </c>
      <c r="J21" s="45" t="inlineStr">
        <is>
          <t>The Rule of 114 IRR - applicable only if your MOIC is close to 3!!!</t>
        </is>
      </c>
      <c r="K21" s="49" t="n"/>
      <c r="L21" s="49" t="n"/>
      <c r="M21" s="50" t="n"/>
      <c r="N21" s="13">
        <f>114/5</f>
        <v/>
      </c>
      <c r="O21" s="11">
        <f>114/5</f>
        <v/>
      </c>
    </row>
    <row r="22">
      <c r="B22" s="16" t="inlineStr">
        <is>
          <t>Sales</t>
        </is>
      </c>
      <c r="C22" s="17">
        <f>C5</f>
        <v/>
      </c>
      <c r="D22" s="17">
        <f>C22*(1+C8)</f>
        <v/>
      </c>
      <c r="E22" s="17">
        <f>D22*(1+C8)</f>
        <v/>
      </c>
      <c r="F22" s="17">
        <f>E22*(1+C8)</f>
        <v/>
      </c>
      <c r="G22" s="17">
        <f>F22*(1+C8)</f>
        <v/>
      </c>
      <c r="H22" s="17">
        <f>G22*(1+C8)</f>
        <v/>
      </c>
      <c r="J22" s="45" t="inlineStr">
        <is>
          <t>The Rule of 144 IRR - applicable only if your MOIC is close to 4!!!</t>
        </is>
      </c>
      <c r="K22" s="49" t="n"/>
      <c r="L22" s="49" t="n"/>
      <c r="M22" s="50" t="n"/>
      <c r="N22" s="13">
        <f>144/5</f>
        <v/>
      </c>
      <c r="O22" s="11">
        <f>144/5</f>
        <v/>
      </c>
    </row>
    <row r="23">
      <c r="B23" s="16" t="inlineStr">
        <is>
          <t>EBITDA</t>
        </is>
      </c>
      <c r="C23" s="17">
        <f>C22*C6</f>
        <v/>
      </c>
      <c r="D23" s="17">
        <f>D22*C9</f>
        <v/>
      </c>
      <c r="E23" s="17">
        <f>E22*C9</f>
        <v/>
      </c>
      <c r="F23" s="17">
        <f>F22*C9</f>
        <v/>
      </c>
      <c r="G23" s="17">
        <f>G22*C9</f>
        <v/>
      </c>
      <c r="H23" s="17">
        <f>H22*C9</f>
        <v/>
      </c>
    </row>
    <row r="24">
      <c r="B24" s="16" t="inlineStr">
        <is>
          <t>D&amp;A</t>
        </is>
      </c>
      <c r="C24" s="17">
        <f>C22*C14</f>
        <v/>
      </c>
      <c r="D24" s="17">
        <f>D22*C14</f>
        <v/>
      </c>
      <c r="E24" s="17">
        <f>E22*C14</f>
        <v/>
      </c>
      <c r="F24" s="17">
        <f>F22*C14</f>
        <v/>
      </c>
      <c r="G24" s="17">
        <f>G22*C14</f>
        <v/>
      </c>
      <c r="H24" s="17">
        <f>H22*C14</f>
        <v/>
      </c>
    </row>
    <row r="25">
      <c r="B25" s="16" t="inlineStr">
        <is>
          <t>EBIT</t>
        </is>
      </c>
      <c r="C25" s="17">
        <f>C23-C24</f>
        <v/>
      </c>
      <c r="D25" s="17">
        <f>D23-D24</f>
        <v/>
      </c>
      <c r="E25" s="17">
        <f>E23-E24</f>
        <v/>
      </c>
      <c r="F25" s="17">
        <f>F23-F24</f>
        <v/>
      </c>
      <c r="G25" s="17">
        <f>G23-G24</f>
        <v/>
      </c>
      <c r="H25" s="17">
        <f>H23-H24</f>
        <v/>
      </c>
    </row>
    <row r="26">
      <c r="B26" s="16" t="inlineStr">
        <is>
          <t>Interest</t>
        </is>
      </c>
      <c r="C26" s="17">
        <f>$K$8*C13</f>
        <v/>
      </c>
      <c r="D26" s="17">
        <f>$K$8*C13</f>
        <v/>
      </c>
      <c r="E26" s="17">
        <f>$K$8*C13</f>
        <v/>
      </c>
      <c r="F26" s="17">
        <f>$K$8*C13</f>
        <v/>
      </c>
      <c r="G26" s="17">
        <f>$K$8*C13</f>
        <v/>
      </c>
      <c r="H26" s="17">
        <f>$K$8*C13</f>
        <v/>
      </c>
    </row>
    <row r="27">
      <c r="B27" s="16" t="inlineStr">
        <is>
          <t>EBT</t>
        </is>
      </c>
      <c r="C27" s="17">
        <f>C25-C26</f>
        <v/>
      </c>
      <c r="D27" s="17">
        <f>D25-D26</f>
        <v/>
      </c>
      <c r="E27" s="17">
        <f>E25-E26</f>
        <v/>
      </c>
      <c r="F27" s="17">
        <f>F25-F26</f>
        <v/>
      </c>
      <c r="G27" s="17">
        <f>G25-G26</f>
        <v/>
      </c>
      <c r="H27" s="17">
        <f>H25-H26</f>
        <v/>
      </c>
    </row>
    <row r="28">
      <c r="B28" s="16" t="inlineStr">
        <is>
          <t>Taxes</t>
        </is>
      </c>
      <c r="C28" s="17">
        <f>MAX(0,C27*C10)</f>
        <v/>
      </c>
      <c r="D28" s="17">
        <f>MAX(0,D27*C10)</f>
        <v/>
      </c>
      <c r="E28" s="17">
        <f>MAX(0,E27*C10)</f>
        <v/>
      </c>
      <c r="F28" s="17">
        <f>MAX(0,F27*C10)</f>
        <v/>
      </c>
      <c r="G28" s="17">
        <f>MAX(0,G27*C10)</f>
        <v/>
      </c>
      <c r="H28" s="17">
        <f>MAX(0,H27*C10)</f>
        <v/>
      </c>
    </row>
    <row r="29">
      <c r="B29" s="16" t="inlineStr">
        <is>
          <t>Net Income</t>
        </is>
      </c>
      <c r="C29" s="17">
        <f>C27-C28</f>
        <v/>
      </c>
      <c r="D29" s="17">
        <f>D27-D28</f>
        <v/>
      </c>
      <c r="E29" s="17">
        <f>E27-E28</f>
        <v/>
      </c>
      <c r="F29" s="17">
        <f>F27-F28</f>
        <v/>
      </c>
      <c r="G29" s="17">
        <f>G27-G28</f>
        <v/>
      </c>
      <c r="H29" s="17">
        <f>H27-H28</f>
        <v/>
      </c>
    </row>
    <row r="30">
      <c r="B30" s="16" t="inlineStr">
        <is>
          <t>CAPEX</t>
        </is>
      </c>
      <c r="C30" s="17">
        <f>C22*C15</f>
        <v/>
      </c>
      <c r="D30" s="17">
        <f>D22*C15</f>
        <v/>
      </c>
      <c r="E30" s="17">
        <f>E22*C15</f>
        <v/>
      </c>
      <c r="F30" s="17">
        <f>F22*C15</f>
        <v/>
      </c>
      <c r="G30" s="17">
        <f>G22*C15</f>
        <v/>
      </c>
      <c r="H30" s="17">
        <f>H22*C15</f>
        <v/>
      </c>
    </row>
    <row r="31">
      <c r="B31" s="16" t="inlineStr">
        <is>
          <t>ΔNWC (Investment)</t>
        </is>
      </c>
      <c r="C31" s="17" t="n">
        <v>0</v>
      </c>
      <c r="D31" s="17">
        <f>MAX(0,(D22-C22)*C16)</f>
        <v/>
      </c>
      <c r="E31" s="17">
        <f>MAX(0,(E22-D22)*C16)</f>
        <v/>
      </c>
      <c r="F31" s="17">
        <f>MAX(0,(F22-E22)*C16)</f>
        <v/>
      </c>
      <c r="G31" s="17">
        <f>MAX(0,(G22-F22)*C16)</f>
        <v/>
      </c>
      <c r="H31" s="17">
        <f>MAX(0,(H22-G22)*C16)</f>
        <v/>
      </c>
    </row>
    <row r="32">
      <c r="B32" s="18" t="inlineStr">
        <is>
          <t>Free Cash Flow (FCF)</t>
        </is>
      </c>
      <c r="C32" s="17">
        <f>C23-C28-C30-C31</f>
        <v/>
      </c>
      <c r="D32" s="17">
        <f>D23-D28-D30-D31</f>
        <v/>
      </c>
      <c r="E32" s="17">
        <f>E23-E28-E30-E31</f>
        <v/>
      </c>
      <c r="F32" s="17">
        <f>F23-F28-F30-F31</f>
        <v/>
      </c>
      <c r="G32" s="17">
        <f>G23-G28-G30-G31</f>
        <v/>
      </c>
      <c r="H32" s="17">
        <f>H23-H28-H30-H31</f>
        <v/>
      </c>
    </row>
    <row r="33">
      <c r="B33" s="18" t="inlineStr">
        <is>
          <t>Cumulative FCF</t>
        </is>
      </c>
      <c r="C33" s="17">
        <f>C32</f>
        <v/>
      </c>
      <c r="D33" s="17">
        <f>C33+D32</f>
        <v/>
      </c>
      <c r="E33" s="17">
        <f>D33+E32</f>
        <v/>
      </c>
      <c r="F33" s="17">
        <f>E33+F32</f>
        <v/>
      </c>
      <c r="G33" s="17">
        <f>F33+G32</f>
        <v/>
      </c>
      <c r="H33" s="17">
        <f>G33+H32</f>
        <v/>
      </c>
    </row>
    <row r="34"/>
    <row r="35"/>
    <row r="36"/>
    <row r="37"/>
    <row r="38"/>
    <row r="39"/>
    <row r="40">
      <c r="B40" s="48" t="inlineStr">
        <is>
          <t>OUTPUT STATEMENTS (references to projection block)</t>
        </is>
      </c>
      <c r="C40" s="49" t="n"/>
      <c r="D40" s="49" t="n"/>
      <c r="E40" s="49" t="n"/>
      <c r="F40" s="49" t="n"/>
      <c r="G40" s="49" t="n"/>
      <c r="H40" s="50" t="n"/>
    </row>
    <row r="41">
      <c r="B41" s="19" t="inlineStr">
        <is>
          <t>Income Statement</t>
        </is>
      </c>
      <c r="C41" s="20" t="inlineStr">
        <is>
          <t>Y0 (LTM)</t>
        </is>
      </c>
      <c r="D41" s="20" t="inlineStr">
        <is>
          <t>Y1</t>
        </is>
      </c>
      <c r="E41" s="20" t="inlineStr">
        <is>
          <t>Y2</t>
        </is>
      </c>
      <c r="F41" s="20" t="inlineStr">
        <is>
          <t>Y3</t>
        </is>
      </c>
      <c r="G41" s="20" t="inlineStr">
        <is>
          <t>Y4</t>
        </is>
      </c>
      <c r="H41" s="20"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9" t="inlineStr">
        <is>
          <t>Cash Flow Statement</t>
        </is>
      </c>
      <c r="C51" s="20" t="inlineStr">
        <is>
          <t>Y0 (LTM)</t>
        </is>
      </c>
      <c r="D51" s="20" t="inlineStr">
        <is>
          <t>Y1</t>
        </is>
      </c>
      <c r="E51" s="20" t="inlineStr">
        <is>
          <t>Y2</t>
        </is>
      </c>
      <c r="F51" s="20" t="inlineStr">
        <is>
          <t>Y3</t>
        </is>
      </c>
      <c r="G51" s="20" t="inlineStr">
        <is>
          <t>Y4</t>
        </is>
      </c>
      <c r="H51" s="20"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43" t="inlineStr">
        <is>
          <t>CHECKS (should show OK)</t>
        </is>
      </c>
      <c r="C60" s="49" t="n"/>
      <c r="D60" s="49" t="n"/>
      <c r="E60" s="49" t="n"/>
      <c r="F60" s="49" t="n"/>
      <c r="G60" s="49" t="n"/>
      <c r="H60" s="50" t="n"/>
    </row>
    <row r="61">
      <c r="B61" s="21" t="inlineStr">
        <is>
          <t>Check 1: Entry EV = Debt + Equity</t>
        </is>
      </c>
      <c r="C61" s="22">
        <f>K7-(K8+K9)</f>
        <v/>
      </c>
      <c r="D61" s="21" t="inlineStr">
        <is>
          <t>Difference</t>
        </is>
      </c>
      <c r="E61" s="23">
        <f>IF(ABS(C61)&lt;1,"OK","ERROR")</f>
        <v/>
      </c>
    </row>
    <row r="62" ht="26" customHeight="1">
      <c r="B62" s="21" t="inlineStr">
        <is>
          <t>Check 2: Exit Equity = Exit EV − Ending Debt</t>
        </is>
      </c>
      <c r="C62" s="22">
        <f>K14-(K12-K13)</f>
        <v/>
      </c>
      <c r="D62" s="21" t="inlineStr">
        <is>
          <t>Difference</t>
        </is>
      </c>
      <c r="E62" s="23">
        <f>IF(ABS(C62)&lt;1,"OK","ERROR")</f>
        <v/>
      </c>
    </row>
    <row r="63" ht="26" customHeight="1">
      <c r="B63" s="21" t="inlineStr">
        <is>
          <t>Check 3: FCF(Y3) = EBITDA − Taxes − CAPEX − ΔNWC</t>
        </is>
      </c>
      <c r="C63" s="22">
        <f>F32-(F23-F28-F30-F31)</f>
        <v/>
      </c>
      <c r="D63" s="21" t="inlineStr">
        <is>
          <t>Difference</t>
        </is>
      </c>
      <c r="E63" s="23">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3">
    <mergeCell ref="J16:O16"/>
    <mergeCell ref="J4:K4"/>
    <mergeCell ref="J22:M22"/>
    <mergeCell ref="B40:H40"/>
    <mergeCell ref="B1:H1"/>
    <mergeCell ref="J5:K5"/>
    <mergeCell ref="B60:H60"/>
    <mergeCell ref="B4:D4"/>
    <mergeCell ref="J20:M20"/>
    <mergeCell ref="J21:M21"/>
    <mergeCell ref="B20:H20"/>
    <mergeCell ref="J18:M18"/>
    <mergeCell ref="J19:M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3"/>
  <sheetViews>
    <sheetView workbookViewId="0">
      <selection activeCell="F5" sqref="F5"/>
    </sheetView>
  </sheetViews>
  <sheetFormatPr baseColWidth="8" defaultRowHeight="14.5"/>
  <cols>
    <col width="2" customWidth="1" min="1" max="1"/>
    <col width="34" customWidth="1" min="2" max="2"/>
    <col width="18" customWidth="1" min="3" max="3"/>
    <col width="12" customWidth="1" min="4" max="4"/>
    <col width="16" customWidth="1" min="5" max="8"/>
    <col width="2" customWidth="1" min="9" max="9"/>
    <col width="32" customWidth="1" min="10" max="10"/>
    <col width="18" customWidth="1" min="11" max="11"/>
    <col width="14" customWidth="1" min="12" max="15"/>
  </cols>
  <sheetData>
    <row r="1" ht="18.5" customHeight="1">
      <c r="B1" s="41" t="inlineStr">
        <is>
          <t>LBO Model – Healthcare Services (Hospitals)</t>
        </is>
      </c>
      <c r="C1" s="49" t="n"/>
      <c r="D1" s="49" t="n"/>
      <c r="E1" s="49" t="n"/>
      <c r="F1" s="49" t="n"/>
      <c r="G1" s="49" t="n"/>
      <c r="H1" s="50" t="n"/>
    </row>
    <row r="2" ht="43.5" customHeight="1">
      <c r="B2" s="1" t="inlineStr">
        <is>
          <t>Currency:</t>
        </is>
      </c>
      <c r="C2" s="2" t="inlineStr">
        <is>
          <t>INR (₹) — Indian digit grouping (lakhs/crores)</t>
        </is>
      </c>
    </row>
    <row r="3"/>
    <row r="4">
      <c r="B4" s="44" t="inlineStr">
        <is>
          <t>INPUTS (manual entries)</t>
        </is>
      </c>
      <c r="C4" s="49" t="n"/>
      <c r="D4" s="50" t="n"/>
      <c r="J4" s="42" t="inlineStr">
        <is>
          <t>OUTPUTS (auto)</t>
        </is>
      </c>
      <c r="K4" s="50" t="n"/>
    </row>
    <row r="5">
      <c r="B5" s="3" t="inlineStr">
        <is>
          <t>LTM Sales</t>
        </is>
      </c>
      <c r="C5" s="4" t="n">
        <v>10500000</v>
      </c>
      <c r="D5" s="5" t="inlineStr">
        <is>
          <t>₹</t>
        </is>
      </c>
      <c r="J5" s="42" t="inlineStr">
        <is>
          <t>Valuation</t>
        </is>
      </c>
      <c r="K5" s="50" t="n"/>
    </row>
    <row r="6">
      <c r="B6" s="3" t="inlineStr">
        <is>
          <t>LTM EBITDA Margin</t>
        </is>
      </c>
      <c r="C6" s="6" t="n">
        <v>0.26</v>
      </c>
      <c r="D6" s="5" t="inlineStr">
        <is>
          <t>%</t>
        </is>
      </c>
      <c r="J6" s="7" t="inlineStr">
        <is>
          <t>Entry EBITDA (Y0)</t>
        </is>
      </c>
      <c r="K6" s="8">
        <f>C23</f>
        <v/>
      </c>
    </row>
    <row r="7">
      <c r="B7" s="3" t="inlineStr">
        <is>
          <t>Entry EBITDA Multiple</t>
        </is>
      </c>
      <c r="C7" s="9" t="n">
        <v>9</v>
      </c>
      <c r="D7" s="5" t="inlineStr">
        <is>
          <t>x</t>
        </is>
      </c>
      <c r="J7" s="7" t="inlineStr">
        <is>
          <t>Entry EV</t>
        </is>
      </c>
      <c r="K7" s="8">
        <f>K6*C7</f>
        <v/>
      </c>
    </row>
    <row r="8">
      <c r="B8" s="3" t="inlineStr">
        <is>
          <t>Annual Sales Growth</t>
        </is>
      </c>
      <c r="C8" s="6" t="n">
        <v>0.11</v>
      </c>
      <c r="D8" s="5" t="inlineStr">
        <is>
          <t>%</t>
        </is>
      </c>
      <c r="J8" s="7" t="inlineStr">
        <is>
          <t>Debt at Entry</t>
        </is>
      </c>
      <c r="K8" s="8">
        <f>K7*C12</f>
        <v/>
      </c>
    </row>
    <row r="9">
      <c r="B9" s="3" t="inlineStr">
        <is>
          <t>Projected EBITDA Margin (Y1–Y5)</t>
        </is>
      </c>
      <c r="C9" s="6" t="n">
        <v>0.28</v>
      </c>
      <c r="D9" s="5" t="inlineStr">
        <is>
          <t>%</t>
        </is>
      </c>
      <c r="J9" s="7" t="inlineStr">
        <is>
          <t>Equity at Entry</t>
        </is>
      </c>
      <c r="K9" s="8">
        <f>K7-K8</f>
        <v/>
      </c>
    </row>
    <row r="10">
      <c r="B10" s="3" t="inlineStr">
        <is>
          <t>Corporate Tax Rate</t>
        </is>
      </c>
      <c r="C10" s="6" t="n">
        <v>0.24</v>
      </c>
      <c r="D10" s="5" t="inlineStr">
        <is>
          <t>%</t>
        </is>
      </c>
    </row>
    <row r="11">
      <c r="B11" s="3" t="inlineStr">
        <is>
          <t>Exit EBITDA Multiple (Year 5)</t>
        </is>
      </c>
      <c r="C11" s="9" t="n">
        <v>10</v>
      </c>
      <c r="D11" s="5" t="inlineStr">
        <is>
          <t>x</t>
        </is>
      </c>
      <c r="J11" s="7" t="inlineStr">
        <is>
          <t>Exit EBITDA (Y5)</t>
        </is>
      </c>
      <c r="K11" s="8">
        <f>H23</f>
        <v/>
      </c>
    </row>
    <row r="12">
      <c r="B12" s="3" t="inlineStr">
        <is>
          <t>% Debt Financing (at Entry)</t>
        </is>
      </c>
      <c r="C12" s="6" t="n">
        <v>0.25</v>
      </c>
      <c r="D12" s="5" t="inlineStr">
        <is>
          <t>%</t>
        </is>
      </c>
      <c r="J12" s="7" t="inlineStr">
        <is>
          <t>Exit EV</t>
        </is>
      </c>
      <c r="K12" s="8">
        <f>K11*C11</f>
        <v/>
      </c>
    </row>
    <row r="13">
      <c r="B13" s="3" t="inlineStr">
        <is>
          <t>Interest Rate on Debt</t>
        </is>
      </c>
      <c r="C13" s="6" t="n">
        <v>0.105</v>
      </c>
      <c r="D13" s="5" t="inlineStr">
        <is>
          <t>%</t>
        </is>
      </c>
      <c r="J13" s="7" t="inlineStr">
        <is>
          <t>Ending Debt (assumed same as entry)</t>
        </is>
      </c>
      <c r="K13" s="8">
        <f>K8</f>
        <v/>
      </c>
    </row>
    <row r="14">
      <c r="B14" s="3" t="inlineStr">
        <is>
          <t>D&amp;A as % of Sales</t>
        </is>
      </c>
      <c r="C14" s="6" t="n">
        <v>0.07000000000000001</v>
      </c>
      <c r="D14" s="5" t="inlineStr">
        <is>
          <t>%</t>
        </is>
      </c>
      <c r="J14" s="7" t="inlineStr">
        <is>
          <t>Equity at Exit</t>
        </is>
      </c>
      <c r="K14" s="8">
        <f>K12-K13</f>
        <v/>
      </c>
    </row>
    <row r="15">
      <c r="B15" s="3" t="inlineStr">
        <is>
          <t>CAPEX as % of Sales</t>
        </is>
      </c>
      <c r="C15" s="6" t="n">
        <v>0.09</v>
      </c>
      <c r="D15" s="5" t="inlineStr">
        <is>
          <t>%</t>
        </is>
      </c>
    </row>
    <row r="16" ht="15.5" customHeight="1">
      <c r="B16" s="3" t="inlineStr">
        <is>
          <t>NWC Investment as % of Incremental Sales</t>
        </is>
      </c>
      <c r="C16" s="6" t="n">
        <v>0.1</v>
      </c>
      <c r="D16" s="5" t="inlineStr">
        <is>
          <t>%</t>
        </is>
      </c>
      <c r="J16" s="47" t="inlineStr">
        <is>
          <t>Rate of Return</t>
        </is>
      </c>
      <c r="K16" s="49" t="n"/>
      <c r="L16" s="49" t="n"/>
      <c r="M16" s="49" t="n"/>
      <c r="N16" s="49" t="n"/>
      <c r="O16" s="50" t="n"/>
    </row>
    <row r="17"/>
    <row r="18">
      <c r="J18" s="45" t="inlineStr">
        <is>
          <t>MOIC - Multiple on Invested Capital (Equity)</t>
        </is>
      </c>
      <c r="K18" s="49" t="n"/>
      <c r="L18" s="49" t="n"/>
      <c r="M18" s="50" t="n"/>
      <c r="N18" s="10">
        <f>K14/K9</f>
        <v/>
      </c>
      <c r="O18" s="11" t="n"/>
    </row>
    <row r="19">
      <c r="J19" s="45" t="inlineStr">
        <is>
          <t>IRR - Internal Rate of Return</t>
        </is>
      </c>
      <c r="K19" s="49" t="n"/>
      <c r="L19" s="49" t="n"/>
      <c r="M19" s="50" t="n"/>
      <c r="N19" s="12">
        <f>((K14/K9)^(1/5))-1</f>
        <v/>
      </c>
      <c r="O19" s="11" t="n"/>
    </row>
    <row r="20">
      <c r="B20" s="46" t="inlineStr">
        <is>
          <t>PROJECTIONS &amp; CALCULATIONS (formula-driven)</t>
        </is>
      </c>
      <c r="C20" s="49" t="n"/>
      <c r="D20" s="49" t="n"/>
      <c r="E20" s="49" t="n"/>
      <c r="F20" s="49" t="n"/>
      <c r="G20" s="49" t="n"/>
      <c r="H20" s="50" t="n"/>
      <c r="J20" s="45" t="inlineStr">
        <is>
          <t>The Rule of 72 IRR - applicable only if your MOIC is close to 2!!!</t>
        </is>
      </c>
      <c r="K20" s="49" t="n"/>
      <c r="L20" s="49" t="n"/>
      <c r="M20" s="50" t="n"/>
      <c r="N20" s="13">
        <f>72/5</f>
        <v/>
      </c>
      <c r="O20" s="11">
        <f>72/5</f>
        <v/>
      </c>
    </row>
    <row r="21">
      <c r="B21" s="14" t="inlineStr">
        <is>
          <t>Line item</t>
        </is>
      </c>
      <c r="C21" s="15" t="inlineStr">
        <is>
          <t>Y0 (LTM)</t>
        </is>
      </c>
      <c r="D21" s="15" t="inlineStr">
        <is>
          <t>Y1</t>
        </is>
      </c>
      <c r="E21" s="15" t="inlineStr">
        <is>
          <t>Y2</t>
        </is>
      </c>
      <c r="F21" s="15" t="inlineStr">
        <is>
          <t>Y3</t>
        </is>
      </c>
      <c r="G21" s="15" t="inlineStr">
        <is>
          <t>Y4</t>
        </is>
      </c>
      <c r="H21" s="15" t="inlineStr">
        <is>
          <t>Y5</t>
        </is>
      </c>
      <c r="J21" s="45" t="inlineStr">
        <is>
          <t>The Rule of 114 IRR - applicable only if your MOIC is close to 3!!!</t>
        </is>
      </c>
      <c r="K21" s="49" t="n"/>
      <c r="L21" s="49" t="n"/>
      <c r="M21" s="50" t="n"/>
      <c r="N21" s="13">
        <f>114/5</f>
        <v/>
      </c>
      <c r="O21" s="11">
        <f>114/5</f>
        <v/>
      </c>
    </row>
    <row r="22">
      <c r="B22" s="16" t="inlineStr">
        <is>
          <t>Sales</t>
        </is>
      </c>
      <c r="C22" s="17">
        <f>C5</f>
        <v/>
      </c>
      <c r="D22" s="17">
        <f>C22*(1+C8)</f>
        <v/>
      </c>
      <c r="E22" s="17">
        <f>D22*(1+C8)</f>
        <v/>
      </c>
      <c r="F22" s="17">
        <f>E22*(1+C8)</f>
        <v/>
      </c>
      <c r="G22" s="17">
        <f>F22*(1+C8)</f>
        <v/>
      </c>
      <c r="H22" s="17">
        <f>G22*(1+C8)</f>
        <v/>
      </c>
      <c r="J22" s="45" t="inlineStr">
        <is>
          <t>The Rule of 144 IRR - applicable only if your MOIC is close to 4!!!</t>
        </is>
      </c>
      <c r="K22" s="49" t="n"/>
      <c r="L22" s="49" t="n"/>
      <c r="M22" s="50" t="n"/>
      <c r="N22" s="13">
        <f>144/5</f>
        <v/>
      </c>
      <c r="O22" s="11">
        <f>144/5</f>
        <v/>
      </c>
    </row>
    <row r="23">
      <c r="B23" s="16" t="inlineStr">
        <is>
          <t>EBITDA</t>
        </is>
      </c>
      <c r="C23" s="17">
        <f>C22*C6</f>
        <v/>
      </c>
      <c r="D23" s="17">
        <f>D22*C9</f>
        <v/>
      </c>
      <c r="E23" s="17">
        <f>E22*C9</f>
        <v/>
      </c>
      <c r="F23" s="17">
        <f>F22*C9</f>
        <v/>
      </c>
      <c r="G23" s="17">
        <f>G22*C9</f>
        <v/>
      </c>
      <c r="H23" s="17">
        <f>H22*C9</f>
        <v/>
      </c>
    </row>
    <row r="24">
      <c r="B24" s="16" t="inlineStr">
        <is>
          <t>D&amp;A</t>
        </is>
      </c>
      <c r="C24" s="17">
        <f>C22*C14</f>
        <v/>
      </c>
      <c r="D24" s="17">
        <f>D22*C14</f>
        <v/>
      </c>
      <c r="E24" s="17">
        <f>E22*C14</f>
        <v/>
      </c>
      <c r="F24" s="17">
        <f>F22*C14</f>
        <v/>
      </c>
      <c r="G24" s="17">
        <f>G22*C14</f>
        <v/>
      </c>
      <c r="H24" s="17">
        <f>H22*C14</f>
        <v/>
      </c>
    </row>
    <row r="25">
      <c r="B25" s="16" t="inlineStr">
        <is>
          <t>EBIT</t>
        </is>
      </c>
      <c r="C25" s="17">
        <f>C23-C24</f>
        <v/>
      </c>
      <c r="D25" s="17">
        <f>D23-D24</f>
        <v/>
      </c>
      <c r="E25" s="17">
        <f>E23-E24</f>
        <v/>
      </c>
      <c r="F25" s="17">
        <f>F23-F24</f>
        <v/>
      </c>
      <c r="G25" s="17">
        <f>G23-G24</f>
        <v/>
      </c>
      <c r="H25" s="17">
        <f>H23-H24</f>
        <v/>
      </c>
    </row>
    <row r="26">
      <c r="B26" s="16" t="inlineStr">
        <is>
          <t>Interest</t>
        </is>
      </c>
      <c r="C26" s="17">
        <f>$K$8*C13</f>
        <v/>
      </c>
      <c r="D26" s="17">
        <f>$K$8*C13</f>
        <v/>
      </c>
      <c r="E26" s="17">
        <f>$K$8*C13</f>
        <v/>
      </c>
      <c r="F26" s="17">
        <f>$K$8*C13</f>
        <v/>
      </c>
      <c r="G26" s="17">
        <f>$K$8*C13</f>
        <v/>
      </c>
      <c r="H26" s="17">
        <f>$K$8*C13</f>
        <v/>
      </c>
    </row>
    <row r="27">
      <c r="B27" s="16" t="inlineStr">
        <is>
          <t>EBT</t>
        </is>
      </c>
      <c r="C27" s="17">
        <f>C25-C26</f>
        <v/>
      </c>
      <c r="D27" s="17">
        <f>D25-D26</f>
        <v/>
      </c>
      <c r="E27" s="17">
        <f>E25-E26</f>
        <v/>
      </c>
      <c r="F27" s="17">
        <f>F25-F26</f>
        <v/>
      </c>
      <c r="G27" s="17">
        <f>G25-G26</f>
        <v/>
      </c>
      <c r="H27" s="17">
        <f>H25-H26</f>
        <v/>
      </c>
    </row>
    <row r="28">
      <c r="B28" s="16" t="inlineStr">
        <is>
          <t>Taxes</t>
        </is>
      </c>
      <c r="C28" s="17">
        <f>MAX(0,C27*C10)</f>
        <v/>
      </c>
      <c r="D28" s="17">
        <f>MAX(0,D27*C10)</f>
        <v/>
      </c>
      <c r="E28" s="17">
        <f>MAX(0,E27*C10)</f>
        <v/>
      </c>
      <c r="F28" s="17">
        <f>MAX(0,F27*C10)</f>
        <v/>
      </c>
      <c r="G28" s="17">
        <f>MAX(0,G27*C10)</f>
        <v/>
      </c>
      <c r="H28" s="17">
        <f>MAX(0,H27*C10)</f>
        <v/>
      </c>
    </row>
    <row r="29">
      <c r="B29" s="16" t="inlineStr">
        <is>
          <t>Net Income</t>
        </is>
      </c>
      <c r="C29" s="17">
        <f>C27-C28</f>
        <v/>
      </c>
      <c r="D29" s="17">
        <f>D27-D28</f>
        <v/>
      </c>
      <c r="E29" s="17">
        <f>E27-E28</f>
        <v/>
      </c>
      <c r="F29" s="17">
        <f>F27-F28</f>
        <v/>
      </c>
      <c r="G29" s="17">
        <f>G27-G28</f>
        <v/>
      </c>
      <c r="H29" s="17">
        <f>H27-H28</f>
        <v/>
      </c>
    </row>
    <row r="30">
      <c r="B30" s="16" t="inlineStr">
        <is>
          <t>CAPEX</t>
        </is>
      </c>
      <c r="C30" s="17">
        <f>C22*C15</f>
        <v/>
      </c>
      <c r="D30" s="17">
        <f>D22*C15</f>
        <v/>
      </c>
      <c r="E30" s="17">
        <f>E22*C15</f>
        <v/>
      </c>
      <c r="F30" s="17">
        <f>F22*C15</f>
        <v/>
      </c>
      <c r="G30" s="17">
        <f>G22*C15</f>
        <v/>
      </c>
      <c r="H30" s="17">
        <f>H22*C15</f>
        <v/>
      </c>
    </row>
    <row r="31">
      <c r="B31" s="16" t="inlineStr">
        <is>
          <t>ΔNWC (Investment)</t>
        </is>
      </c>
      <c r="C31" s="17" t="n">
        <v>0</v>
      </c>
      <c r="D31" s="17">
        <f>MAX(0,(D22-C22)*C16)</f>
        <v/>
      </c>
      <c r="E31" s="17">
        <f>MAX(0,(E22-D22)*C16)</f>
        <v/>
      </c>
      <c r="F31" s="17">
        <f>MAX(0,(F22-E22)*C16)</f>
        <v/>
      </c>
      <c r="G31" s="17">
        <f>MAX(0,(G22-F22)*C16)</f>
        <v/>
      </c>
      <c r="H31" s="17">
        <f>MAX(0,(H22-G22)*C16)</f>
        <v/>
      </c>
    </row>
    <row r="32">
      <c r="B32" s="18" t="inlineStr">
        <is>
          <t>Free Cash Flow (FCF)</t>
        </is>
      </c>
      <c r="C32" s="17">
        <f>C23-C28-C30-C31</f>
        <v/>
      </c>
      <c r="D32" s="17">
        <f>D23-D28-D30-D31</f>
        <v/>
      </c>
      <c r="E32" s="17">
        <f>E23-E28-E30-E31</f>
        <v/>
      </c>
      <c r="F32" s="17">
        <f>F23-F28-F30-F31</f>
        <v/>
      </c>
      <c r="G32" s="17">
        <f>G23-G28-G30-G31</f>
        <v/>
      </c>
      <c r="H32" s="17">
        <f>H23-H28-H30-H31</f>
        <v/>
      </c>
    </row>
    <row r="33">
      <c r="B33" s="18" t="inlineStr">
        <is>
          <t>Cumulative FCF</t>
        </is>
      </c>
      <c r="C33" s="17">
        <f>C32</f>
        <v/>
      </c>
      <c r="D33" s="17">
        <f>C33+D32</f>
        <v/>
      </c>
      <c r="E33" s="17">
        <f>D33+E32</f>
        <v/>
      </c>
      <c r="F33" s="17">
        <f>E33+F32</f>
        <v/>
      </c>
      <c r="G33" s="17">
        <f>F33+G32</f>
        <v/>
      </c>
      <c r="H33" s="17">
        <f>G33+H32</f>
        <v/>
      </c>
    </row>
    <row r="34"/>
    <row r="35"/>
    <row r="36"/>
    <row r="37"/>
    <row r="38"/>
    <row r="39"/>
    <row r="40">
      <c r="B40" s="48" t="inlineStr">
        <is>
          <t>OUTPUT STATEMENTS (references to projection block)</t>
        </is>
      </c>
      <c r="C40" s="49" t="n"/>
      <c r="D40" s="49" t="n"/>
      <c r="E40" s="49" t="n"/>
      <c r="F40" s="49" t="n"/>
      <c r="G40" s="49" t="n"/>
      <c r="H40" s="50" t="n"/>
    </row>
    <row r="41">
      <c r="B41" s="19" t="inlineStr">
        <is>
          <t>Income Statement</t>
        </is>
      </c>
      <c r="C41" s="20" t="inlineStr">
        <is>
          <t>Y0 (LTM)</t>
        </is>
      </c>
      <c r="D41" s="20" t="inlineStr">
        <is>
          <t>Y1</t>
        </is>
      </c>
      <c r="E41" s="20" t="inlineStr">
        <is>
          <t>Y2</t>
        </is>
      </c>
      <c r="F41" s="20" t="inlineStr">
        <is>
          <t>Y3</t>
        </is>
      </c>
      <c r="G41" s="20" t="inlineStr">
        <is>
          <t>Y4</t>
        </is>
      </c>
      <c r="H41" s="20"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9" t="inlineStr">
        <is>
          <t>Cash Flow Statement</t>
        </is>
      </c>
      <c r="C51" s="20" t="inlineStr">
        <is>
          <t>Y0 (LTM)</t>
        </is>
      </c>
      <c r="D51" s="20" t="inlineStr">
        <is>
          <t>Y1</t>
        </is>
      </c>
      <c r="E51" s="20" t="inlineStr">
        <is>
          <t>Y2</t>
        </is>
      </c>
      <c r="F51" s="20" t="inlineStr">
        <is>
          <t>Y3</t>
        </is>
      </c>
      <c r="G51" s="20" t="inlineStr">
        <is>
          <t>Y4</t>
        </is>
      </c>
      <c r="H51" s="20"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43" t="inlineStr">
        <is>
          <t>CHECKS (should show OK)</t>
        </is>
      </c>
      <c r="C60" s="49" t="n"/>
      <c r="D60" s="49" t="n"/>
      <c r="E60" s="49" t="n"/>
      <c r="F60" s="49" t="n"/>
      <c r="G60" s="49" t="n"/>
      <c r="H60" s="50" t="n"/>
    </row>
    <row r="61">
      <c r="B61" s="21" t="inlineStr">
        <is>
          <t>Check 1: Entry EV = Debt + Equity</t>
        </is>
      </c>
      <c r="C61" s="22">
        <f>K7-(K8+K9)</f>
        <v/>
      </c>
      <c r="D61" s="21" t="inlineStr">
        <is>
          <t>Difference</t>
        </is>
      </c>
      <c r="E61" s="23">
        <f>IF(ABS(C61)&lt;1,"OK","ERROR")</f>
        <v/>
      </c>
    </row>
    <row r="62" ht="26" customHeight="1">
      <c r="B62" s="21" t="inlineStr">
        <is>
          <t>Check 2: Exit Equity = Exit EV − Ending Debt</t>
        </is>
      </c>
      <c r="C62" s="22">
        <f>K14-(K12-K13)</f>
        <v/>
      </c>
      <c r="D62" s="21" t="inlineStr">
        <is>
          <t>Difference</t>
        </is>
      </c>
      <c r="E62" s="23">
        <f>IF(ABS(C62)&lt;1,"OK","ERROR")</f>
        <v/>
      </c>
    </row>
    <row r="63" ht="26" customHeight="1">
      <c r="B63" s="21" t="inlineStr">
        <is>
          <t>Check 3: FCF(Y3) = EBITDA − Taxes − CAPEX − ΔNWC</t>
        </is>
      </c>
      <c r="C63" s="22">
        <f>F32-(F23-F28-F30-F31)</f>
        <v/>
      </c>
      <c r="D63" s="21" t="inlineStr">
        <is>
          <t>Difference</t>
        </is>
      </c>
      <c r="E63" s="23">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3">
    <mergeCell ref="J16:O16"/>
    <mergeCell ref="J4:K4"/>
    <mergeCell ref="J22:M22"/>
    <mergeCell ref="B40:H40"/>
    <mergeCell ref="B1:H1"/>
    <mergeCell ref="J5:K5"/>
    <mergeCell ref="B60:H60"/>
    <mergeCell ref="B4:D4"/>
    <mergeCell ref="J20:M20"/>
    <mergeCell ref="J21:M21"/>
    <mergeCell ref="B20:H20"/>
    <mergeCell ref="J18:M18"/>
    <mergeCell ref="J19:M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2025-12-16T07:51:04Z</dcterms:created>
  <dcterms:modified xmlns:dcterms="http://purl.org/dc/terms/" xmlns:xsi="http://www.w3.org/2001/XMLSchema-instance" xsi:type="dcterms:W3CDTF">2026-01-02T06:53:58Z</dcterms:modified>
  <cp:lastModifiedBy>srikanthyadav444p</cp:lastModifiedBy>
</cp:coreProperties>
</file>