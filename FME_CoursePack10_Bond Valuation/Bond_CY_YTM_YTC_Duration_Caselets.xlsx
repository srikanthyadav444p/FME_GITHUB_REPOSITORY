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INDEX" sheetId="2" state="visible" r:id="rId2"/>
    <sheet xmlns:r="http://schemas.openxmlformats.org/officeDocument/2006/relationships" name="CASE_01" sheetId="3" state="visible" r:id="rId3"/>
    <sheet xmlns:r="http://schemas.openxmlformats.org/officeDocument/2006/relationships" name="CASE_02" sheetId="4" state="visible" r:id="rId4"/>
    <sheet xmlns:r="http://schemas.openxmlformats.org/officeDocument/2006/relationships" name="CASE_03" sheetId="5" state="visible" r:id="rId5"/>
    <sheet xmlns:r="http://schemas.openxmlformats.org/officeDocument/2006/relationships" name="CASE_04" sheetId="6" state="visible" r:id="rId6"/>
    <sheet xmlns:r="http://schemas.openxmlformats.org/officeDocument/2006/relationships" name="CASE_05" sheetId="7" state="visible" r:id="rId7"/>
    <sheet xmlns:r="http://schemas.openxmlformats.org/officeDocument/2006/relationships" name="CASE_06" sheetId="8" state="visible" r:id="rId8"/>
    <sheet xmlns:r="http://schemas.openxmlformats.org/officeDocument/2006/relationships" name="CASE_07" sheetId="9" state="visible" r:id="rId9"/>
    <sheet xmlns:r="http://schemas.openxmlformats.org/officeDocument/2006/relationships" name="CASE_08" sheetId="10" state="visible" r:id="rId10"/>
    <sheet xmlns:r="http://schemas.openxmlformats.org/officeDocument/2006/relationships" name="CASE_09" sheetId="11" state="visible" r:id="rId11"/>
    <sheet xmlns:r="http://schemas.openxmlformats.org/officeDocument/2006/relationships" name="CASE_10" sheetId="12" state="visible" r:id="rId12"/>
  </sheets>
  <definedNames/>
  <calcPr calcId="191029" fullCalcOnLoad="1"/>
</workbook>
</file>

<file path=xl/styles.xml><?xml version="1.0" encoding="utf-8"?>
<styleSheet xmlns="http://schemas.openxmlformats.org/spreadsheetml/2006/main">
  <numFmts count="5">
    <numFmt numFmtId="164" formatCode="dd\-mmm\-yyyy"/>
    <numFmt numFmtId="165" formatCode="\₹###,##0"/>
    <numFmt numFmtId="166" formatCode="\₹###,##0.00"/>
    <numFmt numFmtId="167" formatCode="0.0000"/>
    <numFmt numFmtId="168" formatCode="0.000"/>
  </numFmts>
  <fonts count="15">
    <font>
      <name val="Calibri"/>
      <family val="2"/>
      <color theme="1"/>
      <sz val="11"/>
      <scheme val="minor"/>
    </font>
    <font>
      <name val="Calibri"/>
      <family val="2"/>
      <b val="1"/>
      <color rgb="FF1F4E79"/>
      <sz val="16"/>
    </font>
    <font>
      <name val="Calibri"/>
      <family val="2"/>
      <b val="1"/>
      <sz val="11"/>
    </font>
    <font>
      <name val="Calibri"/>
      <family val="2"/>
      <b val="1"/>
      <color rgb="FFFFFFFF"/>
      <sz val="12"/>
    </font>
    <font>
      <name val="Calibri"/>
      <family val="2"/>
      <color theme="10"/>
      <sz val="12"/>
      <scheme val="minor"/>
    </font>
    <font>
      <name val="Calibri"/>
      <family val="2"/>
      <b val="1"/>
      <color rgb="FF1F4E79"/>
      <sz val="15"/>
    </font>
    <font>
      <name val="Calibri"/>
      <family val="2"/>
      <b val="1"/>
      <color rgb="FF1F4E79"/>
      <sz val="11"/>
    </font>
    <font>
      <name val="Calibri"/>
      <family val="2"/>
      <color theme="1"/>
      <sz val="11"/>
      <scheme val="minor"/>
    </font>
    <font>
      <name val="Calibri"/>
      <family val="2"/>
      <b val="1"/>
      <color theme="1"/>
      <sz val="11"/>
      <scheme val="minor"/>
    </font>
    <font>
      <name val="Calibri"/>
      <family val="2"/>
      <b val="1"/>
      <color rgb="FF0070C0"/>
      <sz val="24"/>
      <scheme val="minor"/>
    </font>
    <font>
      <name val="Calibri"/>
      <family val="2"/>
      <b val="1"/>
      <color theme="8" tint="-0.249977111117893"/>
      <sz val="18"/>
      <scheme val="minor"/>
    </font>
    <font>
      <name val="Calibri"/>
      <family val="2"/>
      <i val="1"/>
      <color theme="9" tint="-0.499984740745262"/>
      <sz val="11"/>
      <scheme val="minor"/>
    </font>
    <font>
      <name val="Calibri"/>
      <family val="2"/>
      <b val="1"/>
      <color theme="1"/>
      <sz val="18"/>
      <scheme val="minor"/>
    </font>
    <font>
      <name val="Calibri"/>
      <family val="2"/>
      <b val="1"/>
      <color theme="7" tint="-0.249977111117893"/>
      <sz val="18"/>
      <scheme val="minor"/>
    </font>
    <font>
      <name val="Cambria"/>
      <family val="1"/>
      <i val="1"/>
      <color theme="9" tint="-0.249977111117893"/>
      <sz val="11"/>
      <scheme val="major"/>
    </font>
  </fonts>
  <fills count="15">
    <fill>
      <patternFill/>
    </fill>
    <fill>
      <patternFill patternType="gray125"/>
    </fill>
    <fill>
      <patternFill patternType="solid">
        <fgColor theme="8"/>
        <bgColor indexed="64"/>
      </patternFill>
    </fill>
    <fill>
      <patternFill patternType="solid">
        <fgColor rgb="FFFFF2CC"/>
      </patternFill>
    </fill>
    <fill>
      <patternFill patternType="solid">
        <fgColor rgb="FFF2F2F2"/>
      </patternFill>
    </fill>
    <fill>
      <patternFill patternType="solid">
        <fgColor rgb="FFD9E1F2"/>
      </patternFill>
    </fill>
    <fill>
      <patternFill patternType="solid">
        <fgColor rgb="FFE2EFDA"/>
      </patternFill>
    </fill>
    <fill>
      <patternFill patternType="solid">
        <fgColor rgb="FF1F4E79"/>
      </patternFill>
    </fill>
    <fill>
      <patternFill patternType="solid">
        <fgColor rgb="FFBDD7EE"/>
      </patternFill>
    </fill>
    <fill>
      <patternFill patternType="solid">
        <fgColor theme="8" tint="0.3999755851924192"/>
        <bgColor indexed="64"/>
      </patternFill>
    </fill>
    <fill>
      <patternFill patternType="solid">
        <fgColor theme="4" tint="0.7999816888943144"/>
        <bgColor indexed="64"/>
      </patternFill>
    </fill>
    <fill>
      <patternFill patternType="solid">
        <fgColor rgb="FF0070C0"/>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6" tint="0.7999816888943144"/>
        <bgColor indexed="64"/>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2">
    <xf numFmtId="0" fontId="7" fillId="0" borderId="0"/>
    <xf numFmtId="0" fontId="7" fillId="0" borderId="0"/>
  </cellStyleXfs>
  <cellXfs count="60">
    <xf numFmtId="0" fontId="0" fillId="0" borderId="0" pivotButton="0" quotePrefix="0" xfId="0"/>
    <xf numFmtId="0" fontId="0" fillId="2" borderId="0" pivotButton="0" quotePrefix="0" xfId="0"/>
    <xf numFmtId="0" fontId="2" fillId="0" borderId="0" pivotButton="0" quotePrefix="0" xfId="0"/>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0" fillId="0" borderId="1" applyAlignment="1" pivotButton="0" quotePrefix="0" xfId="0">
      <alignment vertical="center" wrapText="1"/>
    </xf>
    <xf numFmtId="164" fontId="0" fillId="0" borderId="1" applyAlignment="1" pivotButton="0" quotePrefix="0" xfId="0">
      <alignment vertical="center" wrapText="1"/>
    </xf>
    <xf numFmtId="165" fontId="0" fillId="0" borderId="1" applyAlignment="1" pivotButton="0" quotePrefix="0" xfId="0">
      <alignment vertical="center" wrapText="1"/>
    </xf>
    <xf numFmtId="0" fontId="4" fillId="0" borderId="1" applyAlignment="1" pivotButton="0" quotePrefix="0" xfId="0">
      <alignment vertical="center" wrapText="1"/>
    </xf>
    <xf numFmtId="0" fontId="4" fillId="0" borderId="0" applyAlignment="1" pivotButton="0" quotePrefix="0" xfId="0">
      <alignment horizontal="right" vertical="center" wrapText="1"/>
    </xf>
    <xf numFmtId="0" fontId="0" fillId="3" borderId="1" applyAlignment="1" pivotButton="0" quotePrefix="0" xfId="0">
      <alignment horizontal="left" vertical="center" wrapText="1"/>
    </xf>
    <xf numFmtId="0" fontId="6" fillId="3" borderId="1" applyAlignment="1" pivotButton="0" quotePrefix="0" xfId="0">
      <alignment horizontal="left" vertical="center" wrapText="1"/>
    </xf>
    <xf numFmtId="164" fontId="2" fillId="3" borderId="1" applyAlignment="1" pivotButton="0" quotePrefix="0" xfId="0">
      <alignment horizontal="left" vertical="center" wrapText="1"/>
    </xf>
    <xf numFmtId="165" fontId="2" fillId="3" borderId="1" applyAlignment="1" pivotButton="0" quotePrefix="0" xfId="0">
      <alignment horizontal="left" vertical="center" wrapText="1"/>
    </xf>
    <xf numFmtId="10" fontId="2" fillId="3" borderId="1" applyAlignment="1" pivotButton="0" quotePrefix="0" xfId="0">
      <alignment horizontal="left" vertical="center" wrapText="1"/>
    </xf>
    <xf numFmtId="1" fontId="2" fillId="3" borderId="1" applyAlignment="1" pivotButton="0" quotePrefix="0" xfId="0">
      <alignment horizontal="left" vertical="center" wrapText="1"/>
    </xf>
    <xf numFmtId="2" fontId="2" fillId="3" borderId="1" applyAlignment="1" pivotButton="0" quotePrefix="0" xfId="0">
      <alignment horizontal="left" vertical="center" wrapText="1"/>
    </xf>
    <xf numFmtId="0" fontId="0" fillId="4" borderId="1" applyAlignment="1" pivotButton="0" quotePrefix="0" xfId="0">
      <alignment horizontal="left" vertical="center" wrapText="1"/>
    </xf>
    <xf numFmtId="0" fontId="6" fillId="4" borderId="1" applyAlignment="1" pivotButton="0" quotePrefix="0" xfId="0">
      <alignment horizontal="left" vertical="center" wrapText="1"/>
    </xf>
    <xf numFmtId="166" fontId="0" fillId="4" borderId="1" applyAlignment="1" pivotButton="0" quotePrefix="0" xfId="0">
      <alignment horizontal="left" vertical="center" wrapText="1"/>
    </xf>
    <xf numFmtId="167" fontId="0" fillId="4" borderId="1" applyAlignment="1" pivotButton="0" quotePrefix="0" xfId="0">
      <alignment horizontal="left" vertical="center" wrapText="1"/>
    </xf>
    <xf numFmtId="2" fontId="0" fillId="4" borderId="1" applyAlignment="1" pivotButton="0" quotePrefix="0" xfId="0">
      <alignment horizontal="left" vertical="center" wrapText="1"/>
    </xf>
    <xf numFmtId="0" fontId="0" fillId="5" borderId="1" applyAlignment="1" pivotButton="0" quotePrefix="0" xfId="0">
      <alignment horizontal="left" vertical="center" wrapText="1"/>
    </xf>
    <xf numFmtId="0" fontId="6" fillId="5" borderId="1" applyAlignment="1" pivotButton="0" quotePrefix="0" xfId="0">
      <alignment horizontal="left" vertical="center" wrapText="1"/>
    </xf>
    <xf numFmtId="10" fontId="0" fillId="5" borderId="1" applyAlignment="1" pivotButton="0" quotePrefix="0" xfId="0">
      <alignment horizontal="left" vertical="center" wrapText="1"/>
    </xf>
    <xf numFmtId="168" fontId="0" fillId="5" borderId="1" applyAlignment="1" pivotButton="0" quotePrefix="0" xfId="0">
      <alignment horizontal="left" vertical="center" wrapText="1"/>
    </xf>
    <xf numFmtId="0" fontId="0" fillId="6" borderId="1" applyAlignment="1" pivotButton="0" quotePrefix="0" xfId="0">
      <alignment horizontal="left" vertical="center" wrapText="1"/>
    </xf>
    <xf numFmtId="0" fontId="6" fillId="6" borderId="1" applyAlignment="1" pivotButton="0" quotePrefix="0" xfId="0">
      <alignment horizontal="left" vertical="center" wrapText="1"/>
    </xf>
    <xf numFmtId="164" fontId="2" fillId="3" borderId="1" applyAlignment="1" pivotButton="0" quotePrefix="0" xfId="0">
      <alignment horizontal="right" vertical="center" wrapText="1"/>
    </xf>
    <xf numFmtId="165" fontId="2" fillId="3" borderId="1" applyAlignment="1" pivotButton="0" quotePrefix="0" xfId="0">
      <alignment horizontal="right" vertical="center" wrapText="1"/>
    </xf>
    <xf numFmtId="10" fontId="2" fillId="3" borderId="1" applyAlignment="1" pivotButton="0" quotePrefix="0" xfId="0">
      <alignment horizontal="right" vertical="center" wrapText="1"/>
    </xf>
    <xf numFmtId="1" fontId="2" fillId="3" borderId="1" applyAlignment="1" pivotButton="0" quotePrefix="0" xfId="0">
      <alignment horizontal="right" vertical="center" wrapText="1"/>
    </xf>
    <xf numFmtId="2" fontId="2" fillId="3" borderId="1" applyAlignment="1" pivotButton="0" quotePrefix="0" xfId="0">
      <alignment horizontal="right" vertical="center" wrapText="1"/>
    </xf>
    <xf numFmtId="0" fontId="9" fillId="0" borderId="0" applyAlignment="1" pivotButton="0" quotePrefix="0" xfId="1">
      <alignment vertical="center"/>
    </xf>
    <xf numFmtId="0" fontId="7" fillId="0" borderId="0" pivotButton="0" quotePrefix="0" xfId="1"/>
    <xf numFmtId="0" fontId="10" fillId="0" borderId="0" applyAlignment="1" pivotButton="0" quotePrefix="0" xfId="1">
      <alignment vertical="center"/>
    </xf>
    <xf numFmtId="0" fontId="11" fillId="0" borderId="0" pivotButton="0" quotePrefix="0" xfId="1"/>
    <xf numFmtId="0" fontId="12" fillId="9" borderId="0" applyAlignment="1" pivotButton="0" quotePrefix="0" xfId="0">
      <alignment vertical="center"/>
    </xf>
    <xf numFmtId="0" fontId="13" fillId="0" borderId="0" applyAlignment="1" pivotButton="0" quotePrefix="0" xfId="1">
      <alignment vertical="center"/>
    </xf>
    <xf numFmtId="0" fontId="14" fillId="0" borderId="0" applyAlignment="1" pivotButton="0" quotePrefix="0" xfId="0">
      <alignment wrapText="1"/>
    </xf>
    <xf numFmtId="0" fontId="12" fillId="11" borderId="0" applyAlignment="1" pivotButton="0" quotePrefix="0" xfId="1">
      <alignment vertical="center"/>
    </xf>
    <xf numFmtId="0" fontId="7" fillId="11" borderId="0" pivotButton="0" quotePrefix="0" xfId="1"/>
    <xf numFmtId="0" fontId="12" fillId="12" borderId="0" applyAlignment="1" pivotButton="0" quotePrefix="0" xfId="1">
      <alignment vertical="center"/>
    </xf>
    <xf numFmtId="0" fontId="8" fillId="13" borderId="0" applyAlignment="1" pivotButton="0" quotePrefix="0" xfId="1">
      <alignment vertical="top" wrapText="1"/>
    </xf>
    <xf numFmtId="0" fontId="7" fillId="0" borderId="0" applyAlignment="1" pivotButton="0" quotePrefix="0" xfId="1">
      <alignment horizontal="left" vertical="center" indent="1"/>
    </xf>
    <xf numFmtId="0" fontId="8" fillId="0" borderId="0" pivotButton="0" quotePrefix="0" xfId="1"/>
    <xf numFmtId="0" fontId="8" fillId="0" borderId="0" applyAlignment="1" pivotButton="0" quotePrefix="0" xfId="1">
      <alignment horizontal="left" vertical="center" indent="1"/>
    </xf>
    <xf numFmtId="0" fontId="7" fillId="10" borderId="0" applyAlignment="1" pivotButton="0" quotePrefix="0" xfId="1">
      <alignment horizontal="justify" vertical="justify" wrapText="1"/>
    </xf>
    <xf numFmtId="0" fontId="7" fillId="10" borderId="0" applyAlignment="1" pivotButton="0" quotePrefix="0" xfId="1">
      <alignment horizontal="left" vertical="top" wrapText="1"/>
    </xf>
    <xf numFmtId="0" fontId="7" fillId="14" borderId="0" applyAlignment="1" pivotButton="0" quotePrefix="0" xfId="1">
      <alignment horizontal="justify" vertical="justify" wrapText="1"/>
    </xf>
    <xf numFmtId="0" fontId="1" fillId="0" borderId="0" pivotButton="0" quotePrefix="0" xfId="0"/>
    <xf numFmtId="0" fontId="0" fillId="0" borderId="0" pivotButton="0" quotePrefix="0" xfId="0"/>
    <xf numFmtId="0" fontId="2" fillId="5" borderId="0" applyAlignment="1" pivotButton="0" quotePrefix="0" xfId="0">
      <alignment horizontal="left" vertical="center" wrapText="1"/>
    </xf>
    <xf numFmtId="0" fontId="2" fillId="4" borderId="0" applyAlignment="1" pivotButton="0" quotePrefix="0" xfId="0">
      <alignment horizontal="left" vertical="center" wrapText="1"/>
    </xf>
    <xf numFmtId="0" fontId="5" fillId="8" borderId="0" applyAlignment="1" pivotButton="0" quotePrefix="0" xfId="0">
      <alignment horizontal="left" vertical="center" wrapText="1"/>
    </xf>
    <xf numFmtId="0" fontId="2" fillId="6" borderId="0" applyAlignment="1" pivotButton="0" quotePrefix="0" xfId="0">
      <alignment horizontal="left" vertical="center" wrapText="1"/>
    </xf>
    <xf numFmtId="0" fontId="0" fillId="0" borderId="0" applyAlignment="1" pivotButton="0" quotePrefix="0" xfId="0">
      <alignment horizontal="left" vertical="center" wrapText="1"/>
    </xf>
  </cellXfs>
  <cellStyles count="2">
    <cellStyle name="Normal" xfId="0" builtinId="0"/>
    <cellStyle name="Normal 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Instructor</author>
  </authors>
  <commentList>
    <comment ref="C11" authorId="0" shapeId="0">
      <text>
        <t>Allowed: 1 (Annual), 2 (Semi-annual), 4 (Quarterly), 12 (Monthly).</t>
      </text>
    </comment>
    <comment ref="C12" authorId="0" shapeId="0">
      <text>
        <t>0=Actual/Actual, 1=30/360, 2=Actual/360.</t>
      </text>
    </comment>
    <comment ref="C14" authorId="0" shapeId="0">
      <text>
        <t>Call price per 100 face (e.g., 103 = 103%).</t>
      </text>
    </comment>
  </commentList>
</comments>
</file>

<file path=xl/comments/comment2.xml><?xml version="1.0" encoding="utf-8"?>
<comments xmlns="http://schemas.openxmlformats.org/spreadsheetml/2006/main">
  <authors>
    <author>Instructor</author>
  </authors>
  <commentList>
    <comment ref="C11" authorId="0" shapeId="0">
      <text>
        <t>Allowed: 1 (Annual), 2 (Semi-annual), 4 (Quarterly), 12 (Monthly).</t>
      </text>
    </comment>
    <comment ref="C12" authorId="0" shapeId="0">
      <text>
        <t>0=Actual/Actual, 1=30/360, 2=Actual/360.</t>
      </text>
    </comment>
    <comment ref="C14" authorId="0" shapeId="0">
      <text>
        <t>Call price per 100 face (e.g., 103 = 103%).</t>
      </text>
    </comment>
  </commentList>
</comments>
</file>

<file path=xl/comments/comment3.xml><?xml version="1.0" encoding="utf-8"?>
<comments xmlns="http://schemas.openxmlformats.org/spreadsheetml/2006/main">
  <authors>
    <author>Instructor</author>
  </authors>
  <commentList>
    <comment ref="C11" authorId="0" shapeId="0">
      <text>
        <t>Allowed: 1 (Annual), 2 (Semi-annual), 4 (Quarterly), 12 (Monthly).</t>
      </text>
    </comment>
    <comment ref="C12" authorId="0" shapeId="0">
      <text>
        <t>0=Actual/Actual, 1=30/360, 2=Actual/360.</t>
      </text>
    </comment>
    <comment ref="C14" authorId="0" shapeId="0">
      <text>
        <t>Call price per 100 face (e.g., 103 = 103%).</t>
      </text>
    </comment>
  </commentList>
</comments>
</file>

<file path=xl/comments/comment4.xml><?xml version="1.0" encoding="utf-8"?>
<comments xmlns="http://schemas.openxmlformats.org/spreadsheetml/2006/main">
  <authors>
    <author>Instructor</author>
  </authors>
  <commentList>
    <comment ref="C11" authorId="0" shapeId="0">
      <text>
        <t>Allowed: 1 (Annual), 2 (Semi-annual), 4 (Quarterly), 12 (Monthly).</t>
      </text>
    </comment>
    <comment ref="C12" authorId="0" shapeId="0">
      <text>
        <t>0=Actual/Actual, 1=30/360, 2=Actual/360.</t>
      </text>
    </comment>
    <comment ref="C14" authorId="0" shapeId="0">
      <text>
        <t>Call price per 100 face (e.g., 103 = 103%).</t>
      </text>
    </comment>
  </commentList>
</comments>
</file>

<file path=xl/comments/comment5.xml><?xml version="1.0" encoding="utf-8"?>
<comments xmlns="http://schemas.openxmlformats.org/spreadsheetml/2006/main">
  <authors>
    <author>Instructor</author>
  </authors>
  <commentList>
    <comment ref="C11" authorId="0" shapeId="0">
      <text>
        <t>Allowed: 1 (Annual), 2 (Semi-annual), 4 (Quarterly), 12 (Monthly).</t>
      </text>
    </comment>
    <comment ref="C12" authorId="0" shapeId="0">
      <text>
        <t>0=Actual/Actual, 1=30/360, 2=Actual/360.</t>
      </text>
    </comment>
    <comment ref="C14" authorId="0" shapeId="0">
      <text>
        <t>Call price per 100 face (e.g., 103 = 103%).</t>
      </text>
    </comment>
  </commentList>
</comments>
</file>

<file path=xl/comments/comment6.xml><?xml version="1.0" encoding="utf-8"?>
<comments xmlns="http://schemas.openxmlformats.org/spreadsheetml/2006/main">
  <authors>
    <author>Instructor</author>
  </authors>
  <commentList>
    <comment ref="C11" authorId="0" shapeId="0">
      <text>
        <t>Allowed: 1 (Annual), 2 (Semi-annual), 4 (Quarterly), 12 (Monthly).</t>
      </text>
    </comment>
    <comment ref="C12" authorId="0" shapeId="0">
      <text>
        <t>0=Actual/Actual, 1=30/360, 2=Actual/360.</t>
      </text>
    </comment>
    <comment ref="C14" authorId="0" shapeId="0">
      <text>
        <t>Call price per 100 face (e.g., 103 = 103%).</t>
      </text>
    </comment>
  </commentList>
</comments>
</file>

<file path=xl/comments/comment7.xml><?xml version="1.0" encoding="utf-8"?>
<comments xmlns="http://schemas.openxmlformats.org/spreadsheetml/2006/main">
  <authors>
    <author>Instructor</author>
  </authors>
  <commentList>
    <comment ref="C11" authorId="0" shapeId="0">
      <text>
        <t>Allowed: 1 (Annual), 2 (Semi-annual), 4 (Quarterly), 12 (Monthly).</t>
      </text>
    </comment>
    <comment ref="C12" authorId="0" shapeId="0">
      <text>
        <t>0=Actual/Actual, 1=30/360, 2=Actual/360.</t>
      </text>
    </comment>
    <comment ref="C14" authorId="0" shapeId="0">
      <text>
        <t>Call price per 100 face (e.g., 103 = 103%).</t>
      </text>
    </comment>
  </commentList>
</comments>
</file>

<file path=xl/comments/comment8.xml><?xml version="1.0" encoding="utf-8"?>
<comments xmlns="http://schemas.openxmlformats.org/spreadsheetml/2006/main">
  <authors>
    <author>Instructor</author>
  </authors>
  <commentList>
    <comment ref="C11" authorId="0" shapeId="0">
      <text>
        <t>Allowed: 1 (Annual), 2 (Semi-annual), 4 (Quarterly), 12 (Monthly).</t>
      </text>
    </comment>
    <comment ref="C12" authorId="0" shapeId="0">
      <text>
        <t>0=Actual/Actual, 1=30/360, 2=Actual/360.</t>
      </text>
    </comment>
    <comment ref="C14" authorId="0" shapeId="0">
      <text>
        <t>Call price per 100 face (e.g., 103 = 103%).</t>
      </text>
    </comment>
  </commentList>
</comments>
</file>

<file path=xl/comments/comment9.xml><?xml version="1.0" encoding="utf-8"?>
<comments xmlns="http://schemas.openxmlformats.org/spreadsheetml/2006/main">
  <authors>
    <author>Instructor</author>
  </authors>
  <commentList>
    <comment ref="C11" authorId="0" shapeId="0">
      <text>
        <t>Allowed: 1 (Annual), 2 (Semi-annual), 4 (Quarterly), 12 (Monthly).</t>
      </text>
    </comment>
    <comment ref="C12" authorId="0" shapeId="0">
      <text>
        <t>0=Actual/Actual, 1=30/360, 2=Actual/360.</t>
      </text>
    </comment>
    <comment ref="C14" authorId="0" shapeId="0">
      <text>
        <t>Call price per 100 face (e.g., 103 = 103%).</t>
      </text>
    </comment>
  </commentList>
</comments>
</file>

<file path=xl/comments/comment10.xml><?xml version="1.0" encoding="utf-8"?>
<comments xmlns="http://schemas.openxmlformats.org/spreadsheetml/2006/main">
  <authors>
    <author>Instructor</author>
  </authors>
  <commentList>
    <comment ref="C11" authorId="0" shapeId="0">
      <text>
        <t>Allowed: 1 (Annual), 2 (Semi-annual), 4 (Quarterly), 12 (Monthly).</t>
      </text>
    </comment>
    <comment ref="C12" authorId="0" shapeId="0">
      <text>
        <t>0=Actual/Actual, 1=30/360, 2=Actual/360.</t>
      </text>
    </comment>
    <comment ref="C14" authorId="0" shapeId="0">
      <text>
        <t>Call price per 100 face (e.g., 103 = 103%).</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913130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sheetPr>
  <dimension ref="A1:J33"/>
  <sheetViews>
    <sheetView tabSelected="1" workbookViewId="0">
      <selection activeCell="K4" sqref="K4"/>
    </sheetView>
  </sheetViews>
  <sheetFormatPr baseColWidth="8" defaultRowHeight="14.5"/>
  <cols>
    <col width="8.7265625" customWidth="1" style="37" min="1" max="6"/>
    <col width="13.90625" customWidth="1" style="37" min="7" max="7"/>
    <col width="5.6328125" customWidth="1" style="37" min="8" max="8"/>
    <col width="71.6328125" customWidth="1" style="37" min="9" max="9"/>
    <col width="7.1796875" customWidth="1" style="37" min="10" max="10"/>
    <col width="8.7265625" customWidth="1" style="37" min="11" max="16384"/>
  </cols>
  <sheetData>
    <row r="1" ht="31" customHeight="1" s="54">
      <c r="A1" s="36" t="inlineStr">
        <is>
          <t>FINANCIAL MODELING USING EXCEL</t>
        </is>
      </c>
    </row>
    <row r="2"/>
    <row r="3" ht="23.5" customHeight="1" s="54">
      <c r="A3" s="38" t="inlineStr">
        <is>
          <t>Bond Yield and Duration Analysis – Caselet Workbook Using Excel</t>
        </is>
      </c>
    </row>
    <row r="4"/>
    <row r="5" ht="23.5" customHeight="1" s="54">
      <c r="A5" s="39" t="inlineStr">
        <is>
          <t>Current Yield, Yield to Maturity, Yield to Call, and Duration Measurement</t>
        </is>
      </c>
      <c r="I5" s="40" t="inlineStr">
        <is>
          <t>Learning Philosophy</t>
        </is>
      </c>
    </row>
    <row r="6"/>
    <row r="7" ht="28.5" customHeight="1" s="54">
      <c r="A7" s="41" t="inlineStr">
        <is>
          <t>Workbook Purpose</t>
        </is>
      </c>
      <c r="I7" s="42" t="inlineStr">
        <is>
          <t>Fixed income mastery emerges when yield measures and duration are computed precisely and interpreted consistently across bond structures.</t>
        </is>
      </c>
    </row>
    <row r="8"/>
    <row r="9" ht="132.5" customHeight="1" s="54">
      <c r="A9" s="50" t="inlineStr">
        <is>
          <t>This workbook is a caselet-based fixed income analysis workbook designed to compute and interpret bond yields and interest rate sensitivity measures across multiple scenarios. It focuses specifically on Current Yield (CY), Yield to Maturity (YTM), Yield to Call (YTC), and Duration, using realistic bond structures with varying coupons, maturities, call features, and market prices.
The objective is to help learners understand how bond cash flows, pricing, and timing translate into different yield measures and how duration quantifies price sensitivity to interest rate changes. Excel is used as a transparent analytical platform to ensure accurate timing, frequency alignment, and disciplined interpretation—consistent with practices in fixed income analysis, banking, and investment management.</t>
        </is>
      </c>
    </row>
    <row r="10"/>
    <row r="11"/>
    <row r="12"/>
    <row r="13"/>
    <row r="14"/>
    <row r="15" ht="23.5" customHeight="1" s="54">
      <c r="A15" s="43" t="inlineStr">
        <is>
          <t>Key Concepts Covered</t>
        </is>
      </c>
      <c r="B15" s="44" t="n"/>
      <c r="C15" s="44" t="n"/>
      <c r="D15" s="44" t="n"/>
      <c r="E15" s="44" t="n"/>
      <c r="F15" s="44" t="n"/>
      <c r="G15" s="44" t="n"/>
      <c r="I15" s="45" t="inlineStr">
        <is>
          <t>Excel Functions Used</t>
        </is>
      </c>
    </row>
    <row r="16" ht="311.5" customHeight="1" s="54">
      <c r="A16" s="51" t="inlineStr">
        <is>
          <t>Bond cash flow structure and market pricing
Current Yield as an income-based return measure
Yield to Maturity as a total return concept
Yield to Call under callable bond features
Relationship between price, yield, and time
Interest rate risk and price sensitivity
Macaulay Duration and Modified Duration interpretation
Impact of coupon, maturity, yield, and call features on duration
Comparative interpretation of yields and duration across caselets</t>
        </is>
      </c>
      <c r="I16" s="46" t="inlineStr">
        <is>
          <t>The following Excel functions are used accurately and completely across the bond yield and duration caselets in this workbook:
PRICE – Computes clean bond price based on yield, coupon, maturity, and frequency
YIELD – Calculates Yield to Maturity from bond price and cash flow terms
YIELDCALL – Computes Yield to Call for callable bonds
DURATION – Calculates Macaulay Duration of the bond
MDURATION – Computes Modified Duration for interest rate sensitivity analysis
COUPPCD – Determines the previous coupon date
COUPNCD – Determines the next coupon date
COUPDAYS – Calculates the number of days in the coupon period
YEARFRAC – Computes year fractions for accurate time measurement
RATE – Supports yield validation where cash-flow-based rate solving is required
NPER – Aligns maturity with coupon frequency
PMT – Represents periodic coupon payments where structured cash-flow logic is applied
SUM – Aggregates cash flows and intermediate valuation components
IF – Applies conditional logic for callability and case-specific rules
ABS – Maintains disciplined cash-flow sign conventions
ROUND – Ensures numerical clarity and clean reporting of outputs
PERCENTAGE CALCULATIONS – Used for coupon rates, yields, and sensitivity interpretation
The workbook emphasizes exact date handling, correct frequency alignment, and clear separation between income, total return, and risk measures.</t>
        </is>
      </c>
    </row>
    <row r="17">
      <c r="A17" s="47" t="n"/>
    </row>
    <row r="18">
      <c r="A18" s="47" t="n"/>
      <c r="E18" s="52"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48" t="n"/>
    </row>
    <row r="19">
      <c r="A19" s="47" t="n"/>
    </row>
    <row r="20">
      <c r="A20" s="47" t="n"/>
      <c r="I20" s="48" t="n"/>
    </row>
    <row r="21">
      <c r="A21" s="47" t="n"/>
    </row>
    <row r="22">
      <c r="A22" s="47" t="n"/>
      <c r="I22" s="48" t="n"/>
    </row>
    <row r="23">
      <c r="A23" s="47" t="n"/>
    </row>
    <row r="24">
      <c r="A24" s="47" t="n"/>
      <c r="I24" s="48" t="n"/>
    </row>
    <row r="25">
      <c r="A25" s="47" t="n"/>
    </row>
    <row r="26">
      <c r="A26" s="47" t="n"/>
      <c r="I26" s="48" t="n"/>
    </row>
    <row r="27">
      <c r="A27" s="47" t="n"/>
    </row>
    <row r="28">
      <c r="A28" s="47" t="n"/>
      <c r="I28" s="48" t="n"/>
    </row>
    <row r="29">
      <c r="A29" s="47" t="n"/>
    </row>
    <row r="30">
      <c r="A30" s="47" t="n"/>
      <c r="I30" s="48" t="n"/>
    </row>
    <row r="31">
      <c r="A31" s="47" t="n"/>
      <c r="I31" s="47" t="n"/>
    </row>
    <row r="32">
      <c r="A32" s="47" t="n"/>
      <c r="I32" s="49" t="n"/>
    </row>
    <row r="33">
      <c r="A33" s="47"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16"/>
  <sheetViews>
    <sheetView workbookViewId="0">
      <pane ySplit="11" topLeftCell="A12" activePane="bottomLeft" state="frozen"/>
      <selection pane="bottomLeft" activeCell="A1" sqref="A1:H1"/>
    </sheetView>
  </sheetViews>
  <sheetFormatPr baseColWidth="8" defaultRowHeight="14.5"/>
  <cols>
    <col width="6" customWidth="1" style="54" min="1" max="1"/>
    <col width="28" customWidth="1" style="54" min="2" max="2"/>
    <col width="46" customWidth="1" style="54" min="3" max="3"/>
    <col width="34" customWidth="1" style="54" min="4" max="4"/>
    <col width="18" customWidth="1" style="54" min="5" max="5"/>
    <col width="10" customWidth="1" style="54" min="8" max="8"/>
  </cols>
  <sheetData>
    <row r="1" ht="21" customHeight="1" s="54">
      <c r="A1" s="53" t="inlineStr">
        <is>
          <t>Bond Caselets – CY, YTM, YTC, Duration &amp; Modified Duration (10)</t>
        </is>
      </c>
    </row>
    <row r="2">
      <c r="E2" s="1" t="inlineStr">
        <is>
          <t xml:space="preserve">Prepared by </t>
        </is>
      </c>
      <c r="F2" s="1" t="inlineStr">
        <is>
          <t>Dr. Srikanth Potharla</t>
        </is>
      </c>
    </row>
    <row r="3">
      <c r="A3" s="2" t="inlineStr">
        <is>
          <t>Legend:</t>
        </is>
      </c>
    </row>
    <row r="4" ht="29" customHeight="1" s="54">
      <c r="A4" s="3" t="inlineStr">
        <is>
          <t>Inputs</t>
        </is>
      </c>
      <c r="B4" s="4" t="inlineStr">
        <is>
          <t>Calculations</t>
        </is>
      </c>
      <c r="C4" s="5" t="inlineStr">
        <is>
          <t>Outputs</t>
        </is>
      </c>
      <c r="D4" s="6" t="inlineStr">
        <is>
          <t>Checks</t>
        </is>
      </c>
    </row>
    <row r="5"/>
    <row r="6" ht="15.5" customHeight="1" s="54">
      <c r="A6" s="7" t="inlineStr">
        <is>
          <t>#</t>
        </is>
      </c>
      <c r="B6" s="7" t="inlineStr">
        <is>
          <t>Sheet</t>
        </is>
      </c>
      <c r="C6" s="7" t="inlineStr">
        <is>
          <t>Case-let Name</t>
        </is>
      </c>
      <c r="D6" s="7" t="inlineStr">
        <is>
          <t>Unique Learning Point</t>
        </is>
      </c>
      <c r="E6" s="7" t="inlineStr">
        <is>
          <t>Settlement</t>
        </is>
      </c>
      <c r="F6" s="7" t="inlineStr">
        <is>
          <t>Maturity</t>
        </is>
      </c>
      <c r="G6" s="7" t="inlineStr">
        <is>
          <t>Face Value (₹)</t>
        </is>
      </c>
      <c r="H6" s="7" t="inlineStr">
        <is>
          <t>Go</t>
        </is>
      </c>
    </row>
    <row r="7" ht="29" customHeight="1" s="54">
      <c r="A7" s="8" t="n">
        <v>1</v>
      </c>
      <c r="B7" s="8" t="inlineStr">
        <is>
          <t>CASE_01</t>
        </is>
      </c>
      <c r="C7" s="8" t="inlineStr">
        <is>
          <t>Apex Textiles Bond</t>
        </is>
      </c>
      <c r="D7" s="8" t="inlineStr">
        <is>
          <t>CY vs YTM when bond trades at a discount</t>
        </is>
      </c>
      <c r="E7" s="9" t="n">
        <v>45748</v>
      </c>
      <c r="F7" s="9" t="n">
        <v>50131</v>
      </c>
      <c r="G7" s="10" t="n">
        <v>10000</v>
      </c>
      <c r="H7" s="11" t="inlineStr">
        <is>
          <t>Open</t>
        </is>
      </c>
    </row>
    <row r="8" ht="29" customHeight="1" s="54">
      <c r="A8" s="8" t="n">
        <v>2</v>
      </c>
      <c r="B8" s="8" t="inlineStr">
        <is>
          <t>CASE_02</t>
        </is>
      </c>
      <c r="C8" s="8" t="inlineStr">
        <is>
          <t>BluePeak Logistics Bond</t>
        </is>
      </c>
      <c r="D8" s="8" t="inlineStr">
        <is>
          <t>Semi-annual coupons: effect on YTM and duration</t>
        </is>
      </c>
      <c r="E8" s="9" t="n">
        <v>45823</v>
      </c>
      <c r="F8" s="9" t="n">
        <v>49841</v>
      </c>
      <c r="G8" s="10" t="n">
        <v>25000</v>
      </c>
      <c r="H8" s="11" t="inlineStr">
        <is>
          <t>Open</t>
        </is>
      </c>
    </row>
    <row r="9" ht="29" customHeight="1" s="54">
      <c r="A9" s="8" t="n">
        <v>3</v>
      </c>
      <c r="B9" s="8" t="inlineStr">
        <is>
          <t>CASE_03</t>
        </is>
      </c>
      <c r="C9" s="8" t="inlineStr">
        <is>
          <t>Crestline Power Bond</t>
        </is>
      </c>
      <c r="D9" s="8" t="inlineStr">
        <is>
          <t>YTC vs YTM when call date is relatively near and bond is premium</t>
        </is>
      </c>
      <c r="E9" s="9" t="n">
        <v>45910</v>
      </c>
      <c r="F9" s="9" t="n">
        <v>50658</v>
      </c>
      <c r="G9" s="10" t="n">
        <v>100000</v>
      </c>
      <c r="H9" s="11" t="inlineStr">
        <is>
          <t>Open</t>
        </is>
      </c>
    </row>
    <row r="10" ht="29" customHeight="1" s="54">
      <c r="A10" s="8" t="n">
        <v>4</v>
      </c>
      <c r="B10" s="8" t="inlineStr">
        <is>
          <t>CASE_04</t>
        </is>
      </c>
      <c r="C10" s="8" t="inlineStr">
        <is>
          <t>DeltaMetro Housing Bond</t>
        </is>
      </c>
      <c r="D10" s="8" t="inlineStr">
        <is>
          <t>Call premium and its impact on YTC (maturity redemption at par)</t>
        </is>
      </c>
      <c r="E10" s="9" t="n">
        <v>45778</v>
      </c>
      <c r="F10" s="9" t="n">
        <v>50526</v>
      </c>
      <c r="G10" s="10" t="n">
        <v>50000</v>
      </c>
      <c r="H10" s="11" t="inlineStr">
        <is>
          <t>Open</t>
        </is>
      </c>
    </row>
    <row r="11" ht="29" customHeight="1" s="54">
      <c r="A11" s="8" t="n">
        <v>5</v>
      </c>
      <c r="B11" s="8" t="inlineStr">
        <is>
          <t>CASE_05</t>
        </is>
      </c>
      <c r="C11" s="8" t="inlineStr">
        <is>
          <t>Evergreen Pharma Bond</t>
        </is>
      </c>
      <c r="D11" s="8" t="inlineStr">
        <is>
          <t>High coupon generally lowers duration (faster cash-flow recovery)</t>
        </is>
      </c>
      <c r="E11" s="9" t="n">
        <v>45889</v>
      </c>
      <c r="F11" s="9" t="n">
        <v>49907</v>
      </c>
      <c r="G11" s="10" t="n">
        <v>5000</v>
      </c>
      <c r="H11" s="11" t="inlineStr">
        <is>
          <t>Open</t>
        </is>
      </c>
    </row>
    <row r="12" ht="29" customHeight="1" s="54">
      <c r="A12" s="8" t="n">
        <v>6</v>
      </c>
      <c r="B12" s="8" t="inlineStr">
        <is>
          <t>CASE_06</t>
        </is>
      </c>
      <c r="C12" s="8" t="inlineStr">
        <is>
          <t>FrostRiver Utilities Bond</t>
        </is>
      </c>
      <c r="D12" s="8" t="inlineStr">
        <is>
          <t>Long maturity + low coupon → higher duration and modified duration</t>
        </is>
      </c>
      <c r="E12" s="9" t="n">
        <v>45931</v>
      </c>
      <c r="F12" s="9" t="n">
        <v>51410</v>
      </c>
      <c r="G12" s="10" t="n">
        <v>200000</v>
      </c>
      <c r="H12" s="11" t="inlineStr">
        <is>
          <t>Open</t>
        </is>
      </c>
    </row>
    <row r="13" ht="29" customHeight="1" s="54">
      <c r="A13" s="8" t="n">
        <v>7</v>
      </c>
      <c r="B13" s="8" t="inlineStr">
        <is>
          <t>CASE_07</t>
        </is>
      </c>
      <c r="C13" s="8" t="inlineStr">
        <is>
          <t>GreenHaven Renewables Bond</t>
        </is>
      </c>
      <c r="D13" s="8" t="inlineStr">
        <is>
          <t>Quarterly coupons and their effect on duration timing/weighting</t>
        </is>
      </c>
      <c r="E13" s="9" t="n">
        <v>46034</v>
      </c>
      <c r="F13" s="9" t="n">
        <v>50052</v>
      </c>
      <c r="G13" s="10" t="n">
        <v>75000</v>
      </c>
      <c r="H13" s="11" t="inlineStr">
        <is>
          <t>Open</t>
        </is>
      </c>
    </row>
    <row r="14" ht="29" customHeight="1" s="54">
      <c r="A14" s="8" t="n">
        <v>8</v>
      </c>
      <c r="B14" s="8" t="inlineStr">
        <is>
          <t>CASE_08</t>
        </is>
      </c>
      <c r="C14" s="8" t="inlineStr">
        <is>
          <t>Horizon Retail Bond</t>
        </is>
      </c>
      <c r="D14" s="8" t="inlineStr">
        <is>
          <t>Low coupon vs higher YTM: discount pricing and duration intuition</t>
        </is>
      </c>
      <c r="E14" s="9" t="n">
        <v>45721</v>
      </c>
      <c r="F14" s="9" t="n">
        <v>50834</v>
      </c>
      <c r="G14" s="10" t="n">
        <v>100000</v>
      </c>
      <c r="H14" s="11" t="inlineStr">
        <is>
          <t>Open</t>
        </is>
      </c>
    </row>
    <row r="15" ht="43.5" customHeight="1" s="54">
      <c r="A15" s="8" t="n">
        <v>9</v>
      </c>
      <c r="B15" s="8" t="inlineStr">
        <is>
          <t>CASE_09</t>
        </is>
      </c>
      <c r="C15" s="8" t="inlineStr">
        <is>
          <t>IronGate Engineering Bond</t>
        </is>
      </c>
      <c r="D15" s="8" t="inlineStr">
        <is>
          <t>Modified duration depends on duration and yield level (risk interpretation)</t>
        </is>
      </c>
      <c r="E15" s="9" t="n">
        <v>45839</v>
      </c>
      <c r="F15" s="9" t="n">
        <v>49857</v>
      </c>
      <c r="G15" s="10" t="n">
        <v>50000</v>
      </c>
      <c r="H15" s="11" t="inlineStr">
        <is>
          <t>Open</t>
        </is>
      </c>
    </row>
    <row r="16" ht="29" customHeight="1" s="54">
      <c r="A16" s="8" t="n">
        <v>10</v>
      </c>
      <c r="B16" s="8" t="inlineStr">
        <is>
          <t>CASE_10</t>
        </is>
      </c>
      <c r="C16" s="8" t="inlineStr">
        <is>
          <t>Keystone Digital Infrastructure Bond</t>
        </is>
      </c>
      <c r="D16" s="8" t="inlineStr">
        <is>
          <t>Integrate CY, YTM, YTC with duration measures for interpretation</t>
        </is>
      </c>
      <c r="E16" s="9" t="n">
        <v>46073</v>
      </c>
      <c r="F16" s="9" t="n">
        <v>50456</v>
      </c>
      <c r="G16" s="10" t="n">
        <v>500000</v>
      </c>
      <c r="H16" s="11" t="inlineStr">
        <is>
          <t>Open</t>
        </is>
      </c>
    </row>
  </sheetData>
  <sheetProtection selectLockedCells="0" selectUnlockedCells="0" sheet="1" objects="1" insertRows="0" insertHyperlinks="1" autoFilter="0" scenarios="1" formatColumns="0" deleteColumns="0" insertColumns="0" pivotTables="0" deleteRows="0" formatCells="0" formatRows="0" sort="0" password="AE3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6"/>
  <sheetViews>
    <sheetView topLeftCell="A5" workbookViewId="0">
      <selection activeCell="E8" sqref="E8"/>
    </sheetView>
  </sheetViews>
  <sheetFormatPr baseColWidth="8" defaultRowHeight="14.5"/>
  <cols>
    <col width="2.81640625" customWidth="1" style="54" min="1" max="1"/>
    <col width="30" customWidth="1" style="54" min="2" max="2"/>
    <col width="16.7265625" customWidth="1" style="54" min="3" max="3"/>
    <col width="26.54296875" customWidth="1" style="54" min="4" max="4"/>
    <col width="18" customWidth="1" style="54" min="5" max="5"/>
    <col width="22" customWidth="1" style="54" min="8" max="8"/>
  </cols>
  <sheetData>
    <row r="1" ht="28" customHeight="1" s="54">
      <c r="A1" s="57" t="inlineStr">
        <is>
          <t>Case-let 01: Apex Textiles Bond</t>
        </is>
      </c>
    </row>
    <row r="2" ht="15.5" customHeight="1" s="54">
      <c r="H2" s="12" t="inlineStr">
        <is>
          <t>⬅ Back to Index</t>
        </is>
      </c>
    </row>
    <row r="3">
      <c r="A3" s="2" t="inlineStr">
        <is>
          <t>Unique learning point:</t>
        </is>
      </c>
      <c r="B3" s="59" t="inlineStr">
        <is>
          <t>CY vs YTM when bond trades at a discount</t>
        </is>
      </c>
    </row>
    <row r="4"/>
    <row r="5" ht="46.5" customHeight="1" s="54">
      <c r="A5" s="7" t="n"/>
      <c r="B5" s="7" t="inlineStr">
        <is>
          <t>LABEL</t>
        </is>
      </c>
      <c r="C5" s="7" t="inlineStr">
        <is>
          <t>VALUE</t>
        </is>
      </c>
      <c r="D5" s="7" t="inlineStr">
        <is>
          <t>NOTES</t>
        </is>
      </c>
      <c r="E5" s="7" t="n"/>
      <c r="F5" s="7" t="n"/>
      <c r="G5" s="7" t="n"/>
      <c r="H5" s="7" t="n"/>
    </row>
    <row r="6" ht="29" customHeight="1" s="54">
      <c r="A6" s="13" t="n"/>
      <c r="B6" s="14" t="inlineStr">
        <is>
          <t>Settlement Date</t>
        </is>
      </c>
      <c r="C6" s="31" t="n">
        <v>45748</v>
      </c>
      <c r="D6" s="13" t="inlineStr">
        <is>
          <t>Enter settlement date</t>
        </is>
      </c>
    </row>
    <row r="7" ht="29" customHeight="1" s="54">
      <c r="A7" s="13" t="n"/>
      <c r="B7" s="14" t="inlineStr">
        <is>
          <t>Maturity Date</t>
        </is>
      </c>
      <c r="C7" s="31" t="n">
        <v>50131</v>
      </c>
      <c r="D7" s="13" t="inlineStr">
        <is>
          <t>Enter maturity date</t>
        </is>
      </c>
    </row>
    <row r="8" ht="29" customHeight="1" s="54">
      <c r="A8" s="13" t="n"/>
      <c r="B8" s="14" t="inlineStr">
        <is>
          <t>Face Value (₹)</t>
        </is>
      </c>
      <c r="C8" s="32" t="n">
        <v>10000</v>
      </c>
      <c r="D8" s="13" t="inlineStr">
        <is>
          <t>Principal amount</t>
        </is>
      </c>
    </row>
    <row r="9" ht="29" customHeight="1" s="54">
      <c r="A9" s="13" t="n"/>
      <c r="B9" s="14" t="inlineStr">
        <is>
          <t>Market Price (₹)</t>
        </is>
      </c>
      <c r="C9" s="32" t="n">
        <v>9250</v>
      </c>
      <c r="D9" s="13" t="inlineStr">
        <is>
          <t>Current traded price (₹)</t>
        </is>
      </c>
    </row>
    <row r="10" ht="29" customHeight="1" s="54">
      <c r="A10" s="13" t="n"/>
      <c r="B10" s="14" t="inlineStr">
        <is>
          <t>Coupon Rate (annual)</t>
        </is>
      </c>
      <c r="C10" s="33" t="n">
        <v>0.068</v>
      </c>
      <c r="D10" s="13" t="inlineStr">
        <is>
          <t>Enter as %</t>
        </is>
      </c>
    </row>
    <row r="11" ht="29" customHeight="1" s="54">
      <c r="A11" s="13" t="n"/>
      <c r="B11" s="14" t="inlineStr">
        <is>
          <t>Coupon Frequency</t>
        </is>
      </c>
      <c r="C11" s="34" t="n">
        <v>1</v>
      </c>
      <c r="D11" s="13" t="inlineStr">
        <is>
          <t>1=Annual,2=Semi,4=Quarterly,12=Monthly</t>
        </is>
      </c>
    </row>
    <row r="12" ht="29" customHeight="1" s="54">
      <c r="A12" s="13" t="n"/>
      <c r="B12" s="14" t="inlineStr">
        <is>
          <t>Basis (Take-home confirmation)</t>
        </is>
      </c>
      <c r="C12" s="34" t="n">
        <v>0</v>
      </c>
      <c r="D12" s="13" t="inlineStr">
        <is>
          <t>0/1/2</t>
        </is>
      </c>
    </row>
    <row r="13" ht="29" customHeight="1" s="54">
      <c r="A13" s="13" t="n"/>
      <c r="B13" s="14" t="inlineStr">
        <is>
          <t>First Call Date</t>
        </is>
      </c>
      <c r="C13" s="31" t="n">
        <v>48305</v>
      </c>
      <c r="D13" s="13" t="inlineStr">
        <is>
          <t>First callable date</t>
        </is>
      </c>
    </row>
    <row r="14" ht="29" customHeight="1" s="54">
      <c r="A14" s="13" t="n"/>
      <c r="B14" s="14" t="inlineStr">
        <is>
          <t>Call Price (% of face)</t>
        </is>
      </c>
      <c r="C14" s="35" t="n">
        <v>103</v>
      </c>
      <c r="D14" s="13" t="inlineStr">
        <is>
          <t>e.g., 103 = 103%</t>
        </is>
      </c>
    </row>
    <row r="15" ht="29" customHeight="1" s="54">
      <c r="A15" s="13" t="n"/>
      <c r="B15" s="14" t="inlineStr">
        <is>
          <t>Redemption at Maturity (% of face)</t>
        </is>
      </c>
      <c r="C15" s="35" t="n">
        <v>100</v>
      </c>
      <c r="D15" s="13" t="inlineStr">
        <is>
          <t>e.g., 100 = par</t>
        </is>
      </c>
    </row>
    <row r="16"/>
    <row r="17">
      <c r="A17" s="56" t="inlineStr">
        <is>
          <t>Calculations</t>
        </is>
      </c>
    </row>
    <row r="18">
      <c r="A18" s="20" t="n"/>
      <c r="B18" s="21" t="inlineStr">
        <is>
          <t>Annual Coupon (₹)</t>
        </is>
      </c>
      <c r="C18" s="22">
        <f>$C$8*$C$10</f>
        <v/>
      </c>
      <c r="D18" s="20" t="inlineStr">
        <is>
          <t>Face × coupon rate</t>
        </is>
      </c>
    </row>
    <row r="19" ht="29" customHeight="1" s="54">
      <c r="A19" s="20" t="n"/>
      <c r="B19" s="21" t="inlineStr">
        <is>
          <t>Coupon per period (₹)</t>
        </is>
      </c>
      <c r="C19" s="22">
        <f>$C$8*$C$10/$C$11</f>
        <v/>
      </c>
      <c r="D19" s="20" t="inlineStr">
        <is>
          <t>Face × coupon / frequency</t>
        </is>
      </c>
    </row>
    <row r="20" ht="29" customHeight="1" s="54">
      <c r="A20" s="20" t="n"/>
      <c r="B20" s="21" t="inlineStr">
        <is>
          <t>Price per ₹100 face</t>
        </is>
      </c>
      <c r="C20" s="23">
        <f>$C$9/$C$8*100</f>
        <v/>
      </c>
      <c r="D20" s="20" t="inlineStr">
        <is>
          <t>Convert ₹ price to per-100</t>
        </is>
      </c>
    </row>
    <row r="21">
      <c r="A21" s="20" t="n"/>
      <c r="B21" s="21" t="inlineStr">
        <is>
          <t>Redemption per ₹100 (maturity)</t>
        </is>
      </c>
      <c r="C21" s="24">
        <f>$C$15</f>
        <v/>
      </c>
      <c r="D21" s="20" t="inlineStr">
        <is>
          <t>Maturity redemption %</t>
        </is>
      </c>
    </row>
    <row r="22">
      <c r="A22" s="20" t="n"/>
      <c r="B22" s="21" t="inlineStr">
        <is>
          <t>Call redemption per ₹100</t>
        </is>
      </c>
      <c r="C22" s="24">
        <f>$C$14</f>
        <v/>
      </c>
      <c r="D22" s="20" t="inlineStr">
        <is>
          <t>Call price %</t>
        </is>
      </c>
    </row>
    <row r="23"/>
    <row r="24">
      <c r="A24" s="55" t="inlineStr">
        <is>
          <t>Outputs</t>
        </is>
      </c>
    </row>
    <row r="25" ht="29" customHeight="1" s="54">
      <c r="A25" s="25" t="n"/>
      <c r="B25" s="26" t="inlineStr">
        <is>
          <t>Current Yield (CY)</t>
        </is>
      </c>
      <c r="C25" s="27">
        <f>$C$18/$C$9</f>
        <v/>
      </c>
      <c r="D25" s="25" t="inlineStr">
        <is>
          <t>Annual coupon / market price</t>
        </is>
      </c>
    </row>
    <row r="26" ht="29" customHeight="1" s="54">
      <c r="A26" s="25" t="n"/>
      <c r="B26" s="26" t="inlineStr">
        <is>
          <t>Yield to Maturity (YTM)</t>
        </is>
      </c>
      <c r="C26" s="27">
        <f>YIELD($C$6,$C$7,$C$10,$C$20,$C$21,$C$11,$C$12)</f>
        <v/>
      </c>
      <c r="D26" s="25" t="inlineStr">
        <is>
          <t>YIELD() uses per-100 price</t>
        </is>
      </c>
    </row>
    <row r="27" ht="29" customHeight="1" s="54">
      <c r="A27" s="25" t="n"/>
      <c r="B27" s="26" t="inlineStr">
        <is>
          <t>Yield to Call (YTC)</t>
        </is>
      </c>
      <c r="C27" s="27">
        <f>YIELD($C$6,$C$13,$C$10,$C$20,$C$22,$C$11,$C$12)</f>
        <v/>
      </c>
      <c r="D27" s="25" t="inlineStr">
        <is>
          <t>Assumes called on first call date</t>
        </is>
      </c>
    </row>
    <row r="28" ht="29" customHeight="1" s="54">
      <c r="A28" s="25" t="n"/>
      <c r="B28" s="26" t="inlineStr">
        <is>
          <t>Macaulay Duration (yrs, using YTM)</t>
        </is>
      </c>
      <c r="C28" s="28">
        <f>DURATION($C$6,$C$7,$C$10,$C$26,$C$11,$C$12)</f>
        <v/>
      </c>
      <c r="D28" s="25" t="inlineStr">
        <is>
          <t>Uses derived YTM</t>
        </is>
      </c>
    </row>
    <row r="29" ht="29" customHeight="1" s="54">
      <c r="A29" s="25" t="n"/>
      <c r="B29" s="26" t="inlineStr">
        <is>
          <t>Modified Duration (using YTM)</t>
        </is>
      </c>
      <c r="C29" s="28">
        <f>MDURATION($C$6,$C$7,$C$10,$C$26,$C$11,$C$12)</f>
        <v/>
      </c>
      <c r="D29" s="25" t="inlineStr">
        <is>
          <t>Price sensitivity per 1% yield</t>
        </is>
      </c>
    </row>
    <row r="30"/>
    <row r="31"/>
    <row r="32">
      <c r="A32" s="58" t="inlineStr">
        <is>
          <t>Checks</t>
        </is>
      </c>
    </row>
    <row r="33">
      <c r="A33" s="29" t="n"/>
      <c r="B33" s="30" t="inlineStr">
        <is>
          <t>Frequency valid?</t>
        </is>
      </c>
      <c r="C33" s="29">
        <f>IF(OR($C$11=1,$C$11=2,$C$11=4,$C$11=12),"OK","Invalid Frequency")</f>
        <v/>
      </c>
      <c r="D33" s="29" t="n"/>
    </row>
    <row r="34">
      <c r="A34" s="29" t="n"/>
      <c r="B34" s="30" t="inlineStr">
        <is>
          <t>Basis valid?</t>
        </is>
      </c>
      <c r="C34" s="29">
        <f>IF(OR($C$12=0,$C$12=1,$C$12=2),"OK","Invalid Basis")</f>
        <v/>
      </c>
      <c r="D34" s="29" t="n"/>
    </row>
    <row r="35" ht="29" customHeight="1" s="54">
      <c r="A35" s="29" t="n"/>
      <c r="B35" s="30" t="inlineStr">
        <is>
          <t>Date logic OK? (Settle &lt; Call &lt; Maturity)</t>
        </is>
      </c>
      <c r="C35" s="29">
        <f>IF(AND($C$6&lt;$C$13,$C$13&lt;$C$7),"OK","Check Dates")</f>
        <v/>
      </c>
      <c r="D35" s="29" t="n"/>
    </row>
    <row r="36">
      <c r="A36" s="29" t="n"/>
      <c r="B36" s="30" t="inlineStr">
        <is>
          <t>YTM &amp; YTC computed?</t>
        </is>
      </c>
      <c r="C36" s="29">
        <f>IF(AND(ISNUMBER($C$26),ISNUMBER($C$27)),"OK","Yield Error")</f>
        <v/>
      </c>
      <c r="D36" s="29" t="n"/>
    </row>
  </sheetData>
  <sheetProtection selectLockedCells="0" selectUnlockedCells="0" sheet="1" objects="1" insertRows="0" insertHyperlinks="1" autoFilter="0" scenarios="1" formatColumns="0" deleteColumns="0" insertColumns="0" pivotTables="0" deleteRows="0" formatCells="0" formatRows="0" sort="0" password="AE3A"/>
  <mergeCells count="5">
    <mergeCell ref="A24:H24"/>
    <mergeCell ref="A17:H17"/>
    <mergeCell ref="A1:H1"/>
    <mergeCell ref="A32:H32"/>
    <mergeCell ref="B3:H3"/>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36"/>
  <sheetViews>
    <sheetView workbookViewId="0">
      <pane ySplit="5" topLeftCell="A6" activePane="bottomLeft" state="frozen"/>
      <selection pane="bottomLeft" activeCell="A1" sqref="A1"/>
    </sheetView>
  </sheetViews>
  <sheetFormatPr baseColWidth="8" defaultRowHeight="14.5"/>
  <cols>
    <col width="4" customWidth="1" style="54" min="1" max="1"/>
    <col width="30" customWidth="1" style="54" min="2" max="2"/>
    <col width="22" customWidth="1" style="54" min="4" max="4"/>
    <col width="18" customWidth="1" style="54" min="5" max="5"/>
    <col width="22" customWidth="1" style="54" min="8" max="8"/>
  </cols>
  <sheetData>
    <row r="1" ht="28" customHeight="1" s="54">
      <c r="A1" s="57" t="inlineStr">
        <is>
          <t>Case-let 02: BluePeak Logistics Bond</t>
        </is>
      </c>
    </row>
    <row r="2" ht="15.5" customHeight="1" s="54">
      <c r="H2" s="12" t="inlineStr">
        <is>
          <t>⬅ Back to Index</t>
        </is>
      </c>
    </row>
    <row r="3">
      <c r="A3" s="2" t="inlineStr">
        <is>
          <t>Unique learning point:</t>
        </is>
      </c>
      <c r="B3" s="59" t="inlineStr">
        <is>
          <t>Semi-annual coupons: effect on YTM and duration</t>
        </is>
      </c>
    </row>
    <row r="4"/>
    <row r="5" ht="46.5" customHeight="1" s="54">
      <c r="A5" s="7" t="inlineStr">
        <is>
          <t>SECTION</t>
        </is>
      </c>
      <c r="B5" s="7" t="inlineStr">
        <is>
          <t>LABEL</t>
        </is>
      </c>
      <c r="C5" s="7" t="inlineStr">
        <is>
          <t>VALUE</t>
        </is>
      </c>
      <c r="D5" s="7" t="inlineStr">
        <is>
          <t>NOTES</t>
        </is>
      </c>
      <c r="E5" s="7" t="n"/>
      <c r="F5" s="7" t="n"/>
      <c r="G5" s="7" t="n"/>
      <c r="H5" s="7" t="n"/>
    </row>
    <row r="6" ht="29" customHeight="1" s="54">
      <c r="A6" s="13" t="inlineStr">
        <is>
          <t>Inputs</t>
        </is>
      </c>
      <c r="B6" s="14" t="inlineStr">
        <is>
          <t>Settlement Date</t>
        </is>
      </c>
      <c r="C6" s="15" t="n">
        <v>45823</v>
      </c>
      <c r="D6" s="13" t="inlineStr">
        <is>
          <t>Enter settlement date</t>
        </is>
      </c>
    </row>
    <row r="7" ht="29" customHeight="1" s="54">
      <c r="A7" s="13" t="inlineStr">
        <is>
          <t>Inputs</t>
        </is>
      </c>
      <c r="B7" s="14" t="inlineStr">
        <is>
          <t>Maturity Date</t>
        </is>
      </c>
      <c r="C7" s="15" t="n">
        <v>49841</v>
      </c>
      <c r="D7" s="13" t="inlineStr">
        <is>
          <t>Enter maturity date</t>
        </is>
      </c>
    </row>
    <row r="8" ht="29" customHeight="1" s="54">
      <c r="A8" s="13" t="inlineStr">
        <is>
          <t>Inputs</t>
        </is>
      </c>
      <c r="B8" s="14" t="inlineStr">
        <is>
          <t>Face Value (₹)</t>
        </is>
      </c>
      <c r="C8" s="16" t="n">
        <v>25000</v>
      </c>
      <c r="D8" s="13" t="inlineStr">
        <is>
          <t>Principal amount</t>
        </is>
      </c>
    </row>
    <row r="9" ht="29" customHeight="1" s="54">
      <c r="A9" s="13" t="inlineStr">
        <is>
          <t>Inputs</t>
        </is>
      </c>
      <c r="B9" s="14" t="inlineStr">
        <is>
          <t>Market Price (₹)</t>
        </is>
      </c>
      <c r="C9" s="16" t="n">
        <v>25650</v>
      </c>
      <c r="D9" s="13" t="inlineStr">
        <is>
          <t>Current traded price (₹)</t>
        </is>
      </c>
    </row>
    <row r="10" ht="29" customHeight="1" s="54">
      <c r="A10" s="13" t="inlineStr">
        <is>
          <t>Inputs</t>
        </is>
      </c>
      <c r="B10" s="14" t="inlineStr">
        <is>
          <t>Coupon Rate (annual)</t>
        </is>
      </c>
      <c r="C10" s="17" t="n">
        <v>0.074</v>
      </c>
      <c r="D10" s="13" t="inlineStr">
        <is>
          <t>Enter as %</t>
        </is>
      </c>
    </row>
    <row r="11" ht="29" customHeight="1" s="54">
      <c r="A11" s="13" t="inlineStr">
        <is>
          <t>Inputs</t>
        </is>
      </c>
      <c r="B11" s="14" t="inlineStr">
        <is>
          <t>Coupon Frequency</t>
        </is>
      </c>
      <c r="C11" s="18" t="n">
        <v>2</v>
      </c>
      <c r="D11" s="13" t="inlineStr">
        <is>
          <t>1=Annual,2=Semi,4=Quarterly,12=Monthly</t>
        </is>
      </c>
    </row>
    <row r="12" ht="29" customHeight="1" s="54">
      <c r="A12" s="13" t="inlineStr">
        <is>
          <t>Inputs</t>
        </is>
      </c>
      <c r="B12" s="14" t="inlineStr">
        <is>
          <t>Basis (Take-home confirmation)</t>
        </is>
      </c>
      <c r="C12" s="18" t="n">
        <v>2</v>
      </c>
      <c r="D12" s="13" t="inlineStr">
        <is>
          <t>0/1/2</t>
        </is>
      </c>
    </row>
    <row r="13" ht="29" customHeight="1" s="54">
      <c r="A13" s="13" t="inlineStr">
        <is>
          <t>Inputs</t>
        </is>
      </c>
      <c r="B13" s="14" t="inlineStr">
        <is>
          <t>First Call Date</t>
        </is>
      </c>
      <c r="C13" s="15" t="n">
        <v>48014</v>
      </c>
      <c r="D13" s="13" t="inlineStr">
        <is>
          <t>First callable date</t>
        </is>
      </c>
    </row>
    <row r="14" ht="29" customHeight="1" s="54">
      <c r="A14" s="13" t="inlineStr">
        <is>
          <t>Inputs</t>
        </is>
      </c>
      <c r="B14" s="14" t="inlineStr">
        <is>
          <t>Call Price (% of face)</t>
        </is>
      </c>
      <c r="C14" s="19" t="n">
        <v>102</v>
      </c>
      <c r="D14" s="13" t="inlineStr">
        <is>
          <t>e.g., 103 = 103%</t>
        </is>
      </c>
    </row>
    <row r="15" ht="29" customHeight="1" s="54">
      <c r="A15" s="13" t="inlineStr">
        <is>
          <t>Inputs</t>
        </is>
      </c>
      <c r="B15" s="14" t="inlineStr">
        <is>
          <t>Redemption at Maturity (% of face)</t>
        </is>
      </c>
      <c r="C15" s="19" t="n">
        <v>100</v>
      </c>
      <c r="D15" s="13" t="inlineStr">
        <is>
          <t>e.g., 100 = par</t>
        </is>
      </c>
    </row>
    <row r="16"/>
    <row r="17">
      <c r="A17" s="56" t="inlineStr">
        <is>
          <t>Calculations</t>
        </is>
      </c>
    </row>
    <row r="18">
      <c r="A18" s="20" t="n"/>
      <c r="B18" s="21" t="inlineStr">
        <is>
          <t>Annual Coupon (₹)</t>
        </is>
      </c>
      <c r="C18" s="22">
        <f>$C$8*$C$10</f>
        <v/>
      </c>
      <c r="D18" s="20" t="inlineStr">
        <is>
          <t>Face × coupon rate</t>
        </is>
      </c>
    </row>
    <row r="19" ht="29" customHeight="1" s="54">
      <c r="A19" s="20" t="n"/>
      <c r="B19" s="21" t="inlineStr">
        <is>
          <t>Coupon per period (₹)</t>
        </is>
      </c>
      <c r="C19" s="22">
        <f>$C$8*$C$10/$C$11</f>
        <v/>
      </c>
      <c r="D19" s="20" t="inlineStr">
        <is>
          <t>Face × coupon / frequency</t>
        </is>
      </c>
    </row>
    <row r="20" ht="29" customHeight="1" s="54">
      <c r="A20" s="20" t="n"/>
      <c r="B20" s="21" t="inlineStr">
        <is>
          <t>Price per ₹100 face</t>
        </is>
      </c>
      <c r="C20" s="23">
        <f>$C$9/$C$8*100</f>
        <v/>
      </c>
      <c r="D20" s="20" t="inlineStr">
        <is>
          <t>Convert ₹ price to per-100</t>
        </is>
      </c>
    </row>
    <row r="21">
      <c r="A21" s="20" t="n"/>
      <c r="B21" s="21" t="inlineStr">
        <is>
          <t>Redemption per ₹100 (maturity)</t>
        </is>
      </c>
      <c r="C21" s="24">
        <f>$C$15</f>
        <v/>
      </c>
      <c r="D21" s="20" t="inlineStr">
        <is>
          <t>Maturity redemption %</t>
        </is>
      </c>
    </row>
    <row r="22">
      <c r="A22" s="20" t="n"/>
      <c r="B22" s="21" t="inlineStr">
        <is>
          <t>Call redemption per ₹100</t>
        </is>
      </c>
      <c r="C22" s="24">
        <f>$C$14</f>
        <v/>
      </c>
      <c r="D22" s="20" t="inlineStr">
        <is>
          <t>Call price %</t>
        </is>
      </c>
    </row>
    <row r="23"/>
    <row r="24">
      <c r="A24" s="55" t="inlineStr">
        <is>
          <t>Outputs</t>
        </is>
      </c>
    </row>
    <row r="25" ht="29" customHeight="1" s="54">
      <c r="A25" s="25" t="n"/>
      <c r="B25" s="26" t="inlineStr">
        <is>
          <t>Current Yield (CY)</t>
        </is>
      </c>
      <c r="C25" s="27">
        <f>$C$18/$C$9</f>
        <v/>
      </c>
      <c r="D25" s="25" t="inlineStr">
        <is>
          <t>Annual coupon / market price</t>
        </is>
      </c>
    </row>
    <row r="26" ht="29" customHeight="1" s="54">
      <c r="A26" s="25" t="n"/>
      <c r="B26" s="26" t="inlineStr">
        <is>
          <t>Yield to Maturity (YTM)</t>
        </is>
      </c>
      <c r="C26" s="27">
        <f>YIELD($C$6,$C$7,$C$10,$C$20,$C$21,$C$11,$C$12)</f>
        <v/>
      </c>
      <c r="D26" s="25" t="inlineStr">
        <is>
          <t>YIELD() uses per-100 price</t>
        </is>
      </c>
    </row>
    <row r="27" ht="29" customHeight="1" s="54">
      <c r="A27" s="25" t="n"/>
      <c r="B27" s="26" t="inlineStr">
        <is>
          <t>Yield to Call (YTC)</t>
        </is>
      </c>
      <c r="C27" s="27">
        <f>YIELD($C$6,$C$13,$C$10,$C$20,$C$22,$C$11,$C$12)</f>
        <v/>
      </c>
      <c r="D27" s="25" t="inlineStr">
        <is>
          <t>Assumes called on first call date</t>
        </is>
      </c>
    </row>
    <row r="28" ht="29" customHeight="1" s="54">
      <c r="A28" s="25" t="n"/>
      <c r="B28" s="26" t="inlineStr">
        <is>
          <t>Macaulay Duration (yrs, using YTM)</t>
        </is>
      </c>
      <c r="C28" s="28">
        <f>DURATION($C$6,$C$7,$C$10,$C$26,$C$11,$C$12)</f>
        <v/>
      </c>
      <c r="D28" s="25" t="inlineStr">
        <is>
          <t>Uses derived YTM</t>
        </is>
      </c>
    </row>
    <row r="29" ht="29" customHeight="1" s="54">
      <c r="A29" s="25" t="n"/>
      <c r="B29" s="26" t="inlineStr">
        <is>
          <t>Modified Duration (using YTM)</t>
        </is>
      </c>
      <c r="C29" s="28">
        <f>MDURATION($C$6,$C$7,$C$10,$C$26,$C$11,$C$12)</f>
        <v/>
      </c>
      <c r="D29" s="25" t="inlineStr">
        <is>
          <t>Price sensitivity per 1% yield</t>
        </is>
      </c>
    </row>
    <row r="30"/>
    <row r="31"/>
    <row r="32">
      <c r="A32" s="58" t="inlineStr">
        <is>
          <t>Checks</t>
        </is>
      </c>
    </row>
    <row r="33">
      <c r="A33" s="29" t="n"/>
      <c r="B33" s="30" t="inlineStr">
        <is>
          <t>Frequency valid?</t>
        </is>
      </c>
      <c r="C33" s="29">
        <f>IF(OR($C$11=1,$C$11=2,$C$11=4,$C$11=12),"OK","Invalid Frequency")</f>
        <v/>
      </c>
      <c r="D33" s="29" t="n"/>
    </row>
    <row r="34">
      <c r="A34" s="29" t="n"/>
      <c r="B34" s="30" t="inlineStr">
        <is>
          <t>Basis valid?</t>
        </is>
      </c>
      <c r="C34" s="29">
        <f>IF(OR($C$12=0,$C$12=1,$C$12=2),"OK","Invalid Basis")</f>
        <v/>
      </c>
      <c r="D34" s="29" t="n"/>
    </row>
    <row r="35" ht="29" customHeight="1" s="54">
      <c r="A35" s="29" t="n"/>
      <c r="B35" s="30" t="inlineStr">
        <is>
          <t>Date logic OK? (Settle &lt; Call &lt; Maturity)</t>
        </is>
      </c>
      <c r="C35" s="29">
        <f>IF(AND($C$6&lt;$C$13,$C$13&lt;$C$7),"OK","Check Dates")</f>
        <v/>
      </c>
      <c r="D35" s="29" t="n"/>
    </row>
    <row r="36">
      <c r="A36" s="29" t="n"/>
      <c r="B36" s="30" t="inlineStr">
        <is>
          <t>YTM &amp; YTC computed?</t>
        </is>
      </c>
      <c r="C36" s="29">
        <f>IF(AND(ISNUMBER($C$26),ISNUMBER($C$27)),"OK","Yield Error")</f>
        <v/>
      </c>
      <c r="D36" s="29" t="n"/>
    </row>
  </sheetData>
  <sheetProtection selectLockedCells="0" selectUnlockedCells="0" sheet="1" objects="1" insertRows="0" insertHyperlinks="1" autoFilter="0" scenarios="1" formatColumns="0" deleteColumns="0" insertColumns="0" pivotTables="0" deleteRows="0" formatCells="0" formatRows="0" sort="0" password="AE3A"/>
  <mergeCells count="5">
    <mergeCell ref="A24:H24"/>
    <mergeCell ref="A17:H17"/>
    <mergeCell ref="A1:H1"/>
    <mergeCell ref="A32:H32"/>
    <mergeCell ref="B3:H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H36"/>
  <sheetViews>
    <sheetView workbookViewId="0">
      <pane ySplit="16" topLeftCell="A17" activePane="bottomLeft" state="frozen"/>
      <selection pane="bottomLeft" activeCell="A1" sqref="A1"/>
    </sheetView>
  </sheetViews>
  <sheetFormatPr baseColWidth="8" defaultRowHeight="14.5"/>
  <cols>
    <col width="4" customWidth="1" style="54" min="1" max="1"/>
    <col width="30" customWidth="1" style="54" min="2" max="2"/>
    <col width="22" customWidth="1" style="54" min="4" max="4"/>
    <col width="18" customWidth="1" style="54" min="5" max="5"/>
    <col width="22" customWidth="1" style="54" min="8" max="8"/>
  </cols>
  <sheetData>
    <row r="1" ht="28" customHeight="1" s="54">
      <c r="A1" s="57" t="inlineStr">
        <is>
          <t>Case-let 03: Crestline Power Bond</t>
        </is>
      </c>
    </row>
    <row r="2" ht="15.5" customHeight="1" s="54">
      <c r="H2" s="12" t="inlineStr">
        <is>
          <t>⬅ Back to Index</t>
        </is>
      </c>
    </row>
    <row r="3">
      <c r="A3" s="2" t="inlineStr">
        <is>
          <t>Unique learning point:</t>
        </is>
      </c>
      <c r="B3" s="59" t="inlineStr">
        <is>
          <t>YTC vs YTM when call date is relatively near and bond is premium</t>
        </is>
      </c>
    </row>
    <row r="4"/>
    <row r="5" ht="46.5" customHeight="1" s="54">
      <c r="A5" s="7" t="inlineStr">
        <is>
          <t>SECTION</t>
        </is>
      </c>
      <c r="B5" s="7" t="inlineStr">
        <is>
          <t>LABEL</t>
        </is>
      </c>
      <c r="C5" s="7" t="inlineStr">
        <is>
          <t>VALUE</t>
        </is>
      </c>
      <c r="D5" s="7" t="inlineStr">
        <is>
          <t>NOTES</t>
        </is>
      </c>
      <c r="E5" s="7" t="n"/>
      <c r="F5" s="7" t="n"/>
      <c r="G5" s="7" t="n"/>
      <c r="H5" s="7" t="n"/>
    </row>
    <row r="6" ht="29" customHeight="1" s="54">
      <c r="A6" s="13" t="inlineStr">
        <is>
          <t>Inputs</t>
        </is>
      </c>
      <c r="B6" s="14" t="inlineStr">
        <is>
          <t>Settlement Date</t>
        </is>
      </c>
      <c r="C6" s="15" t="n">
        <v>45910</v>
      </c>
      <c r="D6" s="13" t="inlineStr">
        <is>
          <t>Enter settlement date</t>
        </is>
      </c>
    </row>
    <row r="7" ht="29" customHeight="1" s="54">
      <c r="A7" s="13" t="inlineStr">
        <is>
          <t>Inputs</t>
        </is>
      </c>
      <c r="B7" s="14" t="inlineStr">
        <is>
          <t>Maturity Date</t>
        </is>
      </c>
      <c r="C7" s="15" t="n">
        <v>50658</v>
      </c>
      <c r="D7" s="13" t="inlineStr">
        <is>
          <t>Enter maturity date</t>
        </is>
      </c>
    </row>
    <row r="8" ht="29" customHeight="1" s="54">
      <c r="A8" s="13" t="inlineStr">
        <is>
          <t>Inputs</t>
        </is>
      </c>
      <c r="B8" s="14" t="inlineStr">
        <is>
          <t>Face Value (₹)</t>
        </is>
      </c>
      <c r="C8" s="16" t="n">
        <v>100000</v>
      </c>
      <c r="D8" s="13" t="inlineStr">
        <is>
          <t>Principal amount</t>
        </is>
      </c>
    </row>
    <row r="9" ht="29" customHeight="1" s="54">
      <c r="A9" s="13" t="inlineStr">
        <is>
          <t>Inputs</t>
        </is>
      </c>
      <c r="B9" s="14" t="inlineStr">
        <is>
          <t>Market Price (₹)</t>
        </is>
      </c>
      <c r="C9" s="16" t="n">
        <v>106750</v>
      </c>
      <c r="D9" s="13" t="inlineStr">
        <is>
          <t>Current traded price (₹)</t>
        </is>
      </c>
    </row>
    <row r="10" ht="29" customHeight="1" s="54">
      <c r="A10" s="13" t="inlineStr">
        <is>
          <t>Inputs</t>
        </is>
      </c>
      <c r="B10" s="14" t="inlineStr">
        <is>
          <t>Coupon Rate (annual)</t>
        </is>
      </c>
      <c r="C10" s="17" t="n">
        <v>0.081</v>
      </c>
      <c r="D10" s="13" t="inlineStr">
        <is>
          <t>Enter as %</t>
        </is>
      </c>
    </row>
    <row r="11" ht="29" customHeight="1" s="54">
      <c r="A11" s="13" t="inlineStr">
        <is>
          <t>Inputs</t>
        </is>
      </c>
      <c r="B11" s="14" t="inlineStr">
        <is>
          <t>Coupon Frequency</t>
        </is>
      </c>
      <c r="C11" s="18" t="n">
        <v>4</v>
      </c>
      <c r="D11" s="13" t="inlineStr">
        <is>
          <t>1=Annual,2=Semi,4=Quarterly,12=Monthly</t>
        </is>
      </c>
    </row>
    <row r="12" ht="29" customHeight="1" s="54">
      <c r="A12" s="13" t="inlineStr">
        <is>
          <t>Inputs</t>
        </is>
      </c>
      <c r="B12" s="14" t="inlineStr">
        <is>
          <t>Basis (Take-home confirmation)</t>
        </is>
      </c>
      <c r="C12" s="18" t="n">
        <v>1</v>
      </c>
      <c r="D12" s="13" t="inlineStr">
        <is>
          <t>0/1/2</t>
        </is>
      </c>
    </row>
    <row r="13" ht="29" customHeight="1" s="54">
      <c r="A13" s="13" t="inlineStr">
        <is>
          <t>Inputs</t>
        </is>
      </c>
      <c r="B13" s="14" t="inlineStr">
        <is>
          <t>First Call Date</t>
        </is>
      </c>
      <c r="C13" s="15" t="n">
        <v>47736</v>
      </c>
      <c r="D13" s="13" t="inlineStr">
        <is>
          <t>First callable date</t>
        </is>
      </c>
    </row>
    <row r="14" ht="29" customHeight="1" s="54">
      <c r="A14" s="13" t="inlineStr">
        <is>
          <t>Inputs</t>
        </is>
      </c>
      <c r="B14" s="14" t="inlineStr">
        <is>
          <t>Call Price (% of face)</t>
        </is>
      </c>
      <c r="C14" s="19" t="n">
        <v>104</v>
      </c>
      <c r="D14" s="13" t="inlineStr">
        <is>
          <t>e.g., 103 = 103%</t>
        </is>
      </c>
    </row>
    <row r="15" ht="29" customHeight="1" s="54">
      <c r="A15" s="13" t="inlineStr">
        <is>
          <t>Inputs</t>
        </is>
      </c>
      <c r="B15" s="14" t="inlineStr">
        <is>
          <t>Redemption at Maturity (% of face)</t>
        </is>
      </c>
      <c r="C15" s="19" t="n">
        <v>100</v>
      </c>
      <c r="D15" s="13" t="inlineStr">
        <is>
          <t>e.g., 100 = par</t>
        </is>
      </c>
    </row>
    <row r="16"/>
    <row r="17">
      <c r="A17" s="56" t="inlineStr">
        <is>
          <t>Calculations</t>
        </is>
      </c>
    </row>
    <row r="18">
      <c r="A18" s="20" t="n"/>
      <c r="B18" s="21" t="inlineStr">
        <is>
          <t>Annual Coupon (₹)</t>
        </is>
      </c>
      <c r="C18" s="22">
        <f>$C$8*$C$10</f>
        <v/>
      </c>
      <c r="D18" s="20" t="inlineStr">
        <is>
          <t>Face × coupon rate</t>
        </is>
      </c>
    </row>
    <row r="19" ht="29" customHeight="1" s="54">
      <c r="A19" s="20" t="n"/>
      <c r="B19" s="21" t="inlineStr">
        <is>
          <t>Coupon per period (₹)</t>
        </is>
      </c>
      <c r="C19" s="22">
        <f>$C$8*$C$10/$C$11</f>
        <v/>
      </c>
      <c r="D19" s="20" t="inlineStr">
        <is>
          <t>Face × coupon / frequency</t>
        </is>
      </c>
    </row>
    <row r="20" ht="29" customHeight="1" s="54">
      <c r="A20" s="20" t="n"/>
      <c r="B20" s="21" t="inlineStr">
        <is>
          <t>Price per ₹100 face</t>
        </is>
      </c>
      <c r="C20" s="23">
        <f>$C$9/$C$8*100</f>
        <v/>
      </c>
      <c r="D20" s="20" t="inlineStr">
        <is>
          <t>Convert ₹ price to per-100</t>
        </is>
      </c>
    </row>
    <row r="21">
      <c r="A21" s="20" t="n"/>
      <c r="B21" s="21" t="inlineStr">
        <is>
          <t>Redemption per ₹100 (maturity)</t>
        </is>
      </c>
      <c r="C21" s="24">
        <f>$C$15</f>
        <v/>
      </c>
      <c r="D21" s="20" t="inlineStr">
        <is>
          <t>Maturity redemption %</t>
        </is>
      </c>
    </row>
    <row r="22">
      <c r="A22" s="20" t="n"/>
      <c r="B22" s="21" t="inlineStr">
        <is>
          <t>Call redemption per ₹100</t>
        </is>
      </c>
      <c r="C22" s="24">
        <f>$C$14</f>
        <v/>
      </c>
      <c r="D22" s="20" t="inlineStr">
        <is>
          <t>Call price %</t>
        </is>
      </c>
    </row>
    <row r="23"/>
    <row r="24">
      <c r="A24" s="55" t="inlineStr">
        <is>
          <t>Outputs</t>
        </is>
      </c>
    </row>
    <row r="25" ht="29" customHeight="1" s="54">
      <c r="A25" s="25" t="n"/>
      <c r="B25" s="26" t="inlineStr">
        <is>
          <t>Current Yield (CY)</t>
        </is>
      </c>
      <c r="C25" s="27">
        <f>$C$18/$C$9</f>
        <v/>
      </c>
      <c r="D25" s="25" t="inlineStr">
        <is>
          <t>Annual coupon / market price</t>
        </is>
      </c>
    </row>
    <row r="26" ht="29" customHeight="1" s="54">
      <c r="A26" s="25" t="n"/>
      <c r="B26" s="26" t="inlineStr">
        <is>
          <t>Yield to Maturity (YTM)</t>
        </is>
      </c>
      <c r="C26" s="27">
        <f>YIELD($C$6,$C$7,$C$10,$C$20,$C$21,$C$11,$C$12)</f>
        <v/>
      </c>
      <c r="D26" s="25" t="inlineStr">
        <is>
          <t>YIELD() uses per-100 price</t>
        </is>
      </c>
    </row>
    <row r="27" ht="29" customHeight="1" s="54">
      <c r="A27" s="25" t="n"/>
      <c r="B27" s="26" t="inlineStr">
        <is>
          <t>Yield to Call (YTC)</t>
        </is>
      </c>
      <c r="C27" s="27">
        <f>YIELD($C$6,$C$13,$C$10,$C$20,$C$22,$C$11,$C$12)</f>
        <v/>
      </c>
      <c r="D27" s="25" t="inlineStr">
        <is>
          <t>Assumes called on first call date</t>
        </is>
      </c>
    </row>
    <row r="28" ht="29" customHeight="1" s="54">
      <c r="A28" s="25" t="n"/>
      <c r="B28" s="26" t="inlineStr">
        <is>
          <t>Macaulay Duration (yrs, using YTM)</t>
        </is>
      </c>
      <c r="C28" s="28">
        <f>DURATION($C$6,$C$7,$C$10,$C$26,$C$11,$C$12)</f>
        <v/>
      </c>
      <c r="D28" s="25" t="inlineStr">
        <is>
          <t>Uses derived YTM</t>
        </is>
      </c>
    </row>
    <row r="29" ht="29" customHeight="1" s="54">
      <c r="A29" s="25" t="n"/>
      <c r="B29" s="26" t="inlineStr">
        <is>
          <t>Modified Duration (using YTM)</t>
        </is>
      </c>
      <c r="C29" s="28">
        <f>MDURATION($C$6,$C$7,$C$10,$C$26,$C$11,$C$12)</f>
        <v/>
      </c>
      <c r="D29" s="25" t="inlineStr">
        <is>
          <t>Price sensitivity per 1% yield</t>
        </is>
      </c>
    </row>
    <row r="30"/>
    <row r="31"/>
    <row r="32">
      <c r="A32" s="58" t="inlineStr">
        <is>
          <t>Checks</t>
        </is>
      </c>
    </row>
    <row r="33">
      <c r="A33" s="29" t="n"/>
      <c r="B33" s="30" t="inlineStr">
        <is>
          <t>Frequency valid?</t>
        </is>
      </c>
      <c r="C33" s="29">
        <f>IF(OR($C$11=1,$C$11=2,$C$11=4,$C$11=12),"OK","Invalid Frequency")</f>
        <v/>
      </c>
      <c r="D33" s="29" t="n"/>
    </row>
    <row r="34">
      <c r="A34" s="29" t="n"/>
      <c r="B34" s="30" t="inlineStr">
        <is>
          <t>Basis valid?</t>
        </is>
      </c>
      <c r="C34" s="29">
        <f>IF(OR($C$12=0,$C$12=1,$C$12=2),"OK","Invalid Basis")</f>
        <v/>
      </c>
      <c r="D34" s="29" t="n"/>
    </row>
    <row r="35" ht="29" customHeight="1" s="54">
      <c r="A35" s="29" t="n"/>
      <c r="B35" s="30" t="inlineStr">
        <is>
          <t>Date logic OK? (Settle &lt; Call &lt; Maturity)</t>
        </is>
      </c>
      <c r="C35" s="29">
        <f>IF(AND($C$6&lt;$C$13,$C$13&lt;$C$7),"OK","Check Dates")</f>
        <v/>
      </c>
      <c r="D35" s="29" t="n"/>
    </row>
    <row r="36">
      <c r="A36" s="29" t="n"/>
      <c r="B36" s="30" t="inlineStr">
        <is>
          <t>YTM &amp; YTC computed?</t>
        </is>
      </c>
      <c r="C36" s="29">
        <f>IF(AND(ISNUMBER($C$26),ISNUMBER($C$27)),"OK","Yield Error")</f>
        <v/>
      </c>
      <c r="D36" s="29" t="n"/>
    </row>
  </sheetData>
  <sheetProtection selectLockedCells="0" selectUnlockedCells="0" sheet="1" objects="1" insertRows="0" insertHyperlinks="1" autoFilter="0" scenarios="1" formatColumns="0" deleteColumns="0" insertColumns="0" pivotTables="0" deleteRows="0" formatCells="0" formatRows="0" sort="0" password="AE3A"/>
  <mergeCells count="5">
    <mergeCell ref="A24:H24"/>
    <mergeCell ref="A17:H17"/>
    <mergeCell ref="A1:H1"/>
    <mergeCell ref="A32:H32"/>
    <mergeCell ref="B3:H3"/>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36"/>
  <sheetViews>
    <sheetView workbookViewId="0">
      <pane ySplit="5" topLeftCell="A6" activePane="bottomLeft" state="frozen"/>
      <selection pane="bottomLeft" activeCell="A1" sqref="A1"/>
    </sheetView>
  </sheetViews>
  <sheetFormatPr baseColWidth="8" defaultRowHeight="14.5"/>
  <cols>
    <col width="4" customWidth="1" style="54" min="1" max="1"/>
    <col width="30" customWidth="1" style="54" min="2" max="2"/>
    <col width="22" customWidth="1" style="54" min="4" max="4"/>
    <col width="18" customWidth="1" style="54" min="5" max="5"/>
    <col width="22" customWidth="1" style="54" min="8" max="8"/>
  </cols>
  <sheetData>
    <row r="1" ht="28" customHeight="1" s="54">
      <c r="A1" s="57" t="inlineStr">
        <is>
          <t>Case-let 04: DeltaMetro Housing Bond</t>
        </is>
      </c>
    </row>
    <row r="2" ht="15.5" customHeight="1" s="54">
      <c r="H2" s="12" t="inlineStr">
        <is>
          <t>⬅ Back to Index</t>
        </is>
      </c>
    </row>
    <row r="3">
      <c r="A3" s="2" t="inlineStr">
        <is>
          <t>Unique learning point:</t>
        </is>
      </c>
      <c r="B3" s="59" t="inlineStr">
        <is>
          <t>Call premium and its impact on YTC (maturity redemption at par)</t>
        </is>
      </c>
    </row>
    <row r="4"/>
    <row r="5" ht="46.5" customHeight="1" s="54">
      <c r="A5" s="7" t="inlineStr">
        <is>
          <t>SECTION</t>
        </is>
      </c>
      <c r="B5" s="7" t="inlineStr">
        <is>
          <t>LABEL</t>
        </is>
      </c>
      <c r="C5" s="7" t="inlineStr">
        <is>
          <t>VALUE</t>
        </is>
      </c>
      <c r="D5" s="7" t="inlineStr">
        <is>
          <t>NOTES</t>
        </is>
      </c>
      <c r="E5" s="7" t="n"/>
      <c r="F5" s="7" t="n"/>
      <c r="G5" s="7" t="n"/>
      <c r="H5" s="7" t="n"/>
    </row>
    <row r="6" ht="29" customHeight="1" s="54">
      <c r="A6" s="13" t="inlineStr">
        <is>
          <t>Inputs</t>
        </is>
      </c>
      <c r="B6" s="14" t="inlineStr">
        <is>
          <t>Settlement Date</t>
        </is>
      </c>
      <c r="C6" s="15" t="n">
        <v>45778</v>
      </c>
      <c r="D6" s="13" t="inlineStr">
        <is>
          <t>Enter settlement date</t>
        </is>
      </c>
    </row>
    <row r="7" ht="29" customHeight="1" s="54">
      <c r="A7" s="13" t="inlineStr">
        <is>
          <t>Inputs</t>
        </is>
      </c>
      <c r="B7" s="14" t="inlineStr">
        <is>
          <t>Maturity Date</t>
        </is>
      </c>
      <c r="C7" s="15" t="n">
        <v>50526</v>
      </c>
      <c r="D7" s="13" t="inlineStr">
        <is>
          <t>Enter maturity date</t>
        </is>
      </c>
    </row>
    <row r="8" ht="29" customHeight="1" s="54">
      <c r="A8" s="13" t="inlineStr">
        <is>
          <t>Inputs</t>
        </is>
      </c>
      <c r="B8" s="14" t="inlineStr">
        <is>
          <t>Face Value (₹)</t>
        </is>
      </c>
      <c r="C8" s="16" t="n">
        <v>50000</v>
      </c>
      <c r="D8" s="13" t="inlineStr">
        <is>
          <t>Principal amount</t>
        </is>
      </c>
    </row>
    <row r="9" ht="29" customHeight="1" s="54">
      <c r="A9" s="13" t="inlineStr">
        <is>
          <t>Inputs</t>
        </is>
      </c>
      <c r="B9" s="14" t="inlineStr">
        <is>
          <t>Market Price (₹)</t>
        </is>
      </c>
      <c r="C9" s="16" t="n">
        <v>49100</v>
      </c>
      <c r="D9" s="13" t="inlineStr">
        <is>
          <t>Current traded price (₹)</t>
        </is>
      </c>
    </row>
    <row r="10" ht="29" customHeight="1" s="54">
      <c r="A10" s="13" t="inlineStr">
        <is>
          <t>Inputs</t>
        </is>
      </c>
      <c r="B10" s="14" t="inlineStr">
        <is>
          <t>Coupon Rate (annual)</t>
        </is>
      </c>
      <c r="C10" s="17" t="n">
        <v>0.07000000000000001</v>
      </c>
      <c r="D10" s="13" t="inlineStr">
        <is>
          <t>Enter as %</t>
        </is>
      </c>
    </row>
    <row r="11" ht="29" customHeight="1" s="54">
      <c r="A11" s="13" t="inlineStr">
        <is>
          <t>Inputs</t>
        </is>
      </c>
      <c r="B11" s="14" t="inlineStr">
        <is>
          <t>Coupon Frequency</t>
        </is>
      </c>
      <c r="C11" s="18" t="n">
        <v>2</v>
      </c>
      <c r="D11" s="13" t="inlineStr">
        <is>
          <t>1=Annual,2=Semi,4=Quarterly,12=Monthly</t>
        </is>
      </c>
    </row>
    <row r="12" ht="29" customHeight="1" s="54">
      <c r="A12" s="13" t="inlineStr">
        <is>
          <t>Inputs</t>
        </is>
      </c>
      <c r="B12" s="14" t="inlineStr">
        <is>
          <t>Basis (Take-home confirmation)</t>
        </is>
      </c>
      <c r="C12" s="18" t="n">
        <v>0</v>
      </c>
      <c r="D12" s="13" t="inlineStr">
        <is>
          <t>0/1/2</t>
        </is>
      </c>
    </row>
    <row r="13" ht="29" customHeight="1" s="54">
      <c r="A13" s="13" t="inlineStr">
        <is>
          <t>Inputs</t>
        </is>
      </c>
      <c r="B13" s="14" t="inlineStr">
        <is>
          <t>First Call Date</t>
        </is>
      </c>
      <c r="C13" s="15" t="n">
        <v>48700</v>
      </c>
      <c r="D13" s="13" t="inlineStr">
        <is>
          <t>First callable date</t>
        </is>
      </c>
    </row>
    <row r="14" ht="29" customHeight="1" s="54">
      <c r="A14" s="13" t="inlineStr">
        <is>
          <t>Inputs</t>
        </is>
      </c>
      <c r="B14" s="14" t="inlineStr">
        <is>
          <t>Call Price (% of face)</t>
        </is>
      </c>
      <c r="C14" s="19" t="n">
        <v>105</v>
      </c>
      <c r="D14" s="13" t="inlineStr">
        <is>
          <t>e.g., 103 = 103%</t>
        </is>
      </c>
    </row>
    <row r="15" ht="29" customHeight="1" s="54">
      <c r="A15" s="13" t="inlineStr">
        <is>
          <t>Inputs</t>
        </is>
      </c>
      <c r="B15" s="14" t="inlineStr">
        <is>
          <t>Redemption at Maturity (% of face)</t>
        </is>
      </c>
      <c r="C15" s="19" t="n">
        <v>100</v>
      </c>
      <c r="D15" s="13" t="inlineStr">
        <is>
          <t>e.g., 100 = par</t>
        </is>
      </c>
    </row>
    <row r="16"/>
    <row r="17">
      <c r="A17" s="56" t="inlineStr">
        <is>
          <t>Calculations</t>
        </is>
      </c>
    </row>
    <row r="18">
      <c r="A18" s="20" t="n"/>
      <c r="B18" s="21" t="inlineStr">
        <is>
          <t>Annual Coupon (₹)</t>
        </is>
      </c>
      <c r="C18" s="22">
        <f>$C$8*$C$10</f>
        <v/>
      </c>
      <c r="D18" s="20" t="inlineStr">
        <is>
          <t>Face × coupon rate</t>
        </is>
      </c>
    </row>
    <row r="19" ht="29" customHeight="1" s="54">
      <c r="A19" s="20" t="n"/>
      <c r="B19" s="21" t="inlineStr">
        <is>
          <t>Coupon per period (₹)</t>
        </is>
      </c>
      <c r="C19" s="22">
        <f>$C$8*$C$10/$C$11</f>
        <v/>
      </c>
      <c r="D19" s="20" t="inlineStr">
        <is>
          <t>Face × coupon / frequency</t>
        </is>
      </c>
    </row>
    <row r="20" ht="29" customHeight="1" s="54">
      <c r="A20" s="20" t="n"/>
      <c r="B20" s="21" t="inlineStr">
        <is>
          <t>Price per ₹100 face</t>
        </is>
      </c>
      <c r="C20" s="23">
        <f>$C$9/$C$8*100</f>
        <v/>
      </c>
      <c r="D20" s="20" t="inlineStr">
        <is>
          <t>Convert ₹ price to per-100</t>
        </is>
      </c>
    </row>
    <row r="21">
      <c r="A21" s="20" t="n"/>
      <c r="B21" s="21" t="inlineStr">
        <is>
          <t>Redemption per ₹100 (maturity)</t>
        </is>
      </c>
      <c r="C21" s="24">
        <f>$C$15</f>
        <v/>
      </c>
      <c r="D21" s="20" t="inlineStr">
        <is>
          <t>Maturity redemption %</t>
        </is>
      </c>
    </row>
    <row r="22">
      <c r="A22" s="20" t="n"/>
      <c r="B22" s="21" t="inlineStr">
        <is>
          <t>Call redemption per ₹100</t>
        </is>
      </c>
      <c r="C22" s="24">
        <f>$C$14</f>
        <v/>
      </c>
      <c r="D22" s="20" t="inlineStr">
        <is>
          <t>Call price %</t>
        </is>
      </c>
    </row>
    <row r="23"/>
    <row r="24">
      <c r="A24" s="55" t="inlineStr">
        <is>
          <t>Outputs</t>
        </is>
      </c>
    </row>
    <row r="25" ht="29" customHeight="1" s="54">
      <c r="A25" s="25" t="n"/>
      <c r="B25" s="26" t="inlineStr">
        <is>
          <t>Current Yield (CY)</t>
        </is>
      </c>
      <c r="C25" s="27">
        <f>$C$18/$C$9</f>
        <v/>
      </c>
      <c r="D25" s="25" t="inlineStr">
        <is>
          <t>Annual coupon / market price</t>
        </is>
      </c>
    </row>
    <row r="26" ht="29" customHeight="1" s="54">
      <c r="A26" s="25" t="n"/>
      <c r="B26" s="26" t="inlineStr">
        <is>
          <t>Yield to Maturity (YTM)</t>
        </is>
      </c>
      <c r="C26" s="27">
        <f>YIELD($C$6,$C$7,$C$10,$C$20,$C$21,$C$11,$C$12)</f>
        <v/>
      </c>
      <c r="D26" s="25" t="inlineStr">
        <is>
          <t>YIELD() uses per-100 price</t>
        </is>
      </c>
    </row>
    <row r="27" ht="29" customHeight="1" s="54">
      <c r="A27" s="25" t="n"/>
      <c r="B27" s="26" t="inlineStr">
        <is>
          <t>Yield to Call (YTC)</t>
        </is>
      </c>
      <c r="C27" s="27">
        <f>YIELD($C$6,$C$13,$C$10,$C$20,$C$22,$C$11,$C$12)</f>
        <v/>
      </c>
      <c r="D27" s="25" t="inlineStr">
        <is>
          <t>Assumes called on first call date</t>
        </is>
      </c>
    </row>
    <row r="28" ht="29" customHeight="1" s="54">
      <c r="A28" s="25" t="n"/>
      <c r="B28" s="26" t="inlineStr">
        <is>
          <t>Macaulay Duration (yrs, using YTM)</t>
        </is>
      </c>
      <c r="C28" s="28">
        <f>DURATION($C$6,$C$7,$C$10,$C$26,$C$11,$C$12)</f>
        <v/>
      </c>
      <c r="D28" s="25" t="inlineStr">
        <is>
          <t>Uses derived YTM</t>
        </is>
      </c>
    </row>
    <row r="29" ht="29" customHeight="1" s="54">
      <c r="A29" s="25" t="n"/>
      <c r="B29" s="26" t="inlineStr">
        <is>
          <t>Modified Duration (using YTM)</t>
        </is>
      </c>
      <c r="C29" s="28">
        <f>MDURATION($C$6,$C$7,$C$10,$C$26,$C$11,$C$12)</f>
        <v/>
      </c>
      <c r="D29" s="25" t="inlineStr">
        <is>
          <t>Price sensitivity per 1% yield</t>
        </is>
      </c>
    </row>
    <row r="30"/>
    <row r="31"/>
    <row r="32">
      <c r="A32" s="58" t="inlineStr">
        <is>
          <t>Checks</t>
        </is>
      </c>
    </row>
    <row r="33">
      <c r="A33" s="29" t="n"/>
      <c r="B33" s="30" t="inlineStr">
        <is>
          <t>Frequency valid?</t>
        </is>
      </c>
      <c r="C33" s="29">
        <f>IF(OR($C$11=1,$C$11=2,$C$11=4,$C$11=12),"OK","Invalid Frequency")</f>
        <v/>
      </c>
      <c r="D33" s="29" t="n"/>
    </row>
    <row r="34">
      <c r="A34" s="29" t="n"/>
      <c r="B34" s="30" t="inlineStr">
        <is>
          <t>Basis valid?</t>
        </is>
      </c>
      <c r="C34" s="29">
        <f>IF(OR($C$12=0,$C$12=1,$C$12=2),"OK","Invalid Basis")</f>
        <v/>
      </c>
      <c r="D34" s="29" t="n"/>
    </row>
    <row r="35" ht="29" customHeight="1" s="54">
      <c r="A35" s="29" t="n"/>
      <c r="B35" s="30" t="inlineStr">
        <is>
          <t>Date logic OK? (Settle &lt; Call &lt; Maturity)</t>
        </is>
      </c>
      <c r="C35" s="29">
        <f>IF(AND($C$6&lt;$C$13,$C$13&lt;$C$7),"OK","Check Dates")</f>
        <v/>
      </c>
      <c r="D35" s="29" t="n"/>
    </row>
    <row r="36">
      <c r="A36" s="29" t="n"/>
      <c r="B36" s="30" t="inlineStr">
        <is>
          <t>YTM &amp; YTC computed?</t>
        </is>
      </c>
      <c r="C36" s="29">
        <f>IF(AND(ISNUMBER($C$26),ISNUMBER($C$27)),"OK","Yield Error")</f>
        <v/>
      </c>
      <c r="D36" s="29" t="n"/>
    </row>
  </sheetData>
  <sheetProtection selectLockedCells="0" selectUnlockedCells="0" sheet="1" objects="1" insertRows="0" insertHyperlinks="1" autoFilter="0" scenarios="1" formatColumns="0" deleteColumns="0" insertColumns="0" pivotTables="0" deleteRows="0" formatCells="0" formatRows="0" sort="0" password="AE3A"/>
  <mergeCells count="5">
    <mergeCell ref="A24:H24"/>
    <mergeCell ref="A17:H17"/>
    <mergeCell ref="A1:H1"/>
    <mergeCell ref="A32:H32"/>
    <mergeCell ref="B3:H3"/>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36"/>
  <sheetViews>
    <sheetView workbookViewId="0">
      <pane ySplit="5" topLeftCell="A6" activePane="bottomLeft" state="frozen"/>
      <selection pane="bottomLeft" activeCell="A1" sqref="A1"/>
    </sheetView>
  </sheetViews>
  <sheetFormatPr baseColWidth="8" defaultRowHeight="14.5"/>
  <cols>
    <col width="4" customWidth="1" style="54" min="1" max="1"/>
    <col width="30" customWidth="1" style="54" min="2" max="2"/>
    <col width="22" customWidth="1" style="54" min="4" max="4"/>
    <col width="18" customWidth="1" style="54" min="5" max="5"/>
    <col width="22" customWidth="1" style="54" min="8" max="8"/>
  </cols>
  <sheetData>
    <row r="1" ht="28" customHeight="1" s="54">
      <c r="A1" s="57" t="inlineStr">
        <is>
          <t>Case-let 05: Evergreen Pharma Bond</t>
        </is>
      </c>
    </row>
    <row r="2" ht="15.5" customHeight="1" s="54">
      <c r="H2" s="12" t="inlineStr">
        <is>
          <t>⬅ Back to Index</t>
        </is>
      </c>
    </row>
    <row r="3">
      <c r="A3" s="2" t="inlineStr">
        <is>
          <t>Unique learning point:</t>
        </is>
      </c>
      <c r="B3" s="59" t="inlineStr">
        <is>
          <t>High coupon generally lowers duration (faster cash-flow recovery)</t>
        </is>
      </c>
    </row>
    <row r="4"/>
    <row r="5" ht="46.5" customHeight="1" s="54">
      <c r="A5" s="7" t="inlineStr">
        <is>
          <t>SECTION</t>
        </is>
      </c>
      <c r="B5" s="7" t="inlineStr">
        <is>
          <t>LABEL</t>
        </is>
      </c>
      <c r="C5" s="7" t="inlineStr">
        <is>
          <t>VALUE</t>
        </is>
      </c>
      <c r="D5" s="7" t="inlineStr">
        <is>
          <t>NOTES</t>
        </is>
      </c>
      <c r="E5" s="7" t="n"/>
      <c r="F5" s="7" t="n"/>
      <c r="G5" s="7" t="n"/>
      <c r="H5" s="7" t="n"/>
    </row>
    <row r="6" ht="29" customHeight="1" s="54">
      <c r="A6" s="13" t="inlineStr">
        <is>
          <t>Inputs</t>
        </is>
      </c>
      <c r="B6" s="14" t="inlineStr">
        <is>
          <t>Settlement Date</t>
        </is>
      </c>
      <c r="C6" s="15" t="n">
        <v>45889</v>
      </c>
      <c r="D6" s="13" t="inlineStr">
        <is>
          <t>Enter settlement date</t>
        </is>
      </c>
    </row>
    <row r="7" ht="29" customHeight="1" s="54">
      <c r="A7" s="13" t="inlineStr">
        <is>
          <t>Inputs</t>
        </is>
      </c>
      <c r="B7" s="14" t="inlineStr">
        <is>
          <t>Maturity Date</t>
        </is>
      </c>
      <c r="C7" s="15" t="n">
        <v>49907</v>
      </c>
      <c r="D7" s="13" t="inlineStr">
        <is>
          <t>Enter maturity date</t>
        </is>
      </c>
    </row>
    <row r="8" ht="29" customHeight="1" s="54">
      <c r="A8" s="13" t="inlineStr">
        <is>
          <t>Inputs</t>
        </is>
      </c>
      <c r="B8" s="14" t="inlineStr">
        <is>
          <t>Face Value (₹)</t>
        </is>
      </c>
      <c r="C8" s="16" t="n">
        <v>5000</v>
      </c>
      <c r="D8" s="13" t="inlineStr">
        <is>
          <t>Principal amount</t>
        </is>
      </c>
    </row>
    <row r="9" ht="29" customHeight="1" s="54">
      <c r="A9" s="13" t="inlineStr">
        <is>
          <t>Inputs</t>
        </is>
      </c>
      <c r="B9" s="14" t="inlineStr">
        <is>
          <t>Market Price (₹)</t>
        </is>
      </c>
      <c r="C9" s="16" t="n">
        <v>5040</v>
      </c>
      <c r="D9" s="13" t="inlineStr">
        <is>
          <t>Current traded price (₹)</t>
        </is>
      </c>
    </row>
    <row r="10" ht="29" customHeight="1" s="54">
      <c r="A10" s="13" t="inlineStr">
        <is>
          <t>Inputs</t>
        </is>
      </c>
      <c r="B10" s="14" t="inlineStr">
        <is>
          <t>Coupon Rate (annual)</t>
        </is>
      </c>
      <c r="C10" s="17" t="n">
        <v>0.1025</v>
      </c>
      <c r="D10" s="13" t="inlineStr">
        <is>
          <t>Enter as %</t>
        </is>
      </c>
    </row>
    <row r="11" ht="29" customHeight="1" s="54">
      <c r="A11" s="13" t="inlineStr">
        <is>
          <t>Inputs</t>
        </is>
      </c>
      <c r="B11" s="14" t="inlineStr">
        <is>
          <t>Coupon Frequency</t>
        </is>
      </c>
      <c r="C11" s="18" t="n">
        <v>1</v>
      </c>
      <c r="D11" s="13" t="inlineStr">
        <is>
          <t>1=Annual,2=Semi,4=Quarterly,12=Monthly</t>
        </is>
      </c>
    </row>
    <row r="12" ht="29" customHeight="1" s="54">
      <c r="A12" s="13" t="inlineStr">
        <is>
          <t>Inputs</t>
        </is>
      </c>
      <c r="B12" s="14" t="inlineStr">
        <is>
          <t>Basis (Take-home confirmation)</t>
        </is>
      </c>
      <c r="C12" s="18" t="n">
        <v>1</v>
      </c>
      <c r="D12" s="13" t="inlineStr">
        <is>
          <t>0/1/2</t>
        </is>
      </c>
    </row>
    <row r="13" ht="29" customHeight="1" s="54">
      <c r="A13" s="13" t="inlineStr">
        <is>
          <t>Inputs</t>
        </is>
      </c>
      <c r="B13" s="14" t="inlineStr">
        <is>
          <t>First Call Date</t>
        </is>
      </c>
      <c r="C13" s="15" t="n">
        <v>49176</v>
      </c>
      <c r="D13" s="13" t="inlineStr">
        <is>
          <t>First callable date</t>
        </is>
      </c>
    </row>
    <row r="14" ht="29" customHeight="1" s="54">
      <c r="A14" s="13" t="inlineStr">
        <is>
          <t>Inputs</t>
        </is>
      </c>
      <c r="B14" s="14" t="inlineStr">
        <is>
          <t>Call Price (% of face)</t>
        </is>
      </c>
      <c r="C14" s="19" t="n">
        <v>101</v>
      </c>
      <c r="D14" s="13" t="inlineStr">
        <is>
          <t>e.g., 103 = 103%</t>
        </is>
      </c>
    </row>
    <row r="15" ht="29" customHeight="1" s="54">
      <c r="A15" s="13" t="inlineStr">
        <is>
          <t>Inputs</t>
        </is>
      </c>
      <c r="B15" s="14" t="inlineStr">
        <is>
          <t>Redemption at Maturity (% of face)</t>
        </is>
      </c>
      <c r="C15" s="19" t="n">
        <v>100</v>
      </c>
      <c r="D15" s="13" t="inlineStr">
        <is>
          <t>e.g., 100 = par</t>
        </is>
      </c>
    </row>
    <row r="16"/>
    <row r="17">
      <c r="A17" s="56" t="inlineStr">
        <is>
          <t>Calculations</t>
        </is>
      </c>
    </row>
    <row r="18">
      <c r="A18" s="20" t="n"/>
      <c r="B18" s="21" t="inlineStr">
        <is>
          <t>Annual Coupon (₹)</t>
        </is>
      </c>
      <c r="C18" s="22">
        <f>$C$8*$C$10</f>
        <v/>
      </c>
      <c r="D18" s="20" t="inlineStr">
        <is>
          <t>Face × coupon rate</t>
        </is>
      </c>
    </row>
    <row r="19" ht="29" customHeight="1" s="54">
      <c r="A19" s="20" t="n"/>
      <c r="B19" s="21" t="inlineStr">
        <is>
          <t>Coupon per period (₹)</t>
        </is>
      </c>
      <c r="C19" s="22">
        <f>$C$8*$C$10/$C$11</f>
        <v/>
      </c>
      <c r="D19" s="20" t="inlineStr">
        <is>
          <t>Face × coupon / frequency</t>
        </is>
      </c>
    </row>
    <row r="20" ht="29" customHeight="1" s="54">
      <c r="A20" s="20" t="n"/>
      <c r="B20" s="21" t="inlineStr">
        <is>
          <t>Price per ₹100 face</t>
        </is>
      </c>
      <c r="C20" s="23">
        <f>$C$9/$C$8*100</f>
        <v/>
      </c>
      <c r="D20" s="20" t="inlineStr">
        <is>
          <t>Convert ₹ price to per-100</t>
        </is>
      </c>
    </row>
    <row r="21">
      <c r="A21" s="20" t="n"/>
      <c r="B21" s="21" t="inlineStr">
        <is>
          <t>Redemption per ₹100 (maturity)</t>
        </is>
      </c>
      <c r="C21" s="24">
        <f>$C$15</f>
        <v/>
      </c>
      <c r="D21" s="20" t="inlineStr">
        <is>
          <t>Maturity redemption %</t>
        </is>
      </c>
    </row>
    <row r="22">
      <c r="A22" s="20" t="n"/>
      <c r="B22" s="21" t="inlineStr">
        <is>
          <t>Call redemption per ₹100</t>
        </is>
      </c>
      <c r="C22" s="24">
        <f>$C$14</f>
        <v/>
      </c>
      <c r="D22" s="20" t="inlineStr">
        <is>
          <t>Call price %</t>
        </is>
      </c>
    </row>
    <row r="23"/>
    <row r="24">
      <c r="A24" s="55" t="inlineStr">
        <is>
          <t>Outputs</t>
        </is>
      </c>
    </row>
    <row r="25" ht="29" customHeight="1" s="54">
      <c r="A25" s="25" t="n"/>
      <c r="B25" s="26" t="inlineStr">
        <is>
          <t>Current Yield (CY)</t>
        </is>
      </c>
      <c r="C25" s="27">
        <f>$C$18/$C$9</f>
        <v/>
      </c>
      <c r="D25" s="25" t="inlineStr">
        <is>
          <t>Annual coupon / market price</t>
        </is>
      </c>
    </row>
    <row r="26" ht="29" customHeight="1" s="54">
      <c r="A26" s="25" t="n"/>
      <c r="B26" s="26" t="inlineStr">
        <is>
          <t>Yield to Maturity (YTM)</t>
        </is>
      </c>
      <c r="C26" s="27">
        <f>YIELD($C$6,$C$7,$C$10,$C$20,$C$21,$C$11,$C$12)</f>
        <v/>
      </c>
      <c r="D26" s="25" t="inlineStr">
        <is>
          <t>YIELD() uses per-100 price</t>
        </is>
      </c>
    </row>
    <row r="27" ht="29" customHeight="1" s="54">
      <c r="A27" s="25" t="n"/>
      <c r="B27" s="26" t="inlineStr">
        <is>
          <t>Yield to Call (YTC)</t>
        </is>
      </c>
      <c r="C27" s="27">
        <f>YIELD($C$6,$C$13,$C$10,$C$20,$C$22,$C$11,$C$12)</f>
        <v/>
      </c>
      <c r="D27" s="25" t="inlineStr">
        <is>
          <t>Assumes called on first call date</t>
        </is>
      </c>
    </row>
    <row r="28" ht="29" customHeight="1" s="54">
      <c r="A28" s="25" t="n"/>
      <c r="B28" s="26" t="inlineStr">
        <is>
          <t>Macaulay Duration (yrs, using YTM)</t>
        </is>
      </c>
      <c r="C28" s="28">
        <f>DURATION($C$6,$C$7,$C$10,$C$26,$C$11,$C$12)</f>
        <v/>
      </c>
      <c r="D28" s="25" t="inlineStr">
        <is>
          <t>Uses derived YTM</t>
        </is>
      </c>
    </row>
    <row r="29" ht="29" customHeight="1" s="54">
      <c r="A29" s="25" t="n"/>
      <c r="B29" s="26" t="inlineStr">
        <is>
          <t>Modified Duration (using YTM)</t>
        </is>
      </c>
      <c r="C29" s="28">
        <f>MDURATION($C$6,$C$7,$C$10,$C$26,$C$11,$C$12)</f>
        <v/>
      </c>
      <c r="D29" s="25" t="inlineStr">
        <is>
          <t>Price sensitivity per 1% yield</t>
        </is>
      </c>
    </row>
    <row r="30"/>
    <row r="31"/>
    <row r="32">
      <c r="A32" s="58" t="inlineStr">
        <is>
          <t>Checks</t>
        </is>
      </c>
    </row>
    <row r="33">
      <c r="A33" s="29" t="n"/>
      <c r="B33" s="30" t="inlineStr">
        <is>
          <t>Frequency valid?</t>
        </is>
      </c>
      <c r="C33" s="29">
        <f>IF(OR($C$11=1,$C$11=2,$C$11=4,$C$11=12),"OK","Invalid Frequency")</f>
        <v/>
      </c>
      <c r="D33" s="29" t="n"/>
    </row>
    <row r="34">
      <c r="A34" s="29" t="n"/>
      <c r="B34" s="30" t="inlineStr">
        <is>
          <t>Basis valid?</t>
        </is>
      </c>
      <c r="C34" s="29">
        <f>IF(OR($C$12=0,$C$12=1,$C$12=2),"OK","Invalid Basis")</f>
        <v/>
      </c>
      <c r="D34" s="29" t="n"/>
    </row>
    <row r="35" ht="29" customHeight="1" s="54">
      <c r="A35" s="29" t="n"/>
      <c r="B35" s="30" t="inlineStr">
        <is>
          <t>Date logic OK? (Settle &lt; Call &lt; Maturity)</t>
        </is>
      </c>
      <c r="C35" s="29">
        <f>IF(AND($C$6&lt;$C$13,$C$13&lt;$C$7),"OK","Check Dates")</f>
        <v/>
      </c>
      <c r="D35" s="29" t="n"/>
    </row>
    <row r="36">
      <c r="A36" s="29" t="n"/>
      <c r="B36" s="30" t="inlineStr">
        <is>
          <t>YTM &amp; YTC computed?</t>
        </is>
      </c>
      <c r="C36" s="29">
        <f>IF(AND(ISNUMBER($C$26),ISNUMBER($C$27)),"OK","Yield Error")</f>
        <v/>
      </c>
      <c r="D36" s="29" t="n"/>
    </row>
  </sheetData>
  <sheetProtection selectLockedCells="0" selectUnlockedCells="0" sheet="1" objects="1" insertRows="0" insertHyperlinks="1" autoFilter="0" scenarios="1" formatColumns="0" deleteColumns="0" insertColumns="0" pivotTables="0" deleteRows="0" formatCells="0" formatRows="0" sort="0" password="AE3A"/>
  <mergeCells count="5">
    <mergeCell ref="A24:H24"/>
    <mergeCell ref="A17:H17"/>
    <mergeCell ref="A1:H1"/>
    <mergeCell ref="A32:H32"/>
    <mergeCell ref="B3:H3"/>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36"/>
  <sheetViews>
    <sheetView workbookViewId="0">
      <pane ySplit="5" topLeftCell="A6" activePane="bottomLeft" state="frozen"/>
      <selection pane="bottomLeft" activeCell="A1" sqref="A1"/>
    </sheetView>
  </sheetViews>
  <sheetFormatPr baseColWidth="8" defaultRowHeight="14.5"/>
  <cols>
    <col width="4" customWidth="1" style="54" min="1" max="1"/>
    <col width="30" customWidth="1" style="54" min="2" max="2"/>
    <col width="22" customWidth="1" style="54" min="4" max="4"/>
    <col width="18" customWidth="1" style="54" min="5" max="5"/>
    <col width="22" customWidth="1" style="54" min="8" max="8"/>
  </cols>
  <sheetData>
    <row r="1" ht="28" customHeight="1" s="54">
      <c r="A1" s="57" t="inlineStr">
        <is>
          <t>Case-let 06: FrostRiver Utilities Bond</t>
        </is>
      </c>
    </row>
    <row r="2" ht="15.5" customHeight="1" s="54">
      <c r="H2" s="12" t="inlineStr">
        <is>
          <t>⬅ Back to Index</t>
        </is>
      </c>
    </row>
    <row r="3">
      <c r="A3" s="2" t="inlineStr">
        <is>
          <t>Unique learning point:</t>
        </is>
      </c>
      <c r="B3" s="59" t="inlineStr">
        <is>
          <t>Long maturity + low coupon → higher duration and modified duration</t>
        </is>
      </c>
    </row>
    <row r="4"/>
    <row r="5" ht="46.5" customHeight="1" s="54">
      <c r="A5" s="7" t="inlineStr">
        <is>
          <t>SECTION</t>
        </is>
      </c>
      <c r="B5" s="7" t="inlineStr">
        <is>
          <t>LABEL</t>
        </is>
      </c>
      <c r="C5" s="7" t="inlineStr">
        <is>
          <t>VALUE</t>
        </is>
      </c>
      <c r="D5" s="7" t="inlineStr">
        <is>
          <t>NOTES</t>
        </is>
      </c>
      <c r="E5" s="7" t="n"/>
      <c r="F5" s="7" t="n"/>
      <c r="G5" s="7" t="n"/>
      <c r="H5" s="7" t="n"/>
    </row>
    <row r="6" ht="29" customHeight="1" s="54">
      <c r="A6" s="13" t="inlineStr">
        <is>
          <t>Inputs</t>
        </is>
      </c>
      <c r="B6" s="14" t="inlineStr">
        <is>
          <t>Settlement Date</t>
        </is>
      </c>
      <c r="C6" s="15" t="n">
        <v>45931</v>
      </c>
      <c r="D6" s="13" t="inlineStr">
        <is>
          <t>Enter settlement date</t>
        </is>
      </c>
    </row>
    <row r="7" ht="29" customHeight="1" s="54">
      <c r="A7" s="13" t="inlineStr">
        <is>
          <t>Inputs</t>
        </is>
      </c>
      <c r="B7" s="14" t="inlineStr">
        <is>
          <t>Maturity Date</t>
        </is>
      </c>
      <c r="C7" s="15" t="n">
        <v>51410</v>
      </c>
      <c r="D7" s="13" t="inlineStr">
        <is>
          <t>Enter maturity date</t>
        </is>
      </c>
    </row>
    <row r="8" ht="29" customHeight="1" s="54">
      <c r="A8" s="13" t="inlineStr">
        <is>
          <t>Inputs</t>
        </is>
      </c>
      <c r="B8" s="14" t="inlineStr">
        <is>
          <t>Face Value (₹)</t>
        </is>
      </c>
      <c r="C8" s="16" t="n">
        <v>200000</v>
      </c>
      <c r="D8" s="13" t="inlineStr">
        <is>
          <t>Principal amount</t>
        </is>
      </c>
    </row>
    <row r="9" ht="29" customHeight="1" s="54">
      <c r="A9" s="13" t="inlineStr">
        <is>
          <t>Inputs</t>
        </is>
      </c>
      <c r="B9" s="14" t="inlineStr">
        <is>
          <t>Market Price (₹)</t>
        </is>
      </c>
      <c r="C9" s="16" t="n">
        <v>178500</v>
      </c>
      <c r="D9" s="13" t="inlineStr">
        <is>
          <t>Current traded price (₹)</t>
        </is>
      </c>
    </row>
    <row r="10" ht="29" customHeight="1" s="54">
      <c r="A10" s="13" t="inlineStr">
        <is>
          <t>Inputs</t>
        </is>
      </c>
      <c r="B10" s="14" t="inlineStr">
        <is>
          <t>Coupon Rate (annual)</t>
        </is>
      </c>
      <c r="C10" s="17" t="n">
        <v>0.059</v>
      </c>
      <c r="D10" s="13" t="inlineStr">
        <is>
          <t>Enter as %</t>
        </is>
      </c>
    </row>
    <row r="11" ht="29" customHeight="1" s="54">
      <c r="A11" s="13" t="inlineStr">
        <is>
          <t>Inputs</t>
        </is>
      </c>
      <c r="B11" s="14" t="inlineStr">
        <is>
          <t>Coupon Frequency</t>
        </is>
      </c>
      <c r="C11" s="18" t="n">
        <v>2</v>
      </c>
      <c r="D11" s="13" t="inlineStr">
        <is>
          <t>1=Annual,2=Semi,4=Quarterly,12=Monthly</t>
        </is>
      </c>
    </row>
    <row r="12" ht="29" customHeight="1" s="54">
      <c r="A12" s="13" t="inlineStr">
        <is>
          <t>Inputs</t>
        </is>
      </c>
      <c r="B12" s="14" t="inlineStr">
        <is>
          <t>Basis (Take-home confirmation)</t>
        </is>
      </c>
      <c r="C12" s="18" t="n">
        <v>2</v>
      </c>
      <c r="D12" s="13" t="inlineStr">
        <is>
          <t>0/1/2</t>
        </is>
      </c>
    </row>
    <row r="13" ht="29" customHeight="1" s="54">
      <c r="A13" s="13" t="inlineStr">
        <is>
          <t>Inputs</t>
        </is>
      </c>
      <c r="B13" s="14" t="inlineStr">
        <is>
          <t>First Call Date</t>
        </is>
      </c>
      <c r="C13" s="15" t="n">
        <v>49583</v>
      </c>
      <c r="D13" s="13" t="inlineStr">
        <is>
          <t>First callable date</t>
        </is>
      </c>
    </row>
    <row r="14" ht="29" customHeight="1" s="54">
      <c r="A14" s="13" t="inlineStr">
        <is>
          <t>Inputs</t>
        </is>
      </c>
      <c r="B14" s="14" t="inlineStr">
        <is>
          <t>Call Price (% of face)</t>
        </is>
      </c>
      <c r="C14" s="19" t="n">
        <v>102.5</v>
      </c>
      <c r="D14" s="13" t="inlineStr">
        <is>
          <t>e.g., 103 = 103%</t>
        </is>
      </c>
    </row>
    <row r="15" ht="29" customHeight="1" s="54">
      <c r="A15" s="13" t="inlineStr">
        <is>
          <t>Inputs</t>
        </is>
      </c>
      <c r="B15" s="14" t="inlineStr">
        <is>
          <t>Redemption at Maturity (% of face)</t>
        </is>
      </c>
      <c r="C15" s="19" t="n">
        <v>100</v>
      </c>
      <c r="D15" s="13" t="inlineStr">
        <is>
          <t>e.g., 100 = par</t>
        </is>
      </c>
    </row>
    <row r="16"/>
    <row r="17">
      <c r="A17" s="56" t="inlineStr">
        <is>
          <t>Calculations</t>
        </is>
      </c>
    </row>
    <row r="18">
      <c r="A18" s="20" t="n"/>
      <c r="B18" s="21" t="inlineStr">
        <is>
          <t>Annual Coupon (₹)</t>
        </is>
      </c>
      <c r="C18" s="22">
        <f>$C$8*$C$10</f>
        <v/>
      </c>
      <c r="D18" s="20" t="inlineStr">
        <is>
          <t>Face × coupon rate</t>
        </is>
      </c>
    </row>
    <row r="19" ht="29" customHeight="1" s="54">
      <c r="A19" s="20" t="n"/>
      <c r="B19" s="21" t="inlineStr">
        <is>
          <t>Coupon per period (₹)</t>
        </is>
      </c>
      <c r="C19" s="22">
        <f>$C$8*$C$10/$C$11</f>
        <v/>
      </c>
      <c r="D19" s="20" t="inlineStr">
        <is>
          <t>Face × coupon / frequency</t>
        </is>
      </c>
    </row>
    <row r="20" ht="29" customHeight="1" s="54">
      <c r="A20" s="20" t="n"/>
      <c r="B20" s="21" t="inlineStr">
        <is>
          <t>Price per ₹100 face</t>
        </is>
      </c>
      <c r="C20" s="23">
        <f>$C$9/$C$8*100</f>
        <v/>
      </c>
      <c r="D20" s="20" t="inlineStr">
        <is>
          <t>Convert ₹ price to per-100</t>
        </is>
      </c>
    </row>
    <row r="21">
      <c r="A21" s="20" t="n"/>
      <c r="B21" s="21" t="inlineStr">
        <is>
          <t>Redemption per ₹100 (maturity)</t>
        </is>
      </c>
      <c r="C21" s="24">
        <f>$C$15</f>
        <v/>
      </c>
      <c r="D21" s="20" t="inlineStr">
        <is>
          <t>Maturity redemption %</t>
        </is>
      </c>
    </row>
    <row r="22">
      <c r="A22" s="20" t="n"/>
      <c r="B22" s="21" t="inlineStr">
        <is>
          <t>Call redemption per ₹100</t>
        </is>
      </c>
      <c r="C22" s="24">
        <f>$C$14</f>
        <v/>
      </c>
      <c r="D22" s="20" t="inlineStr">
        <is>
          <t>Call price %</t>
        </is>
      </c>
    </row>
    <row r="23"/>
    <row r="24">
      <c r="A24" s="55" t="inlineStr">
        <is>
          <t>Outputs</t>
        </is>
      </c>
    </row>
    <row r="25" ht="29" customHeight="1" s="54">
      <c r="A25" s="25" t="n"/>
      <c r="B25" s="26" t="inlineStr">
        <is>
          <t>Current Yield (CY)</t>
        </is>
      </c>
      <c r="C25" s="27">
        <f>$C$18/$C$9</f>
        <v/>
      </c>
      <c r="D25" s="25" t="inlineStr">
        <is>
          <t>Annual coupon / market price</t>
        </is>
      </c>
    </row>
    <row r="26" ht="29" customHeight="1" s="54">
      <c r="A26" s="25" t="n"/>
      <c r="B26" s="26" t="inlineStr">
        <is>
          <t>Yield to Maturity (YTM)</t>
        </is>
      </c>
      <c r="C26" s="27">
        <f>YIELD($C$6,$C$7,$C$10,$C$20,$C$21,$C$11,$C$12)</f>
        <v/>
      </c>
      <c r="D26" s="25" t="inlineStr">
        <is>
          <t>YIELD() uses per-100 price</t>
        </is>
      </c>
    </row>
    <row r="27" ht="29" customHeight="1" s="54">
      <c r="A27" s="25" t="n"/>
      <c r="B27" s="26" t="inlineStr">
        <is>
          <t>Yield to Call (YTC)</t>
        </is>
      </c>
      <c r="C27" s="27">
        <f>YIELD($C$6,$C$13,$C$10,$C$20,$C$22,$C$11,$C$12)</f>
        <v/>
      </c>
      <c r="D27" s="25" t="inlineStr">
        <is>
          <t>Assumes called on first call date</t>
        </is>
      </c>
    </row>
    <row r="28" ht="29" customHeight="1" s="54">
      <c r="A28" s="25" t="n"/>
      <c r="B28" s="26" t="inlineStr">
        <is>
          <t>Macaulay Duration (yrs, using YTM)</t>
        </is>
      </c>
      <c r="C28" s="28">
        <f>DURATION($C$6,$C$7,$C$10,$C$26,$C$11,$C$12)</f>
        <v/>
      </c>
      <c r="D28" s="25" t="inlineStr">
        <is>
          <t>Uses derived YTM</t>
        </is>
      </c>
    </row>
    <row r="29" ht="29" customHeight="1" s="54">
      <c r="A29" s="25" t="n"/>
      <c r="B29" s="26" t="inlineStr">
        <is>
          <t>Modified Duration (using YTM)</t>
        </is>
      </c>
      <c r="C29" s="28">
        <f>MDURATION($C$6,$C$7,$C$10,$C$26,$C$11,$C$12)</f>
        <v/>
      </c>
      <c r="D29" s="25" t="inlineStr">
        <is>
          <t>Price sensitivity per 1% yield</t>
        </is>
      </c>
    </row>
    <row r="30"/>
    <row r="31"/>
    <row r="32">
      <c r="A32" s="58" t="inlineStr">
        <is>
          <t>Checks</t>
        </is>
      </c>
    </row>
    <row r="33">
      <c r="A33" s="29" t="n"/>
      <c r="B33" s="30" t="inlineStr">
        <is>
          <t>Frequency valid?</t>
        </is>
      </c>
      <c r="C33" s="29">
        <f>IF(OR($C$11=1,$C$11=2,$C$11=4,$C$11=12),"OK","Invalid Frequency")</f>
        <v/>
      </c>
      <c r="D33" s="29" t="n"/>
    </row>
    <row r="34">
      <c r="A34" s="29" t="n"/>
      <c r="B34" s="30" t="inlineStr">
        <is>
          <t>Basis valid?</t>
        </is>
      </c>
      <c r="C34" s="29">
        <f>IF(OR($C$12=0,$C$12=1,$C$12=2),"OK","Invalid Basis")</f>
        <v/>
      </c>
      <c r="D34" s="29" t="n"/>
    </row>
    <row r="35" ht="29" customHeight="1" s="54">
      <c r="A35" s="29" t="n"/>
      <c r="B35" s="30" t="inlineStr">
        <is>
          <t>Date logic OK? (Settle &lt; Call &lt; Maturity)</t>
        </is>
      </c>
      <c r="C35" s="29">
        <f>IF(AND($C$6&lt;$C$13,$C$13&lt;$C$7),"OK","Check Dates")</f>
        <v/>
      </c>
      <c r="D35" s="29" t="n"/>
    </row>
    <row r="36">
      <c r="A36" s="29" t="n"/>
      <c r="B36" s="30" t="inlineStr">
        <is>
          <t>YTM &amp; YTC computed?</t>
        </is>
      </c>
      <c r="C36" s="29">
        <f>IF(AND(ISNUMBER($C$26),ISNUMBER($C$27)),"OK","Yield Error")</f>
        <v/>
      </c>
      <c r="D36" s="29" t="n"/>
    </row>
  </sheetData>
  <sheetProtection selectLockedCells="0" selectUnlockedCells="0" sheet="1" objects="1" insertRows="0" insertHyperlinks="1" autoFilter="0" scenarios="1" formatColumns="0" deleteColumns="0" insertColumns="0" pivotTables="0" deleteRows="0" formatCells="0" formatRows="0" sort="0" password="AE3A"/>
  <mergeCells count="5">
    <mergeCell ref="A24:H24"/>
    <mergeCell ref="A17:H17"/>
    <mergeCell ref="A1:H1"/>
    <mergeCell ref="A32:H32"/>
    <mergeCell ref="B3:H3"/>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H36"/>
  <sheetViews>
    <sheetView workbookViewId="0">
      <pane ySplit="5" topLeftCell="A6" activePane="bottomLeft" state="frozen"/>
      <selection pane="bottomLeft" activeCell="A1" sqref="A1"/>
    </sheetView>
  </sheetViews>
  <sheetFormatPr baseColWidth="8" defaultRowHeight="14.5"/>
  <cols>
    <col width="4" customWidth="1" style="54" min="1" max="1"/>
    <col width="30" customWidth="1" style="54" min="2" max="2"/>
    <col width="22" customWidth="1" style="54" min="4" max="4"/>
    <col width="18" customWidth="1" style="54" min="5" max="5"/>
    <col width="22" customWidth="1" style="54" min="8" max="8"/>
  </cols>
  <sheetData>
    <row r="1" ht="28" customHeight="1" s="54">
      <c r="A1" s="57" t="inlineStr">
        <is>
          <t>Case-let 07: GreenHaven Renewables Bond</t>
        </is>
      </c>
    </row>
    <row r="2" ht="15.5" customHeight="1" s="54">
      <c r="H2" s="12" t="inlineStr">
        <is>
          <t>⬅ Back to Index</t>
        </is>
      </c>
    </row>
    <row r="3">
      <c r="A3" s="2" t="inlineStr">
        <is>
          <t>Unique learning point:</t>
        </is>
      </c>
      <c r="B3" s="59" t="inlineStr">
        <is>
          <t>Quarterly coupons and their effect on duration timing/weighting</t>
        </is>
      </c>
    </row>
    <row r="4"/>
    <row r="5" ht="46.5" customHeight="1" s="54">
      <c r="A5" s="7" t="inlineStr">
        <is>
          <t>SECTION</t>
        </is>
      </c>
      <c r="B5" s="7" t="inlineStr">
        <is>
          <t>LABEL</t>
        </is>
      </c>
      <c r="C5" s="7" t="inlineStr">
        <is>
          <t>VALUE</t>
        </is>
      </c>
      <c r="D5" s="7" t="inlineStr">
        <is>
          <t>NOTES</t>
        </is>
      </c>
      <c r="E5" s="7" t="n"/>
      <c r="F5" s="7" t="n"/>
      <c r="G5" s="7" t="n"/>
      <c r="H5" s="7" t="n"/>
    </row>
    <row r="6" ht="29" customHeight="1" s="54">
      <c r="A6" s="13" t="inlineStr">
        <is>
          <t>Inputs</t>
        </is>
      </c>
      <c r="B6" s="14" t="inlineStr">
        <is>
          <t>Settlement Date</t>
        </is>
      </c>
      <c r="C6" s="15" t="n">
        <v>46034</v>
      </c>
      <c r="D6" s="13" t="inlineStr">
        <is>
          <t>Enter settlement date</t>
        </is>
      </c>
    </row>
    <row r="7" ht="29" customHeight="1" s="54">
      <c r="A7" s="13" t="inlineStr">
        <is>
          <t>Inputs</t>
        </is>
      </c>
      <c r="B7" s="14" t="inlineStr">
        <is>
          <t>Maturity Date</t>
        </is>
      </c>
      <c r="C7" s="15" t="n">
        <v>50052</v>
      </c>
      <c r="D7" s="13" t="inlineStr">
        <is>
          <t>Enter maturity date</t>
        </is>
      </c>
    </row>
    <row r="8" ht="29" customHeight="1" s="54">
      <c r="A8" s="13" t="inlineStr">
        <is>
          <t>Inputs</t>
        </is>
      </c>
      <c r="B8" s="14" t="inlineStr">
        <is>
          <t>Face Value (₹)</t>
        </is>
      </c>
      <c r="C8" s="16" t="n">
        <v>75000</v>
      </c>
      <c r="D8" s="13" t="inlineStr">
        <is>
          <t>Principal amount</t>
        </is>
      </c>
    </row>
    <row r="9" ht="29" customHeight="1" s="54">
      <c r="A9" s="13" t="inlineStr">
        <is>
          <t>Inputs</t>
        </is>
      </c>
      <c r="B9" s="14" t="inlineStr">
        <is>
          <t>Market Price (₹)</t>
        </is>
      </c>
      <c r="C9" s="16" t="n">
        <v>78300</v>
      </c>
      <c r="D9" s="13" t="inlineStr">
        <is>
          <t>Current traded price (₹)</t>
        </is>
      </c>
    </row>
    <row r="10" ht="29" customHeight="1" s="54">
      <c r="A10" s="13" t="inlineStr">
        <is>
          <t>Inputs</t>
        </is>
      </c>
      <c r="B10" s="14" t="inlineStr">
        <is>
          <t>Coupon Rate (annual)</t>
        </is>
      </c>
      <c r="C10" s="17" t="n">
        <v>0.0765</v>
      </c>
      <c r="D10" s="13" t="inlineStr">
        <is>
          <t>Enter as %</t>
        </is>
      </c>
    </row>
    <row r="11" ht="29" customHeight="1" s="54">
      <c r="A11" s="13" t="inlineStr">
        <is>
          <t>Inputs</t>
        </is>
      </c>
      <c r="B11" s="14" t="inlineStr">
        <is>
          <t>Coupon Frequency</t>
        </is>
      </c>
      <c r="C11" s="18" t="n">
        <v>4</v>
      </c>
      <c r="D11" s="13" t="inlineStr">
        <is>
          <t>1=Annual,2=Semi,4=Quarterly,12=Monthly</t>
        </is>
      </c>
    </row>
    <row r="12" ht="29" customHeight="1" s="54">
      <c r="A12" s="13" t="inlineStr">
        <is>
          <t>Inputs</t>
        </is>
      </c>
      <c r="B12" s="14" t="inlineStr">
        <is>
          <t>Basis (Take-home confirmation)</t>
        </is>
      </c>
      <c r="C12" s="18" t="n">
        <v>0</v>
      </c>
      <c r="D12" s="13" t="inlineStr">
        <is>
          <t>0/1/2</t>
        </is>
      </c>
    </row>
    <row r="13" ht="29" customHeight="1" s="54">
      <c r="A13" s="13" t="inlineStr">
        <is>
          <t>Inputs</t>
        </is>
      </c>
      <c r="B13" s="14" t="inlineStr">
        <is>
          <t>First Call Date</t>
        </is>
      </c>
      <c r="C13" s="15" t="n">
        <v>48225</v>
      </c>
      <c r="D13" s="13" t="inlineStr">
        <is>
          <t>First callable date</t>
        </is>
      </c>
    </row>
    <row r="14" ht="29" customHeight="1" s="54">
      <c r="A14" s="13" t="inlineStr">
        <is>
          <t>Inputs</t>
        </is>
      </c>
      <c r="B14" s="14" t="inlineStr">
        <is>
          <t>Call Price (% of face)</t>
        </is>
      </c>
      <c r="C14" s="19" t="n">
        <v>103</v>
      </c>
      <c r="D14" s="13" t="inlineStr">
        <is>
          <t>e.g., 103 = 103%</t>
        </is>
      </c>
    </row>
    <row r="15" ht="29" customHeight="1" s="54">
      <c r="A15" s="13" t="inlineStr">
        <is>
          <t>Inputs</t>
        </is>
      </c>
      <c r="B15" s="14" t="inlineStr">
        <is>
          <t>Redemption at Maturity (% of face)</t>
        </is>
      </c>
      <c r="C15" s="19" t="n">
        <v>100</v>
      </c>
      <c r="D15" s="13" t="inlineStr">
        <is>
          <t>e.g., 100 = par</t>
        </is>
      </c>
    </row>
    <row r="16"/>
    <row r="17">
      <c r="A17" s="56" t="inlineStr">
        <is>
          <t>Calculations</t>
        </is>
      </c>
    </row>
    <row r="18">
      <c r="A18" s="20" t="n"/>
      <c r="B18" s="21" t="inlineStr">
        <is>
          <t>Annual Coupon (₹)</t>
        </is>
      </c>
      <c r="C18" s="22">
        <f>$C$8*$C$10</f>
        <v/>
      </c>
      <c r="D18" s="20" t="inlineStr">
        <is>
          <t>Face × coupon rate</t>
        </is>
      </c>
    </row>
    <row r="19" ht="29" customHeight="1" s="54">
      <c r="A19" s="20" t="n"/>
      <c r="B19" s="21" t="inlineStr">
        <is>
          <t>Coupon per period (₹)</t>
        </is>
      </c>
      <c r="C19" s="22">
        <f>$C$8*$C$10/$C$11</f>
        <v/>
      </c>
      <c r="D19" s="20" t="inlineStr">
        <is>
          <t>Face × coupon / frequency</t>
        </is>
      </c>
    </row>
    <row r="20" ht="29" customHeight="1" s="54">
      <c r="A20" s="20" t="n"/>
      <c r="B20" s="21" t="inlineStr">
        <is>
          <t>Price per ₹100 face</t>
        </is>
      </c>
      <c r="C20" s="23">
        <f>$C$9/$C$8*100</f>
        <v/>
      </c>
      <c r="D20" s="20" t="inlineStr">
        <is>
          <t>Convert ₹ price to per-100</t>
        </is>
      </c>
    </row>
    <row r="21">
      <c r="A21" s="20" t="n"/>
      <c r="B21" s="21" t="inlineStr">
        <is>
          <t>Redemption per ₹100 (maturity)</t>
        </is>
      </c>
      <c r="C21" s="24">
        <f>$C$15</f>
        <v/>
      </c>
      <c r="D21" s="20" t="inlineStr">
        <is>
          <t>Maturity redemption %</t>
        </is>
      </c>
    </row>
    <row r="22">
      <c r="A22" s="20" t="n"/>
      <c r="B22" s="21" t="inlineStr">
        <is>
          <t>Call redemption per ₹100</t>
        </is>
      </c>
      <c r="C22" s="24">
        <f>$C$14</f>
        <v/>
      </c>
      <c r="D22" s="20" t="inlineStr">
        <is>
          <t>Call price %</t>
        </is>
      </c>
    </row>
    <row r="23"/>
    <row r="24">
      <c r="A24" s="55" t="inlineStr">
        <is>
          <t>Outputs</t>
        </is>
      </c>
    </row>
    <row r="25" ht="29" customHeight="1" s="54">
      <c r="A25" s="25" t="n"/>
      <c r="B25" s="26" t="inlineStr">
        <is>
          <t>Current Yield (CY)</t>
        </is>
      </c>
      <c r="C25" s="27">
        <f>$C$18/$C$9</f>
        <v/>
      </c>
      <c r="D25" s="25" t="inlineStr">
        <is>
          <t>Annual coupon / market price</t>
        </is>
      </c>
    </row>
    <row r="26" ht="29" customHeight="1" s="54">
      <c r="A26" s="25" t="n"/>
      <c r="B26" s="26" t="inlineStr">
        <is>
          <t>Yield to Maturity (YTM)</t>
        </is>
      </c>
      <c r="C26" s="27">
        <f>YIELD($C$6,$C$7,$C$10,$C$20,$C$21,$C$11,$C$12)</f>
        <v/>
      </c>
      <c r="D26" s="25" t="inlineStr">
        <is>
          <t>YIELD() uses per-100 price</t>
        </is>
      </c>
    </row>
    <row r="27" ht="29" customHeight="1" s="54">
      <c r="A27" s="25" t="n"/>
      <c r="B27" s="26" t="inlineStr">
        <is>
          <t>Yield to Call (YTC)</t>
        </is>
      </c>
      <c r="C27" s="27">
        <f>YIELD($C$6,$C$13,$C$10,$C$20,$C$22,$C$11,$C$12)</f>
        <v/>
      </c>
      <c r="D27" s="25" t="inlineStr">
        <is>
          <t>Assumes called on first call date</t>
        </is>
      </c>
    </row>
    <row r="28" ht="29" customHeight="1" s="54">
      <c r="A28" s="25" t="n"/>
      <c r="B28" s="26" t="inlineStr">
        <is>
          <t>Macaulay Duration (yrs, using YTM)</t>
        </is>
      </c>
      <c r="C28" s="28">
        <f>DURATION($C$6,$C$7,$C$10,$C$26,$C$11,$C$12)</f>
        <v/>
      </c>
      <c r="D28" s="25" t="inlineStr">
        <is>
          <t>Uses derived YTM</t>
        </is>
      </c>
    </row>
    <row r="29" ht="29" customHeight="1" s="54">
      <c r="A29" s="25" t="n"/>
      <c r="B29" s="26" t="inlineStr">
        <is>
          <t>Modified Duration (using YTM)</t>
        </is>
      </c>
      <c r="C29" s="28">
        <f>MDURATION($C$6,$C$7,$C$10,$C$26,$C$11,$C$12)</f>
        <v/>
      </c>
      <c r="D29" s="25" t="inlineStr">
        <is>
          <t>Price sensitivity per 1% yield</t>
        </is>
      </c>
    </row>
    <row r="30"/>
    <row r="31"/>
    <row r="32">
      <c r="A32" s="58" t="inlineStr">
        <is>
          <t>Checks</t>
        </is>
      </c>
    </row>
    <row r="33">
      <c r="A33" s="29" t="n"/>
      <c r="B33" s="30" t="inlineStr">
        <is>
          <t>Frequency valid?</t>
        </is>
      </c>
      <c r="C33" s="29">
        <f>IF(OR($C$11=1,$C$11=2,$C$11=4,$C$11=12),"OK","Invalid Frequency")</f>
        <v/>
      </c>
      <c r="D33" s="29" t="n"/>
    </row>
    <row r="34">
      <c r="A34" s="29" t="n"/>
      <c r="B34" s="30" t="inlineStr">
        <is>
          <t>Basis valid?</t>
        </is>
      </c>
      <c r="C34" s="29">
        <f>IF(OR($C$12=0,$C$12=1,$C$12=2),"OK","Invalid Basis")</f>
        <v/>
      </c>
      <c r="D34" s="29" t="n"/>
    </row>
    <row r="35" ht="29" customHeight="1" s="54">
      <c r="A35" s="29" t="n"/>
      <c r="B35" s="30" t="inlineStr">
        <is>
          <t>Date logic OK? (Settle &lt; Call &lt; Maturity)</t>
        </is>
      </c>
      <c r="C35" s="29">
        <f>IF(AND($C$6&lt;$C$13,$C$13&lt;$C$7),"OK","Check Dates")</f>
        <v/>
      </c>
      <c r="D35" s="29" t="n"/>
    </row>
    <row r="36">
      <c r="A36" s="29" t="n"/>
      <c r="B36" s="30" t="inlineStr">
        <is>
          <t>YTM &amp; YTC computed?</t>
        </is>
      </c>
      <c r="C36" s="29">
        <f>IF(AND(ISNUMBER($C$26),ISNUMBER($C$27)),"OK","Yield Error")</f>
        <v/>
      </c>
      <c r="D36" s="29" t="n"/>
    </row>
  </sheetData>
  <sheetProtection selectLockedCells="0" selectUnlockedCells="0" sheet="1" objects="1" insertRows="0" insertHyperlinks="1" autoFilter="0" scenarios="1" formatColumns="0" deleteColumns="0" insertColumns="0" pivotTables="0" deleteRows="0" formatCells="0" formatRows="0" sort="0" password="AE3A"/>
  <mergeCells count="5">
    <mergeCell ref="A24:H24"/>
    <mergeCell ref="A17:H17"/>
    <mergeCell ref="A1:H1"/>
    <mergeCell ref="A32:H32"/>
    <mergeCell ref="B3:H3"/>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H36"/>
  <sheetViews>
    <sheetView workbookViewId="0">
      <pane ySplit="5" topLeftCell="A6" activePane="bottomLeft" state="frozen"/>
      <selection pane="bottomLeft" activeCell="A1" sqref="A1"/>
    </sheetView>
  </sheetViews>
  <sheetFormatPr baseColWidth="8" defaultRowHeight="14.5"/>
  <cols>
    <col width="4" customWidth="1" style="54" min="1" max="1"/>
    <col width="30" customWidth="1" style="54" min="2" max="2"/>
    <col width="22" customWidth="1" style="54" min="4" max="4"/>
    <col width="18" customWidth="1" style="54" min="5" max="5"/>
    <col width="22" customWidth="1" style="54" min="8" max="8"/>
  </cols>
  <sheetData>
    <row r="1" ht="28" customHeight="1" s="54">
      <c r="A1" s="57" t="inlineStr">
        <is>
          <t>Case-let 08: Horizon Retail Bond</t>
        </is>
      </c>
    </row>
    <row r="2" ht="15.5" customHeight="1" s="54">
      <c r="H2" s="12" t="inlineStr">
        <is>
          <t>⬅ Back to Index</t>
        </is>
      </c>
    </row>
    <row r="3">
      <c r="A3" s="2" t="inlineStr">
        <is>
          <t>Unique learning point:</t>
        </is>
      </c>
      <c r="B3" s="59" t="inlineStr">
        <is>
          <t>Low coupon vs higher YTM: discount pricing and duration intuition</t>
        </is>
      </c>
    </row>
    <row r="4"/>
    <row r="5" ht="46.5" customHeight="1" s="54">
      <c r="A5" s="7" t="inlineStr">
        <is>
          <t>SECTION</t>
        </is>
      </c>
      <c r="B5" s="7" t="inlineStr">
        <is>
          <t>LABEL</t>
        </is>
      </c>
      <c r="C5" s="7" t="inlineStr">
        <is>
          <t>VALUE</t>
        </is>
      </c>
      <c r="D5" s="7" t="inlineStr">
        <is>
          <t>NOTES</t>
        </is>
      </c>
      <c r="E5" s="7" t="n"/>
      <c r="F5" s="7" t="n"/>
      <c r="G5" s="7" t="n"/>
      <c r="H5" s="7" t="n"/>
    </row>
    <row r="6" ht="29" customHeight="1" s="54">
      <c r="A6" s="13" t="inlineStr">
        <is>
          <t>Inputs</t>
        </is>
      </c>
      <c r="B6" s="14" t="inlineStr">
        <is>
          <t>Settlement Date</t>
        </is>
      </c>
      <c r="C6" s="15" t="n">
        <v>45721</v>
      </c>
      <c r="D6" s="13" t="inlineStr">
        <is>
          <t>Enter settlement date</t>
        </is>
      </c>
    </row>
    <row r="7" ht="29" customHeight="1" s="54">
      <c r="A7" s="13" t="inlineStr">
        <is>
          <t>Inputs</t>
        </is>
      </c>
      <c r="B7" s="14" t="inlineStr">
        <is>
          <t>Maturity Date</t>
        </is>
      </c>
      <c r="C7" s="15" t="n">
        <v>50834</v>
      </c>
      <c r="D7" s="13" t="inlineStr">
        <is>
          <t>Enter maturity date</t>
        </is>
      </c>
    </row>
    <row r="8" ht="29" customHeight="1" s="54">
      <c r="A8" s="13" t="inlineStr">
        <is>
          <t>Inputs</t>
        </is>
      </c>
      <c r="B8" s="14" t="inlineStr">
        <is>
          <t>Face Value (₹)</t>
        </is>
      </c>
      <c r="C8" s="16" t="n">
        <v>100000</v>
      </c>
      <c r="D8" s="13" t="inlineStr">
        <is>
          <t>Principal amount</t>
        </is>
      </c>
    </row>
    <row r="9" ht="29" customHeight="1" s="54">
      <c r="A9" s="13" t="inlineStr">
        <is>
          <t>Inputs</t>
        </is>
      </c>
      <c r="B9" s="14" t="inlineStr">
        <is>
          <t>Market Price (₹)</t>
        </is>
      </c>
      <c r="C9" s="16" t="n">
        <v>89750</v>
      </c>
      <c r="D9" s="13" t="inlineStr">
        <is>
          <t>Current traded price (₹)</t>
        </is>
      </c>
    </row>
    <row r="10" ht="29" customHeight="1" s="54">
      <c r="A10" s="13" t="inlineStr">
        <is>
          <t>Inputs</t>
        </is>
      </c>
      <c r="B10" s="14" t="inlineStr">
        <is>
          <t>Coupon Rate (annual)</t>
        </is>
      </c>
      <c r="C10" s="17" t="n">
        <v>0.049</v>
      </c>
      <c r="D10" s="13" t="inlineStr">
        <is>
          <t>Enter as %</t>
        </is>
      </c>
    </row>
    <row r="11" ht="29" customHeight="1" s="54">
      <c r="A11" s="13" t="inlineStr">
        <is>
          <t>Inputs</t>
        </is>
      </c>
      <c r="B11" s="14" t="inlineStr">
        <is>
          <t>Coupon Frequency</t>
        </is>
      </c>
      <c r="C11" s="18" t="n">
        <v>2</v>
      </c>
      <c r="D11" s="13" t="inlineStr">
        <is>
          <t>1=Annual,2=Semi,4=Quarterly,12=Monthly</t>
        </is>
      </c>
    </row>
    <row r="12" ht="29" customHeight="1" s="54">
      <c r="A12" s="13" t="inlineStr">
        <is>
          <t>Inputs</t>
        </is>
      </c>
      <c r="B12" s="14" t="inlineStr">
        <is>
          <t>Basis (Take-home confirmation)</t>
        </is>
      </c>
      <c r="C12" s="18" t="n">
        <v>1</v>
      </c>
      <c r="D12" s="13" t="inlineStr">
        <is>
          <t>0/1/2</t>
        </is>
      </c>
    </row>
    <row r="13" ht="29" customHeight="1" s="54">
      <c r="A13" s="13" t="inlineStr">
        <is>
          <t>Inputs</t>
        </is>
      </c>
      <c r="B13" s="14" t="inlineStr">
        <is>
          <t>First Call Date</t>
        </is>
      </c>
      <c r="C13" s="15" t="n">
        <v>49008</v>
      </c>
      <c r="D13" s="13" t="inlineStr">
        <is>
          <t>First callable date</t>
        </is>
      </c>
    </row>
    <row r="14" ht="29" customHeight="1" s="54">
      <c r="A14" s="13" t="inlineStr">
        <is>
          <t>Inputs</t>
        </is>
      </c>
      <c r="B14" s="14" t="inlineStr">
        <is>
          <t>Call Price (% of face)</t>
        </is>
      </c>
      <c r="C14" s="19" t="n">
        <v>101.5</v>
      </c>
      <c r="D14" s="13" t="inlineStr">
        <is>
          <t>e.g., 103 = 103%</t>
        </is>
      </c>
    </row>
    <row r="15" ht="29" customHeight="1" s="54">
      <c r="A15" s="13" t="inlineStr">
        <is>
          <t>Inputs</t>
        </is>
      </c>
      <c r="B15" s="14" t="inlineStr">
        <is>
          <t>Redemption at Maturity (% of face)</t>
        </is>
      </c>
      <c r="C15" s="19" t="n">
        <v>100</v>
      </c>
      <c r="D15" s="13" t="inlineStr">
        <is>
          <t>e.g., 100 = par</t>
        </is>
      </c>
    </row>
    <row r="16"/>
    <row r="17">
      <c r="A17" s="56" t="inlineStr">
        <is>
          <t>Calculations</t>
        </is>
      </c>
    </row>
    <row r="18">
      <c r="A18" s="20" t="n"/>
      <c r="B18" s="21" t="inlineStr">
        <is>
          <t>Annual Coupon (₹)</t>
        </is>
      </c>
      <c r="C18" s="22">
        <f>$C$8*$C$10</f>
        <v/>
      </c>
      <c r="D18" s="20" t="inlineStr">
        <is>
          <t>Face × coupon rate</t>
        </is>
      </c>
    </row>
    <row r="19" ht="29" customHeight="1" s="54">
      <c r="A19" s="20" t="n"/>
      <c r="B19" s="21" t="inlineStr">
        <is>
          <t>Coupon per period (₹)</t>
        </is>
      </c>
      <c r="C19" s="22">
        <f>$C$8*$C$10/$C$11</f>
        <v/>
      </c>
      <c r="D19" s="20" t="inlineStr">
        <is>
          <t>Face × coupon / frequency</t>
        </is>
      </c>
    </row>
    <row r="20" ht="29" customHeight="1" s="54">
      <c r="A20" s="20" t="n"/>
      <c r="B20" s="21" t="inlineStr">
        <is>
          <t>Price per ₹100 face</t>
        </is>
      </c>
      <c r="C20" s="23">
        <f>$C$9/$C$8*100</f>
        <v/>
      </c>
      <c r="D20" s="20" t="inlineStr">
        <is>
          <t>Convert ₹ price to per-100</t>
        </is>
      </c>
    </row>
    <row r="21">
      <c r="A21" s="20" t="n"/>
      <c r="B21" s="21" t="inlineStr">
        <is>
          <t>Redemption per ₹100 (maturity)</t>
        </is>
      </c>
      <c r="C21" s="24">
        <f>$C$15</f>
        <v/>
      </c>
      <c r="D21" s="20" t="inlineStr">
        <is>
          <t>Maturity redemption %</t>
        </is>
      </c>
    </row>
    <row r="22">
      <c r="A22" s="20" t="n"/>
      <c r="B22" s="21" t="inlineStr">
        <is>
          <t>Call redemption per ₹100</t>
        </is>
      </c>
      <c r="C22" s="24">
        <f>$C$14</f>
        <v/>
      </c>
      <c r="D22" s="20" t="inlineStr">
        <is>
          <t>Call price %</t>
        </is>
      </c>
    </row>
    <row r="23"/>
    <row r="24">
      <c r="A24" s="55" t="inlineStr">
        <is>
          <t>Outputs</t>
        </is>
      </c>
    </row>
    <row r="25" ht="29" customHeight="1" s="54">
      <c r="A25" s="25" t="n"/>
      <c r="B25" s="26" t="inlineStr">
        <is>
          <t>Current Yield (CY)</t>
        </is>
      </c>
      <c r="C25" s="27">
        <f>$C$18/$C$9</f>
        <v/>
      </c>
      <c r="D25" s="25" t="inlineStr">
        <is>
          <t>Annual coupon / market price</t>
        </is>
      </c>
    </row>
    <row r="26" ht="29" customHeight="1" s="54">
      <c r="A26" s="25" t="n"/>
      <c r="B26" s="26" t="inlineStr">
        <is>
          <t>Yield to Maturity (YTM)</t>
        </is>
      </c>
      <c r="C26" s="27">
        <f>YIELD($C$6,$C$7,$C$10,$C$20,$C$21,$C$11,$C$12)</f>
        <v/>
      </c>
      <c r="D26" s="25" t="inlineStr">
        <is>
          <t>YIELD() uses per-100 price</t>
        </is>
      </c>
    </row>
    <row r="27" ht="29" customHeight="1" s="54">
      <c r="A27" s="25" t="n"/>
      <c r="B27" s="26" t="inlineStr">
        <is>
          <t>Yield to Call (YTC)</t>
        </is>
      </c>
      <c r="C27" s="27">
        <f>YIELD($C$6,$C$13,$C$10,$C$20,$C$22,$C$11,$C$12)</f>
        <v/>
      </c>
      <c r="D27" s="25" t="inlineStr">
        <is>
          <t>Assumes called on first call date</t>
        </is>
      </c>
    </row>
    <row r="28" ht="29" customHeight="1" s="54">
      <c r="A28" s="25" t="n"/>
      <c r="B28" s="26" t="inlineStr">
        <is>
          <t>Macaulay Duration (yrs, using YTM)</t>
        </is>
      </c>
      <c r="C28" s="28">
        <f>DURATION($C$6,$C$7,$C$10,$C$26,$C$11,$C$12)</f>
        <v/>
      </c>
      <c r="D28" s="25" t="inlineStr">
        <is>
          <t>Uses derived YTM</t>
        </is>
      </c>
    </row>
    <row r="29" ht="29" customHeight="1" s="54">
      <c r="A29" s="25" t="n"/>
      <c r="B29" s="26" t="inlineStr">
        <is>
          <t>Modified Duration (using YTM)</t>
        </is>
      </c>
      <c r="C29" s="28">
        <f>MDURATION($C$6,$C$7,$C$10,$C$26,$C$11,$C$12)</f>
        <v/>
      </c>
      <c r="D29" s="25" t="inlineStr">
        <is>
          <t>Price sensitivity per 1% yield</t>
        </is>
      </c>
    </row>
    <row r="30"/>
    <row r="31"/>
    <row r="32">
      <c r="A32" s="58" t="inlineStr">
        <is>
          <t>Checks</t>
        </is>
      </c>
    </row>
    <row r="33">
      <c r="A33" s="29" t="n"/>
      <c r="B33" s="30" t="inlineStr">
        <is>
          <t>Frequency valid?</t>
        </is>
      </c>
      <c r="C33" s="29">
        <f>IF(OR($C$11=1,$C$11=2,$C$11=4,$C$11=12),"OK","Invalid Frequency")</f>
        <v/>
      </c>
      <c r="D33" s="29" t="n"/>
    </row>
    <row r="34">
      <c r="A34" s="29" t="n"/>
      <c r="B34" s="30" t="inlineStr">
        <is>
          <t>Basis valid?</t>
        </is>
      </c>
      <c r="C34" s="29">
        <f>IF(OR($C$12=0,$C$12=1,$C$12=2),"OK","Invalid Basis")</f>
        <v/>
      </c>
      <c r="D34" s="29" t="n"/>
    </row>
    <row r="35" ht="29" customHeight="1" s="54">
      <c r="A35" s="29" t="n"/>
      <c r="B35" s="30" t="inlineStr">
        <is>
          <t>Date logic OK? (Settle &lt; Call &lt; Maturity)</t>
        </is>
      </c>
      <c r="C35" s="29">
        <f>IF(AND($C$6&lt;$C$13,$C$13&lt;$C$7),"OK","Check Dates")</f>
        <v/>
      </c>
      <c r="D35" s="29" t="n"/>
    </row>
    <row r="36">
      <c r="A36" s="29" t="n"/>
      <c r="B36" s="30" t="inlineStr">
        <is>
          <t>YTM &amp; YTC computed?</t>
        </is>
      </c>
      <c r="C36" s="29">
        <f>IF(AND(ISNUMBER($C$26),ISNUMBER($C$27)),"OK","Yield Error")</f>
        <v/>
      </c>
      <c r="D36" s="29" t="n"/>
    </row>
  </sheetData>
  <sheetProtection selectLockedCells="0" selectUnlockedCells="0" sheet="1" objects="1" insertRows="0" insertHyperlinks="1" autoFilter="0" scenarios="1" formatColumns="0" deleteColumns="0" insertColumns="0" pivotTables="0" deleteRows="0" formatCells="0" formatRows="0" sort="0" password="AE3A"/>
  <mergeCells count="5">
    <mergeCell ref="A24:H24"/>
    <mergeCell ref="A17:H17"/>
    <mergeCell ref="A1:H1"/>
    <mergeCell ref="A32:H32"/>
    <mergeCell ref="B3:H3"/>
  </mergeCell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H36"/>
  <sheetViews>
    <sheetView workbookViewId="0">
      <pane ySplit="5" topLeftCell="A6" activePane="bottomLeft" state="frozen"/>
      <selection pane="bottomLeft" activeCell="A1" sqref="A1"/>
    </sheetView>
  </sheetViews>
  <sheetFormatPr baseColWidth="8" defaultRowHeight="14.5"/>
  <cols>
    <col width="4" customWidth="1" style="54" min="1" max="1"/>
    <col width="30" customWidth="1" style="54" min="2" max="2"/>
    <col width="22" customWidth="1" style="54" min="4" max="4"/>
    <col width="18" customWidth="1" style="54" min="5" max="5"/>
    <col width="22" customWidth="1" style="54" min="8" max="8"/>
  </cols>
  <sheetData>
    <row r="1" ht="28" customHeight="1" s="54">
      <c r="A1" s="57" t="inlineStr">
        <is>
          <t>Case-let 09: IronGate Engineering Bond</t>
        </is>
      </c>
    </row>
    <row r="2" ht="15.5" customHeight="1" s="54">
      <c r="H2" s="12" t="inlineStr">
        <is>
          <t>⬅ Back to Index</t>
        </is>
      </c>
    </row>
    <row r="3">
      <c r="A3" s="2" t="inlineStr">
        <is>
          <t>Unique learning point:</t>
        </is>
      </c>
      <c r="B3" s="59" t="inlineStr">
        <is>
          <t>Modified duration depends on duration and yield level (risk interpretation)</t>
        </is>
      </c>
    </row>
    <row r="4"/>
    <row r="5" ht="46.5" customHeight="1" s="54">
      <c r="A5" s="7" t="inlineStr">
        <is>
          <t>SECTION</t>
        </is>
      </c>
      <c r="B5" s="7" t="inlineStr">
        <is>
          <t>LABEL</t>
        </is>
      </c>
      <c r="C5" s="7" t="inlineStr">
        <is>
          <t>VALUE</t>
        </is>
      </c>
      <c r="D5" s="7" t="inlineStr">
        <is>
          <t>NOTES</t>
        </is>
      </c>
      <c r="E5" s="7" t="n"/>
      <c r="F5" s="7" t="n"/>
      <c r="G5" s="7" t="n"/>
      <c r="H5" s="7" t="n"/>
    </row>
    <row r="6" ht="29" customHeight="1" s="54">
      <c r="A6" s="13" t="inlineStr">
        <is>
          <t>Inputs</t>
        </is>
      </c>
      <c r="B6" s="14" t="inlineStr">
        <is>
          <t>Settlement Date</t>
        </is>
      </c>
      <c r="C6" s="15" t="n">
        <v>45839</v>
      </c>
      <c r="D6" s="13" t="inlineStr">
        <is>
          <t>Enter settlement date</t>
        </is>
      </c>
    </row>
    <row r="7" ht="29" customHeight="1" s="54">
      <c r="A7" s="13" t="inlineStr">
        <is>
          <t>Inputs</t>
        </is>
      </c>
      <c r="B7" s="14" t="inlineStr">
        <is>
          <t>Maturity Date</t>
        </is>
      </c>
      <c r="C7" s="15" t="n">
        <v>49857</v>
      </c>
      <c r="D7" s="13" t="inlineStr">
        <is>
          <t>Enter maturity date</t>
        </is>
      </c>
    </row>
    <row r="8" ht="29" customHeight="1" s="54">
      <c r="A8" s="13" t="inlineStr">
        <is>
          <t>Inputs</t>
        </is>
      </c>
      <c r="B8" s="14" t="inlineStr">
        <is>
          <t>Face Value (₹)</t>
        </is>
      </c>
      <c r="C8" s="16" t="n">
        <v>50000</v>
      </c>
      <c r="D8" s="13" t="inlineStr">
        <is>
          <t>Principal amount</t>
        </is>
      </c>
    </row>
    <row r="9" ht="29" customHeight="1" s="54">
      <c r="A9" s="13" t="inlineStr">
        <is>
          <t>Inputs</t>
        </is>
      </c>
      <c r="B9" s="14" t="inlineStr">
        <is>
          <t>Market Price (₹)</t>
        </is>
      </c>
      <c r="C9" s="16" t="n">
        <v>52400</v>
      </c>
      <c r="D9" s="13" t="inlineStr">
        <is>
          <t>Current traded price (₹)</t>
        </is>
      </c>
    </row>
    <row r="10" ht="29" customHeight="1" s="54">
      <c r="A10" s="13" t="inlineStr">
        <is>
          <t>Inputs</t>
        </is>
      </c>
      <c r="B10" s="14" t="inlineStr">
        <is>
          <t>Coupon Rate (annual)</t>
        </is>
      </c>
      <c r="C10" s="17" t="n">
        <v>0.066</v>
      </c>
      <c r="D10" s="13" t="inlineStr">
        <is>
          <t>Enter as %</t>
        </is>
      </c>
    </row>
    <row r="11" ht="29" customHeight="1" s="54">
      <c r="A11" s="13" t="inlineStr">
        <is>
          <t>Inputs</t>
        </is>
      </c>
      <c r="B11" s="14" t="inlineStr">
        <is>
          <t>Coupon Frequency</t>
        </is>
      </c>
      <c r="C11" s="18" t="n">
        <v>1</v>
      </c>
      <c r="D11" s="13" t="inlineStr">
        <is>
          <t>1=Annual,2=Semi,4=Quarterly,12=Monthly</t>
        </is>
      </c>
    </row>
    <row r="12" ht="29" customHeight="1" s="54">
      <c r="A12" s="13" t="inlineStr">
        <is>
          <t>Inputs</t>
        </is>
      </c>
      <c r="B12" s="14" t="inlineStr">
        <is>
          <t>Basis (Take-home confirmation)</t>
        </is>
      </c>
      <c r="C12" s="18" t="n">
        <v>2</v>
      </c>
      <c r="D12" s="13" t="inlineStr">
        <is>
          <t>0/1/2</t>
        </is>
      </c>
    </row>
    <row r="13" ht="29" customHeight="1" s="54">
      <c r="A13" s="13" t="inlineStr">
        <is>
          <t>Inputs</t>
        </is>
      </c>
      <c r="B13" s="14" t="inlineStr">
        <is>
          <t>First Call Date</t>
        </is>
      </c>
      <c r="C13" s="15" t="n">
        <v>48030</v>
      </c>
      <c r="D13" s="13" t="inlineStr">
        <is>
          <t>First callable date</t>
        </is>
      </c>
    </row>
    <row r="14" ht="29" customHeight="1" s="54">
      <c r="A14" s="13" t="inlineStr">
        <is>
          <t>Inputs</t>
        </is>
      </c>
      <c r="B14" s="14" t="inlineStr">
        <is>
          <t>Call Price (% of face)</t>
        </is>
      </c>
      <c r="C14" s="19" t="n">
        <v>104.5</v>
      </c>
      <c r="D14" s="13" t="inlineStr">
        <is>
          <t>e.g., 103 = 103%</t>
        </is>
      </c>
    </row>
    <row r="15" ht="29" customHeight="1" s="54">
      <c r="A15" s="13" t="inlineStr">
        <is>
          <t>Inputs</t>
        </is>
      </c>
      <c r="B15" s="14" t="inlineStr">
        <is>
          <t>Redemption at Maturity (% of face)</t>
        </is>
      </c>
      <c r="C15" s="19" t="n">
        <v>100</v>
      </c>
      <c r="D15" s="13" t="inlineStr">
        <is>
          <t>e.g., 100 = par</t>
        </is>
      </c>
    </row>
    <row r="16"/>
    <row r="17">
      <c r="A17" s="56" t="inlineStr">
        <is>
          <t>Calculations</t>
        </is>
      </c>
    </row>
    <row r="18">
      <c r="A18" s="20" t="n"/>
      <c r="B18" s="21" t="inlineStr">
        <is>
          <t>Annual Coupon (₹)</t>
        </is>
      </c>
      <c r="C18" s="22">
        <f>$C$8*$C$10</f>
        <v/>
      </c>
      <c r="D18" s="20" t="inlineStr">
        <is>
          <t>Face × coupon rate</t>
        </is>
      </c>
    </row>
    <row r="19" ht="29" customHeight="1" s="54">
      <c r="A19" s="20" t="n"/>
      <c r="B19" s="21" t="inlineStr">
        <is>
          <t>Coupon per period (₹)</t>
        </is>
      </c>
      <c r="C19" s="22">
        <f>$C$8*$C$10/$C$11</f>
        <v/>
      </c>
      <c r="D19" s="20" t="inlineStr">
        <is>
          <t>Face × coupon / frequency</t>
        </is>
      </c>
    </row>
    <row r="20" ht="29" customHeight="1" s="54">
      <c r="A20" s="20" t="n"/>
      <c r="B20" s="21" t="inlineStr">
        <is>
          <t>Price per ₹100 face</t>
        </is>
      </c>
      <c r="C20" s="23">
        <f>$C$9/$C$8*100</f>
        <v/>
      </c>
      <c r="D20" s="20" t="inlineStr">
        <is>
          <t>Convert ₹ price to per-100</t>
        </is>
      </c>
    </row>
    <row r="21">
      <c r="A21" s="20" t="n"/>
      <c r="B21" s="21" t="inlineStr">
        <is>
          <t>Redemption per ₹100 (maturity)</t>
        </is>
      </c>
      <c r="C21" s="24">
        <f>$C$15</f>
        <v/>
      </c>
      <c r="D21" s="20" t="inlineStr">
        <is>
          <t>Maturity redemption %</t>
        </is>
      </c>
    </row>
    <row r="22">
      <c r="A22" s="20" t="n"/>
      <c r="B22" s="21" t="inlineStr">
        <is>
          <t>Call redemption per ₹100</t>
        </is>
      </c>
      <c r="C22" s="24">
        <f>$C$14</f>
        <v/>
      </c>
      <c r="D22" s="20" t="inlineStr">
        <is>
          <t>Call price %</t>
        </is>
      </c>
    </row>
    <row r="23"/>
    <row r="24">
      <c r="A24" s="55" t="inlineStr">
        <is>
          <t>Outputs</t>
        </is>
      </c>
    </row>
    <row r="25" ht="29" customHeight="1" s="54">
      <c r="A25" s="25" t="n"/>
      <c r="B25" s="26" t="inlineStr">
        <is>
          <t>Current Yield (CY)</t>
        </is>
      </c>
      <c r="C25" s="27">
        <f>$C$18/$C$9</f>
        <v/>
      </c>
      <c r="D25" s="25" t="inlineStr">
        <is>
          <t>Annual coupon / market price</t>
        </is>
      </c>
    </row>
    <row r="26" ht="29" customHeight="1" s="54">
      <c r="A26" s="25" t="n"/>
      <c r="B26" s="26" t="inlineStr">
        <is>
          <t>Yield to Maturity (YTM)</t>
        </is>
      </c>
      <c r="C26" s="27">
        <f>YIELD($C$6,$C$7,$C$10,$C$20,$C$21,$C$11,$C$12)</f>
        <v/>
      </c>
      <c r="D26" s="25" t="inlineStr">
        <is>
          <t>YIELD() uses per-100 price</t>
        </is>
      </c>
    </row>
    <row r="27" ht="29" customHeight="1" s="54">
      <c r="A27" s="25" t="n"/>
      <c r="B27" s="26" t="inlineStr">
        <is>
          <t>Yield to Call (YTC)</t>
        </is>
      </c>
      <c r="C27" s="27">
        <f>YIELD($C$6,$C$13,$C$10,$C$20,$C$22,$C$11,$C$12)</f>
        <v/>
      </c>
      <c r="D27" s="25" t="inlineStr">
        <is>
          <t>Assumes called on first call date</t>
        </is>
      </c>
    </row>
    <row r="28" ht="29" customHeight="1" s="54">
      <c r="A28" s="25" t="n"/>
      <c r="B28" s="26" t="inlineStr">
        <is>
          <t>Macaulay Duration (yrs, using YTM)</t>
        </is>
      </c>
      <c r="C28" s="28">
        <f>DURATION($C$6,$C$7,$C$10,$C$26,$C$11,$C$12)</f>
        <v/>
      </c>
      <c r="D28" s="25" t="inlineStr">
        <is>
          <t>Uses derived YTM</t>
        </is>
      </c>
    </row>
    <row r="29" ht="29" customHeight="1" s="54">
      <c r="A29" s="25" t="n"/>
      <c r="B29" s="26" t="inlineStr">
        <is>
          <t>Modified Duration (using YTM)</t>
        </is>
      </c>
      <c r="C29" s="28">
        <f>MDURATION($C$6,$C$7,$C$10,$C$26,$C$11,$C$12)</f>
        <v/>
      </c>
      <c r="D29" s="25" t="inlineStr">
        <is>
          <t>Price sensitivity per 1% yield</t>
        </is>
      </c>
    </row>
    <row r="30"/>
    <row r="31"/>
    <row r="32">
      <c r="A32" s="58" t="inlineStr">
        <is>
          <t>Checks</t>
        </is>
      </c>
    </row>
    <row r="33">
      <c r="A33" s="29" t="n"/>
      <c r="B33" s="30" t="inlineStr">
        <is>
          <t>Frequency valid?</t>
        </is>
      </c>
      <c r="C33" s="29">
        <f>IF(OR($C$11=1,$C$11=2,$C$11=4,$C$11=12),"OK","Invalid Frequency")</f>
        <v/>
      </c>
      <c r="D33" s="29" t="n"/>
    </row>
    <row r="34">
      <c r="A34" s="29" t="n"/>
      <c r="B34" s="30" t="inlineStr">
        <is>
          <t>Basis valid?</t>
        </is>
      </c>
      <c r="C34" s="29">
        <f>IF(OR($C$12=0,$C$12=1,$C$12=2),"OK","Invalid Basis")</f>
        <v/>
      </c>
      <c r="D34" s="29" t="n"/>
    </row>
    <row r="35" ht="29" customHeight="1" s="54">
      <c r="A35" s="29" t="n"/>
      <c r="B35" s="30" t="inlineStr">
        <is>
          <t>Date logic OK? (Settle &lt; Call &lt; Maturity)</t>
        </is>
      </c>
      <c r="C35" s="29">
        <f>IF(AND($C$6&lt;$C$13,$C$13&lt;$C$7),"OK","Check Dates")</f>
        <v/>
      </c>
      <c r="D35" s="29" t="n"/>
    </row>
    <row r="36">
      <c r="A36" s="29" t="n"/>
      <c r="B36" s="30" t="inlineStr">
        <is>
          <t>YTM &amp; YTC computed?</t>
        </is>
      </c>
      <c r="C36" s="29">
        <f>IF(AND(ISNUMBER($C$26),ISNUMBER($C$27)),"OK","Yield Error")</f>
        <v/>
      </c>
      <c r="D36" s="29" t="n"/>
    </row>
  </sheetData>
  <sheetProtection selectLockedCells="0" selectUnlockedCells="0" sheet="1" objects="1" insertRows="0" insertHyperlinks="1" autoFilter="0" scenarios="1" formatColumns="0" deleteColumns="0" insertColumns="0" pivotTables="0" deleteRows="0" formatCells="0" formatRows="0" sort="0" password="AE3A"/>
  <mergeCells count="5">
    <mergeCell ref="A24:H24"/>
    <mergeCell ref="A17:H17"/>
    <mergeCell ref="A1:H1"/>
    <mergeCell ref="A32:H32"/>
    <mergeCell ref="B3:H3"/>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H36"/>
  <sheetViews>
    <sheetView workbookViewId="0">
      <pane ySplit="5" topLeftCell="A6" activePane="bottomLeft" state="frozen"/>
      <selection pane="bottomLeft" activeCell="A1" sqref="A1"/>
    </sheetView>
  </sheetViews>
  <sheetFormatPr baseColWidth="8" defaultRowHeight="14.5"/>
  <cols>
    <col width="4" customWidth="1" style="54" min="1" max="1"/>
    <col width="30" customWidth="1" style="54" min="2" max="2"/>
    <col width="22" customWidth="1" style="54" min="4" max="4"/>
    <col width="18" customWidth="1" style="54" min="5" max="5"/>
    <col width="22" customWidth="1" style="54" min="8" max="8"/>
  </cols>
  <sheetData>
    <row r="1" ht="28" customHeight="1" s="54">
      <c r="A1" s="57" t="inlineStr">
        <is>
          <t>Case-let 10: Keystone Digital Infrastructure Bond</t>
        </is>
      </c>
    </row>
    <row r="2" ht="15.5" customHeight="1" s="54">
      <c r="H2" s="12" t="inlineStr">
        <is>
          <t>⬅ Back to Index</t>
        </is>
      </c>
    </row>
    <row r="3">
      <c r="A3" s="2" t="inlineStr">
        <is>
          <t>Unique learning point:</t>
        </is>
      </c>
      <c r="B3" s="59" t="inlineStr">
        <is>
          <t>Integrate CY, YTM, YTC with duration measures for interpretation</t>
        </is>
      </c>
    </row>
    <row r="4"/>
    <row r="5" ht="46.5" customHeight="1" s="54">
      <c r="A5" s="7" t="inlineStr">
        <is>
          <t>SECTION</t>
        </is>
      </c>
      <c r="B5" s="7" t="inlineStr">
        <is>
          <t>LABEL</t>
        </is>
      </c>
      <c r="C5" s="7" t="inlineStr">
        <is>
          <t>VALUE</t>
        </is>
      </c>
      <c r="D5" s="7" t="inlineStr">
        <is>
          <t>NOTES</t>
        </is>
      </c>
      <c r="E5" s="7" t="n"/>
      <c r="F5" s="7" t="n"/>
      <c r="G5" s="7" t="n"/>
      <c r="H5" s="7" t="n"/>
    </row>
    <row r="6" ht="29" customHeight="1" s="54">
      <c r="A6" s="13" t="inlineStr">
        <is>
          <t>Inputs</t>
        </is>
      </c>
      <c r="B6" s="14" t="inlineStr">
        <is>
          <t>Settlement Date</t>
        </is>
      </c>
      <c r="C6" s="15" t="n">
        <v>46073</v>
      </c>
      <c r="D6" s="13" t="inlineStr">
        <is>
          <t>Enter settlement date</t>
        </is>
      </c>
    </row>
    <row r="7" ht="29" customHeight="1" s="54">
      <c r="A7" s="13" t="inlineStr">
        <is>
          <t>Inputs</t>
        </is>
      </c>
      <c r="B7" s="14" t="inlineStr">
        <is>
          <t>Maturity Date</t>
        </is>
      </c>
      <c r="C7" s="15" t="n">
        <v>50456</v>
      </c>
      <c r="D7" s="13" t="inlineStr">
        <is>
          <t>Enter maturity date</t>
        </is>
      </c>
    </row>
    <row r="8" ht="29" customHeight="1" s="54">
      <c r="A8" s="13" t="inlineStr">
        <is>
          <t>Inputs</t>
        </is>
      </c>
      <c r="B8" s="14" t="inlineStr">
        <is>
          <t>Face Value (₹)</t>
        </is>
      </c>
      <c r="C8" s="16" t="n">
        <v>500000</v>
      </c>
      <c r="D8" s="13" t="inlineStr">
        <is>
          <t>Principal amount</t>
        </is>
      </c>
    </row>
    <row r="9" ht="29" customHeight="1" s="54">
      <c r="A9" s="13" t="inlineStr">
        <is>
          <t>Inputs</t>
        </is>
      </c>
      <c r="B9" s="14" t="inlineStr">
        <is>
          <t>Market Price (₹)</t>
        </is>
      </c>
      <c r="C9" s="16" t="n">
        <v>521250</v>
      </c>
      <c r="D9" s="13" t="inlineStr">
        <is>
          <t>Current traded price (₹)</t>
        </is>
      </c>
    </row>
    <row r="10" ht="29" customHeight="1" s="54">
      <c r="A10" s="13" t="inlineStr">
        <is>
          <t>Inputs</t>
        </is>
      </c>
      <c r="B10" s="14" t="inlineStr">
        <is>
          <t>Coupon Rate (annual)</t>
        </is>
      </c>
      <c r="C10" s="17" t="n">
        <v>0.083</v>
      </c>
      <c r="D10" s="13" t="inlineStr">
        <is>
          <t>Enter as %</t>
        </is>
      </c>
    </row>
    <row r="11" ht="29" customHeight="1" s="54">
      <c r="A11" s="13" t="inlineStr">
        <is>
          <t>Inputs</t>
        </is>
      </c>
      <c r="B11" s="14" t="inlineStr">
        <is>
          <t>Coupon Frequency</t>
        </is>
      </c>
      <c r="C11" s="18" t="n">
        <v>4</v>
      </c>
      <c r="D11" s="13" t="inlineStr">
        <is>
          <t>1=Annual,2=Semi,4=Quarterly,12=Monthly</t>
        </is>
      </c>
    </row>
    <row r="12" ht="29" customHeight="1" s="54">
      <c r="A12" s="13" t="inlineStr">
        <is>
          <t>Inputs</t>
        </is>
      </c>
      <c r="B12" s="14" t="inlineStr">
        <is>
          <t>Basis (Take-home confirmation)</t>
        </is>
      </c>
      <c r="C12" s="18" t="n">
        <v>0</v>
      </c>
      <c r="D12" s="13" t="inlineStr">
        <is>
          <t>0/1/2</t>
        </is>
      </c>
    </row>
    <row r="13" ht="29" customHeight="1" s="54">
      <c r="A13" s="13" t="inlineStr">
        <is>
          <t>Inputs</t>
        </is>
      </c>
      <c r="B13" s="14" t="inlineStr">
        <is>
          <t>First Call Date</t>
        </is>
      </c>
      <c r="C13" s="15" t="n">
        <v>47899</v>
      </c>
      <c r="D13" s="13" t="inlineStr">
        <is>
          <t>First callable date</t>
        </is>
      </c>
    </row>
    <row r="14" ht="29" customHeight="1" s="54">
      <c r="A14" s="13" t="inlineStr">
        <is>
          <t>Inputs</t>
        </is>
      </c>
      <c r="B14" s="14" t="inlineStr">
        <is>
          <t>Call Price (% of face)</t>
        </is>
      </c>
      <c r="C14" s="19" t="n">
        <v>103.5</v>
      </c>
      <c r="D14" s="13" t="inlineStr">
        <is>
          <t>e.g., 103 = 103%</t>
        </is>
      </c>
    </row>
    <row r="15" ht="29" customHeight="1" s="54">
      <c r="A15" s="13" t="inlineStr">
        <is>
          <t>Inputs</t>
        </is>
      </c>
      <c r="B15" s="14" t="inlineStr">
        <is>
          <t>Redemption at Maturity (% of face)</t>
        </is>
      </c>
      <c r="C15" s="19" t="n">
        <v>100</v>
      </c>
      <c r="D15" s="13" t="inlineStr">
        <is>
          <t>e.g., 100 = par</t>
        </is>
      </c>
    </row>
    <row r="16"/>
    <row r="17">
      <c r="A17" s="56" t="inlineStr">
        <is>
          <t>Calculations</t>
        </is>
      </c>
    </row>
    <row r="18">
      <c r="A18" s="20" t="n"/>
      <c r="B18" s="21" t="inlineStr">
        <is>
          <t>Annual Coupon (₹)</t>
        </is>
      </c>
      <c r="C18" s="22">
        <f>$C$8*$C$10</f>
        <v/>
      </c>
      <c r="D18" s="20" t="inlineStr">
        <is>
          <t>Face × coupon rate</t>
        </is>
      </c>
    </row>
    <row r="19" ht="29" customHeight="1" s="54">
      <c r="A19" s="20" t="n"/>
      <c r="B19" s="21" t="inlineStr">
        <is>
          <t>Coupon per period (₹)</t>
        </is>
      </c>
      <c r="C19" s="22">
        <f>$C$8*$C$10/$C$11</f>
        <v/>
      </c>
      <c r="D19" s="20" t="inlineStr">
        <is>
          <t>Face × coupon / frequency</t>
        </is>
      </c>
    </row>
    <row r="20" ht="29" customHeight="1" s="54">
      <c r="A20" s="20" t="n"/>
      <c r="B20" s="21" t="inlineStr">
        <is>
          <t>Price per ₹100 face</t>
        </is>
      </c>
      <c r="C20" s="23">
        <f>$C$9/$C$8*100</f>
        <v/>
      </c>
      <c r="D20" s="20" t="inlineStr">
        <is>
          <t>Convert ₹ price to per-100</t>
        </is>
      </c>
    </row>
    <row r="21">
      <c r="A21" s="20" t="n"/>
      <c r="B21" s="21" t="inlineStr">
        <is>
          <t>Redemption per ₹100 (maturity)</t>
        </is>
      </c>
      <c r="C21" s="24">
        <f>$C$15</f>
        <v/>
      </c>
      <c r="D21" s="20" t="inlineStr">
        <is>
          <t>Maturity redemption %</t>
        </is>
      </c>
    </row>
    <row r="22">
      <c r="A22" s="20" t="n"/>
      <c r="B22" s="21" t="inlineStr">
        <is>
          <t>Call redemption per ₹100</t>
        </is>
      </c>
      <c r="C22" s="24">
        <f>$C$14</f>
        <v/>
      </c>
      <c r="D22" s="20" t="inlineStr">
        <is>
          <t>Call price %</t>
        </is>
      </c>
    </row>
    <row r="23"/>
    <row r="24">
      <c r="A24" s="55" t="inlineStr">
        <is>
          <t>Outputs</t>
        </is>
      </c>
    </row>
    <row r="25" ht="29" customHeight="1" s="54">
      <c r="A25" s="25" t="n"/>
      <c r="B25" s="26" t="inlineStr">
        <is>
          <t>Current Yield (CY)</t>
        </is>
      </c>
      <c r="C25" s="27">
        <f>$C$18/$C$9</f>
        <v/>
      </c>
      <c r="D25" s="25" t="inlineStr">
        <is>
          <t>Annual coupon / market price</t>
        </is>
      </c>
    </row>
    <row r="26" ht="29" customHeight="1" s="54">
      <c r="A26" s="25" t="n"/>
      <c r="B26" s="26" t="inlineStr">
        <is>
          <t>Yield to Maturity (YTM)</t>
        </is>
      </c>
      <c r="C26" s="27">
        <f>YIELD($C$6,$C$7,$C$10,$C$20,$C$21,$C$11,$C$12)</f>
        <v/>
      </c>
      <c r="D26" s="25" t="inlineStr">
        <is>
          <t>YIELD() uses per-100 price</t>
        </is>
      </c>
    </row>
    <row r="27" ht="29" customHeight="1" s="54">
      <c r="A27" s="25" t="n"/>
      <c r="B27" s="26" t="inlineStr">
        <is>
          <t>Yield to Call (YTC)</t>
        </is>
      </c>
      <c r="C27" s="27">
        <f>YIELD($C$6,$C$13,$C$10,$C$20,$C$22,$C$11,$C$12)</f>
        <v/>
      </c>
      <c r="D27" s="25" t="inlineStr">
        <is>
          <t>Assumes called on first call date</t>
        </is>
      </c>
    </row>
    <row r="28" ht="29" customHeight="1" s="54">
      <c r="A28" s="25" t="n"/>
      <c r="B28" s="26" t="inlineStr">
        <is>
          <t>Macaulay Duration (yrs, using YTM)</t>
        </is>
      </c>
      <c r="C28" s="28">
        <f>DURATION($C$6,$C$7,$C$10,$C$26,$C$11,$C$12)</f>
        <v/>
      </c>
      <c r="D28" s="25" t="inlineStr">
        <is>
          <t>Uses derived YTM</t>
        </is>
      </c>
    </row>
    <row r="29" ht="29" customHeight="1" s="54">
      <c r="A29" s="25" t="n"/>
      <c r="B29" s="26" t="inlineStr">
        <is>
          <t>Modified Duration (using YTM)</t>
        </is>
      </c>
      <c r="C29" s="28">
        <f>MDURATION($C$6,$C$7,$C$10,$C$26,$C$11,$C$12)</f>
        <v/>
      </c>
      <c r="D29" s="25" t="inlineStr">
        <is>
          <t>Price sensitivity per 1% yield</t>
        </is>
      </c>
    </row>
    <row r="30"/>
    <row r="31"/>
    <row r="32">
      <c r="A32" s="58" t="inlineStr">
        <is>
          <t>Checks</t>
        </is>
      </c>
    </row>
    <row r="33">
      <c r="A33" s="29" t="n"/>
      <c r="B33" s="30" t="inlineStr">
        <is>
          <t>Frequency valid?</t>
        </is>
      </c>
      <c r="C33" s="29">
        <f>IF(OR($C$11=1,$C$11=2,$C$11=4,$C$11=12),"OK","Invalid Frequency")</f>
        <v/>
      </c>
      <c r="D33" s="29" t="n"/>
    </row>
    <row r="34">
      <c r="A34" s="29" t="n"/>
      <c r="B34" s="30" t="inlineStr">
        <is>
          <t>Basis valid?</t>
        </is>
      </c>
      <c r="C34" s="29">
        <f>IF(OR($C$12=0,$C$12=1,$C$12=2),"OK","Invalid Basis")</f>
        <v/>
      </c>
      <c r="D34" s="29" t="n"/>
    </row>
    <row r="35" ht="29" customHeight="1" s="54">
      <c r="A35" s="29" t="n"/>
      <c r="B35" s="30" t="inlineStr">
        <is>
          <t>Date logic OK? (Settle &lt; Call &lt; Maturity)</t>
        </is>
      </c>
      <c r="C35" s="29">
        <f>IF(AND($C$6&lt;$C$13,$C$13&lt;$C$7),"OK","Check Dates")</f>
        <v/>
      </c>
      <c r="D35" s="29" t="n"/>
    </row>
    <row r="36">
      <c r="A36" s="29" t="n"/>
      <c r="B36" s="30" t="inlineStr">
        <is>
          <t>YTM &amp; YTC computed?</t>
        </is>
      </c>
      <c r="C36" s="29">
        <f>IF(AND(ISNUMBER($C$26),ISNUMBER($C$27)),"OK","Yield Error")</f>
        <v/>
      </c>
      <c r="D36" s="29" t="n"/>
    </row>
  </sheetData>
  <sheetProtection selectLockedCells="0" selectUnlockedCells="0" sheet="1" objects="1" insertRows="0" insertHyperlinks="1" autoFilter="0" scenarios="1" formatColumns="0" deleteColumns="0" insertColumns="0" pivotTables="0" deleteRows="0" formatCells="0" formatRows="0" sort="0" password="AE3A"/>
  <mergeCells count="5">
    <mergeCell ref="A24:H24"/>
    <mergeCell ref="A17:H17"/>
    <mergeCell ref="A1:H1"/>
    <mergeCell ref="A32:H32"/>
    <mergeCell ref="B3:H3"/>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2025-12-29T15:33:00Z</dcterms:created>
  <dcterms:modified xmlns:dcterms="http://purl.org/dc/terms/" xmlns:xsi="http://www.w3.org/2001/XMLSchema-instance" xsi:type="dcterms:W3CDTF">2026-01-02T07:07:40Z</dcterms:modified>
  <cp:lastModifiedBy>srikanthyadav444p</cp:lastModifiedBy>
</cp:coreProperties>
</file>