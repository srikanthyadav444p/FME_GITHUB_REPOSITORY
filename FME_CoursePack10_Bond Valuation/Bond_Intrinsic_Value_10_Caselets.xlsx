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CASE_01" sheetId="3" state="visible" r:id="rId3"/>
    <sheet xmlns:r="http://schemas.openxmlformats.org/officeDocument/2006/relationships" name="CASE_02" sheetId="4" state="visible" r:id="rId4"/>
    <sheet xmlns:r="http://schemas.openxmlformats.org/officeDocument/2006/relationships" name="CASE_03" sheetId="5" state="visible" r:id="rId5"/>
    <sheet xmlns:r="http://schemas.openxmlformats.org/officeDocument/2006/relationships" name="CASE_04" sheetId="6" state="visible" r:id="rId6"/>
    <sheet xmlns:r="http://schemas.openxmlformats.org/officeDocument/2006/relationships" name="CASE_05" sheetId="7" state="visible" r:id="rId7"/>
    <sheet xmlns:r="http://schemas.openxmlformats.org/officeDocument/2006/relationships" name="CASE_06" sheetId="8" state="visible" r:id="rId8"/>
    <sheet xmlns:r="http://schemas.openxmlformats.org/officeDocument/2006/relationships" name="CASE_07" sheetId="9" state="visible" r:id="rId9"/>
    <sheet xmlns:r="http://schemas.openxmlformats.org/officeDocument/2006/relationships" name="CASE_08" sheetId="10" state="visible" r:id="rId10"/>
    <sheet xmlns:r="http://schemas.openxmlformats.org/officeDocument/2006/relationships" name="CASE_09" sheetId="11" state="visible" r:id="rId11"/>
    <sheet xmlns:r="http://schemas.openxmlformats.org/officeDocument/2006/relationships" name="CASE_10" sheetId="12" state="visible" r:id="rId12"/>
  </sheets>
  <definedNames/>
  <calcPr calcId="191029" fullCalcOnLoad="1"/>
</workbook>
</file>

<file path=xl/styles.xml><?xml version="1.0" encoding="utf-8"?>
<styleSheet xmlns="http://schemas.openxmlformats.org/spreadsheetml/2006/main">
  <numFmts count="3">
    <numFmt numFmtId="164" formatCode="dd\-mmm\-yyyy"/>
    <numFmt numFmtId="165" formatCode="\₹###,##0"/>
    <numFmt numFmtId="166" formatCode="\₹###,##0.00"/>
  </numFmts>
  <fonts count="15">
    <font>
      <name val="Calibri"/>
      <family val="2"/>
      <color theme="1"/>
      <sz val="11"/>
      <scheme val="minor"/>
    </font>
    <font>
      <name val="Calibri"/>
      <family val="2"/>
      <b val="1"/>
      <color rgb="FF1F4E79"/>
      <sz val="16"/>
    </font>
    <font>
      <name val="Calibri"/>
      <family val="2"/>
      <b val="1"/>
      <sz val="11"/>
    </font>
    <font>
      <name val="Calibri"/>
      <family val="2"/>
      <b val="1"/>
      <color rgb="FFFFFFFF"/>
      <sz val="12"/>
    </font>
    <font>
      <name val="Calibri"/>
      <family val="2"/>
      <color theme="10"/>
      <sz val="12"/>
      <scheme val="minor"/>
    </font>
    <font>
      <name val="Calibri"/>
      <family val="2"/>
      <b val="1"/>
      <color rgb="FF1F4E79"/>
      <sz val="15"/>
    </font>
    <font>
      <name val="Calibri"/>
      <family val="2"/>
      <b val="1"/>
      <color rgb="FF1F4E79"/>
      <sz val="11"/>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6">
    <fill>
      <patternFill/>
    </fill>
    <fill>
      <patternFill patternType="gray125"/>
    </fill>
    <fill>
      <patternFill patternType="solid">
        <fgColor rgb="FFFFF2CC"/>
      </patternFill>
    </fill>
    <fill>
      <patternFill patternType="solid">
        <fgColor rgb="FFF2F2F2"/>
      </patternFill>
    </fill>
    <fill>
      <patternFill patternType="solid">
        <fgColor rgb="FFD9E1F2"/>
      </patternFill>
    </fill>
    <fill>
      <patternFill patternType="solid">
        <fgColor rgb="FFE2EFDA"/>
      </patternFill>
    </fill>
    <fill>
      <patternFill patternType="solid">
        <fgColor rgb="FF1F4E79"/>
      </patternFill>
    </fill>
    <fill>
      <patternFill patternType="solid">
        <fgColor rgb="FFBDD7EE"/>
      </patternFill>
    </fill>
    <fill>
      <patternFill patternType="solid">
        <fgColor rgb="FFFFF2F2"/>
      </patternFill>
    </fill>
    <fill>
      <patternFill patternType="solid">
        <fgColor theme="8"/>
        <bgColor indexed="64"/>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s>
  <cellStyleXfs count="3">
    <xf numFmtId="0" fontId="7" fillId="0" borderId="0"/>
    <xf numFmtId="0" fontId="4" fillId="0" borderId="0"/>
    <xf numFmtId="0" fontId="7" fillId="0" borderId="0"/>
  </cellStyleXfs>
  <cellXfs count="79">
    <xf numFmtId="0" fontId="0" fillId="0" borderId="0" pivotButton="0" quotePrefix="0" xfId="0"/>
    <xf numFmtId="0" fontId="2" fillId="0" borderId="0" pivotButton="0" quotePrefix="0" xfId="0"/>
    <xf numFmtId="0" fontId="0"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165" fontId="0" fillId="0" borderId="1" applyAlignment="1" pivotButton="0" quotePrefix="0" xfId="0">
      <alignment vertical="center" wrapText="1"/>
    </xf>
    <xf numFmtId="0" fontId="4" fillId="0" borderId="1" applyAlignment="1" pivotButton="0" quotePrefix="0" xfId="1">
      <alignment vertical="center" wrapText="1"/>
    </xf>
    <xf numFmtId="0" fontId="4" fillId="0" borderId="0" applyAlignment="1" pivotButton="0" quotePrefix="0" xfId="1">
      <alignment horizontal="right" vertical="center" wrapText="1"/>
    </xf>
    <xf numFmtId="0" fontId="0" fillId="2" borderId="1" applyAlignment="1" pivotButton="0" quotePrefix="0" xfId="0">
      <alignment horizontal="left" vertical="center" wrapText="1"/>
    </xf>
    <xf numFmtId="0" fontId="6" fillId="2" borderId="1" applyAlignment="1" pivotButton="0" quotePrefix="0" xfId="0">
      <alignment horizontal="left" vertical="center" wrapText="1"/>
    </xf>
    <xf numFmtId="0" fontId="0" fillId="0" borderId="1" pivotButton="0" quotePrefix="0" xfId="0"/>
    <xf numFmtId="0" fontId="0" fillId="3" borderId="1" applyAlignment="1" pivotButton="0" quotePrefix="0" xfId="0">
      <alignment horizontal="left" vertical="center" wrapText="1"/>
    </xf>
    <xf numFmtId="0" fontId="6" fillId="3" borderId="1" applyAlignment="1" pivotButton="0" quotePrefix="0" xfId="0">
      <alignment horizontal="left" vertical="center" wrapText="1"/>
    </xf>
    <xf numFmtId="0" fontId="2" fillId="4" borderId="1" applyAlignment="1" pivotButton="0" quotePrefix="0" xfId="0">
      <alignment horizontal="left" vertical="center" wrapText="1"/>
    </xf>
    <xf numFmtId="0" fontId="0" fillId="4" borderId="1" applyAlignment="1" pivotButton="0" quotePrefix="0" xfId="0">
      <alignment horizontal="left" vertical="center" wrapText="1"/>
    </xf>
    <xf numFmtId="0" fontId="6" fillId="4" borderId="1" applyAlignment="1" pivotButton="0" quotePrefix="0" xfId="0">
      <alignment horizontal="left" vertical="center" wrapText="1"/>
    </xf>
    <xf numFmtId="0" fontId="0" fillId="5" borderId="1" applyAlignment="1" pivotButton="0" quotePrefix="0" xfId="0">
      <alignment horizontal="left" vertical="center" wrapText="1"/>
    </xf>
    <xf numFmtId="0" fontId="6" fillId="5" borderId="1" applyAlignment="1" pivotButton="0" quotePrefix="0" xfId="0">
      <alignment horizontal="left" vertical="center" wrapText="1"/>
    </xf>
    <xf numFmtId="0" fontId="6" fillId="8" borderId="1" pivotButton="0" quotePrefix="0" xfId="0"/>
    <xf numFmtId="10" fontId="0" fillId="8" borderId="1" applyAlignment="1" pivotButton="0" quotePrefix="0" xfId="0">
      <alignment horizontal="center" vertical="center" wrapText="1"/>
    </xf>
    <xf numFmtId="166" fontId="0" fillId="8" borderId="1" applyAlignment="1" pivotButton="0" quotePrefix="0" xfId="0">
      <alignment horizontal="center" vertical="center" wrapText="1"/>
    </xf>
    <xf numFmtId="1" fontId="0" fillId="8" borderId="1" applyAlignment="1" pivotButton="0" quotePrefix="0" xfId="0">
      <alignment horizontal="center" vertical="center" wrapText="1"/>
    </xf>
    <xf numFmtId="0" fontId="0" fillId="9" borderId="0" pivotButton="0" quotePrefix="0" xfId="0"/>
    <xf numFmtId="0" fontId="2"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2" fillId="3" borderId="1" applyAlignment="1" pivotButton="0" quotePrefix="0" xfId="0">
      <alignment horizontal="left" vertical="center" wrapText="1"/>
    </xf>
    <xf numFmtId="0" fontId="2" fillId="8" borderId="0" applyAlignment="1" pivotButton="0" quotePrefix="0" xfId="0">
      <alignment horizontal="left" vertical="center" wrapText="1"/>
    </xf>
    <xf numFmtId="0" fontId="0" fillId="0" borderId="0" applyAlignment="1" pivotButton="0" quotePrefix="0" xfId="0">
      <alignment horizontal="right"/>
    </xf>
    <xf numFmtId="0" fontId="0" fillId="4" borderId="1" applyAlignment="1" pivotButton="0" quotePrefix="0" xfId="0">
      <alignment horizontal="right" vertical="center" wrapText="1"/>
    </xf>
    <xf numFmtId="0" fontId="3" fillId="6" borderId="1" applyAlignment="1" pivotButton="0" quotePrefix="0" xfId="0">
      <alignment horizontal="right" vertical="center" wrapText="1"/>
    </xf>
    <xf numFmtId="0" fontId="0" fillId="0" borderId="1" applyAlignment="1" pivotButton="0" quotePrefix="0" xfId="0">
      <alignment horizontal="right" vertical="center" wrapText="1"/>
    </xf>
    <xf numFmtId="0" fontId="0" fillId="0" borderId="0" applyAlignment="1" pivotButton="0" quotePrefix="0" xfId="0">
      <alignment horizontal="right" vertical="center"/>
    </xf>
    <xf numFmtId="0" fontId="3" fillId="6" borderId="1" applyAlignment="1" pivotButton="0" quotePrefix="0" xfId="0">
      <alignment horizontal="right" vertical="center"/>
    </xf>
    <xf numFmtId="164" fontId="2" fillId="2" borderId="1" applyAlignment="1" pivotButton="0" quotePrefix="0" xfId="0">
      <alignment horizontal="right" vertical="center"/>
    </xf>
    <xf numFmtId="165" fontId="2" fillId="2" borderId="1" applyAlignment="1" pivotButton="0" quotePrefix="0" xfId="0">
      <alignment horizontal="right" vertical="center"/>
    </xf>
    <xf numFmtId="10" fontId="2" fillId="2" borderId="1" applyAlignment="1" pivotButton="0" quotePrefix="0" xfId="0">
      <alignment horizontal="right" vertical="center"/>
    </xf>
    <xf numFmtId="1" fontId="2" fillId="2" borderId="1" applyAlignment="1" pivotButton="0" quotePrefix="0" xfId="0">
      <alignment horizontal="right" vertical="center"/>
    </xf>
    <xf numFmtId="0" fontId="0" fillId="0" borderId="2" applyAlignment="1" pivotButton="0" quotePrefix="0" xfId="0">
      <alignment horizontal="right" vertical="center"/>
    </xf>
    <xf numFmtId="2" fontId="0" fillId="3" borderId="1" applyAlignment="1" pivotButton="0" quotePrefix="0" xfId="0">
      <alignment horizontal="right" vertical="center"/>
    </xf>
    <xf numFmtId="4" fontId="0" fillId="3" borderId="1" applyAlignment="1" pivotButton="0" quotePrefix="0" xfId="0">
      <alignment horizontal="right" vertical="center"/>
    </xf>
    <xf numFmtId="0" fontId="0" fillId="0" borderId="1" applyAlignment="1" pivotButton="0" quotePrefix="0" xfId="0">
      <alignment horizontal="right" vertical="center"/>
    </xf>
    <xf numFmtId="2" fontId="2" fillId="4" borderId="1" applyAlignment="1" pivotButton="0" quotePrefix="0" xfId="0">
      <alignment horizontal="right" vertical="center"/>
    </xf>
    <xf numFmtId="166" fontId="2" fillId="4" borderId="1" applyAlignment="1" pivotButton="0" quotePrefix="0" xfId="0">
      <alignment horizontal="right" vertical="center"/>
    </xf>
    <xf numFmtId="0" fontId="0" fillId="5" borderId="1" applyAlignment="1" pivotButton="0" quotePrefix="0" xfId="0">
      <alignment horizontal="right" vertical="center"/>
    </xf>
    <xf numFmtId="10" fontId="0" fillId="8" borderId="1" applyAlignment="1" pivotButton="0" quotePrefix="0" xfId="0">
      <alignment horizontal="right" vertical="center"/>
    </xf>
    <xf numFmtId="166" fontId="0" fillId="8" borderId="1" applyAlignment="1" pivotButton="0" quotePrefix="0" xfId="0">
      <alignment horizontal="right" vertical="center"/>
    </xf>
    <xf numFmtId="1" fontId="0" fillId="8" borderId="1" applyAlignment="1" pivotButton="0" quotePrefix="0" xfId="0">
      <alignment horizontal="right" vertical="center"/>
    </xf>
    <xf numFmtId="0" fontId="2" fillId="4" borderId="1" applyAlignment="1" pivotButton="0" quotePrefix="0" xfId="0">
      <alignment horizontal="center"/>
    </xf>
    <xf numFmtId="0" fontId="9" fillId="0" borderId="0" applyAlignment="1" pivotButton="0" quotePrefix="0" xfId="2">
      <alignment vertical="center"/>
    </xf>
    <xf numFmtId="0" fontId="7" fillId="0" borderId="0" pivotButton="0" quotePrefix="0" xfId="2"/>
    <xf numFmtId="0" fontId="10" fillId="0" borderId="0" applyAlignment="1" pivotButton="0" quotePrefix="0" xfId="2">
      <alignment vertical="center"/>
    </xf>
    <xf numFmtId="0" fontId="11" fillId="0" borderId="0" pivotButton="0" quotePrefix="0" xfId="2"/>
    <xf numFmtId="0" fontId="12" fillId="10" borderId="0" applyAlignment="1" pivotButton="0" quotePrefix="0" xfId="0">
      <alignment vertical="center"/>
    </xf>
    <xf numFmtId="0" fontId="13" fillId="0" borderId="0" applyAlignment="1" pivotButton="0" quotePrefix="0" xfId="2">
      <alignment vertical="center"/>
    </xf>
    <xf numFmtId="0" fontId="14" fillId="0" borderId="0" applyAlignment="1" pivotButton="0" quotePrefix="0" xfId="0">
      <alignment wrapText="1"/>
    </xf>
    <xf numFmtId="0" fontId="12" fillId="12" borderId="0" applyAlignment="1" pivotButton="0" quotePrefix="0" xfId="2">
      <alignment vertical="center"/>
    </xf>
    <xf numFmtId="0" fontId="7" fillId="12" borderId="0" pivotButton="0" quotePrefix="0" xfId="2"/>
    <xf numFmtId="0" fontId="12" fillId="13" borderId="0" applyAlignment="1" pivotButton="0" quotePrefix="0" xfId="2">
      <alignment vertical="center"/>
    </xf>
    <xf numFmtId="0" fontId="8" fillId="14" borderId="0" applyAlignment="1" pivotButton="0" quotePrefix="0" xfId="2">
      <alignment vertical="top" wrapText="1"/>
    </xf>
    <xf numFmtId="0" fontId="7" fillId="0" borderId="0" applyAlignment="1" pivotButton="0" quotePrefix="0" xfId="2">
      <alignment horizontal="left" vertical="center" indent="1"/>
    </xf>
    <xf numFmtId="0" fontId="8" fillId="0" borderId="0" pivotButton="0" quotePrefix="0" xfId="2"/>
    <xf numFmtId="0" fontId="8" fillId="0" borderId="0" applyAlignment="1" pivotButton="0" quotePrefix="0" xfId="2">
      <alignment horizontal="left" vertical="center" indent="1"/>
    </xf>
    <xf numFmtId="0" fontId="7" fillId="11" borderId="0" applyAlignment="1" pivotButton="0" quotePrefix="0" xfId="2">
      <alignment horizontal="justify" vertical="justify" wrapText="1"/>
    </xf>
    <xf numFmtId="0" fontId="7" fillId="11" borderId="0" applyAlignment="1" pivotButton="0" quotePrefix="0" xfId="2">
      <alignment horizontal="left" vertical="top" wrapText="1"/>
    </xf>
    <xf numFmtId="0" fontId="7" fillId="15" borderId="0" applyAlignment="1" pivotButton="0" quotePrefix="0" xfId="2">
      <alignment horizontal="justify" vertical="justify" wrapText="1"/>
    </xf>
    <xf numFmtId="0" fontId="1" fillId="0" borderId="0" pivotButton="0" quotePrefix="0" xfId="0"/>
    <xf numFmtId="0" fontId="0" fillId="0" borderId="0" pivotButton="0" quotePrefix="0" xfId="0"/>
    <xf numFmtId="0" fontId="0" fillId="4" borderId="1"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1" pivotButton="0" quotePrefix="0" xfId="0"/>
    <xf numFmtId="0" fontId="0" fillId="3" borderId="1" applyAlignment="1" pivotButton="0" quotePrefix="0" xfId="0">
      <alignment horizontal="left" vertical="center" wrapText="1"/>
    </xf>
    <xf numFmtId="0" fontId="5" fillId="7" borderId="0" applyAlignment="1" pivotButton="0" quotePrefix="0" xfId="0">
      <alignment horizontal="left" vertical="center" wrapText="1"/>
    </xf>
    <xf numFmtId="0" fontId="0" fillId="0" borderId="0" applyAlignment="1" pivotButton="0" quotePrefix="0" xfId="0">
      <alignment horizontal="left" vertical="center" wrapText="1"/>
    </xf>
    <xf numFmtId="0" fontId="0" fillId="5" borderId="1" applyAlignment="1" pivotButton="0" quotePrefix="0" xfId="0">
      <alignment horizontal="left" vertical="center" wrapText="1"/>
    </xf>
  </cellXfs>
  <cellStyles count="3">
    <cellStyle name="Normal" xfId="0" builtinId="0"/>
    <cellStyle name="Hyperlink" xfId="1" builtinId="8"/>
    <cellStyle name="Normal 2" xfId="2"/>
  </cellStyles>
  <dxfs count="20">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2.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3.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4.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5.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 ref="B34" authorId="0" shapeId="0">
      <text>
        <t>Scenario table uses formulas for portability (no Excel Data Table needed).</t>
      </text>
    </comment>
  </commentList>
</comments>
</file>

<file path=xl/comments/comment6.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 ref="B34" authorId="0" shapeId="0">
      <text>
        <t>Scenario table uses formulas for portability (no Excel Data Table needed).</t>
      </text>
    </comment>
  </commentList>
</comments>
</file>

<file path=xl/comments/comment7.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 ref="B34" authorId="0" shapeId="0">
      <text>
        <t>Scenario table uses formulas for portability (no Excel Data Table needed).</t>
      </text>
    </comment>
  </commentList>
</comments>
</file>

<file path=xl/comments/comment8.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9.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List>
</comments>
</file>

<file path=xl/comments/comment10.xml><?xml version="1.0" encoding="utf-8"?>
<comments xmlns="http://schemas.openxmlformats.org/spreadsheetml/2006/main">
  <authors>
    <author>Instructor</author>
  </authors>
  <commentList>
    <comment ref="C9" authorId="0" shapeId="0">
      <text>
        <t>Enter annual coupon as a percent. Example: 8% as 0.08 if formatted as %.</t>
      </text>
    </comment>
    <comment ref="C10" authorId="0" shapeId="0">
      <text>
        <t>Enter annual required yield (YTM) as a percent. Example: 7.5% as 0.075 if formatted as %.</t>
      </text>
    </comment>
    <comment ref="C12" authorId="0" shapeId="0">
      <text>
        <t>Allowed: 1 (Annual), 2 (Semi-annual), 4 (Quarterly), 12 (Monthly).</t>
      </text>
    </comment>
    <comment ref="C13" authorId="0" shapeId="0">
      <text>
        <t>Enter 100 for par, &lt;100 for discount, &gt;100 for premium redemption.</t>
      </text>
    </comment>
    <comment ref="C14" authorId="0" shapeId="0">
      <text>
        <t>Take-home confirmation: 0=Actual/Actual, 1=30/360, 2=Actual/360 (use per instructions).</t>
      </text>
    </comment>
    <comment ref="C23" authorId="0" shapeId="0">
      <text>
        <t>PRICE() returns per ₹100 face. We scale to intrinsic ₹ using (PRICE/100)*Face.</t>
      </text>
    </comment>
    <comment ref="B34" authorId="0" shapeId="0">
      <text>
        <t>Scenario table uses formulas for portability (no Excel Data Table needed).</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I16" sqref="I16"/>
    </sheetView>
  </sheetViews>
  <sheetFormatPr baseColWidth="8" defaultRowHeight="14.5"/>
  <cols>
    <col width="8.7265625" customWidth="1" style="53" min="1" max="6"/>
    <col width="13.90625" customWidth="1" style="53" min="7" max="7"/>
    <col width="5.6328125" customWidth="1" style="53" min="8" max="8"/>
    <col width="71.6328125" customWidth="1" style="53" min="9" max="9"/>
    <col width="7.1796875" customWidth="1" style="53" min="10" max="10"/>
    <col width="8.7265625" customWidth="1" style="53" min="11" max="16384"/>
  </cols>
  <sheetData>
    <row r="1" ht="31" customHeight="1" s="70">
      <c r="A1" s="52" t="inlineStr">
        <is>
          <t>FINANCIAL MODELING USING EXCEL</t>
        </is>
      </c>
    </row>
    <row r="2"/>
    <row r="3" ht="23.5" customHeight="1" s="70">
      <c r="A3" s="54" t="inlineStr">
        <is>
          <t>Bond Intrinsic Value Estimation – Caselet Workbook Using Excel</t>
        </is>
      </c>
    </row>
    <row r="4"/>
    <row r="5" ht="23.5" customHeight="1" s="70">
      <c r="A5" s="55" t="inlineStr">
        <is>
          <t>Present Value–Based Bond Valuation Across Multiple Scenarios</t>
        </is>
      </c>
      <c r="I5" s="56" t="inlineStr">
        <is>
          <t>Learning Philosophy</t>
        </is>
      </c>
    </row>
    <row r="6"/>
    <row r="7" ht="28.5" customHeight="1" s="70">
      <c r="A7" s="57" t="inlineStr">
        <is>
          <t>Workbook Purpose</t>
        </is>
      </c>
      <c r="I7" s="58" t="inlineStr">
        <is>
          <t>Paper LBO mastery is built through repetition—quickly translating deal assumptions into disciplined equity return expectations.</t>
        </is>
      </c>
    </row>
    <row r="8"/>
    <row r="9" ht="132.5" customHeight="1" s="70">
      <c r="A9" s="66" t="inlineStr">
        <is>
          <t>This workbook is a caselet-based bond valuation practice set consisting of ten structured bond intrinsic value problems. Each caselet is designed to help learners estimate the intrinsic value (fair price) of a bond by discounting its contractual cash flows—periodic coupon payments and principal repayment—at an appropriate required yield.
The workbook focuses strictly on bond valuation logic, not trading or portfolio management. By solving multiple caselets with varying coupon rates, maturities, yields, and payment frequencies, learners develop a clear understanding of how bond prices respond to changes in interest rates and time to maturity. Excel is used as a transparent computational platform to reinforce time value of money principles and ensure valuation discipline.</t>
        </is>
      </c>
    </row>
    <row r="10"/>
    <row r="11"/>
    <row r="12"/>
    <row r="13"/>
    <row r="14"/>
    <row r="15" ht="23.5" customHeight="1" s="70">
      <c r="A15" s="59" t="inlineStr">
        <is>
          <t>Key Concepts Covered</t>
        </is>
      </c>
      <c r="B15" s="60" t="n"/>
      <c r="C15" s="60" t="n"/>
      <c r="D15" s="60" t="n"/>
      <c r="E15" s="60" t="n"/>
      <c r="F15" s="60" t="n"/>
      <c r="G15" s="60" t="n"/>
      <c r="I15" s="61" t="inlineStr">
        <is>
          <t>Excel Functions Used</t>
        </is>
      </c>
    </row>
    <row r="16" ht="311.5" customHeight="1" s="70">
      <c r="A16" s="67" t="inlineStr">
        <is>
          <t>Concept of intrinsic value of a bond
Bond cash flow structure: coupons and principal repayment
Required yield (YTM) as the discount rate
Present value of fixed-income cash flows
Relationship between coupon rate and yield
Premium, par, and discount bond pricing
Impact of maturity and payment frequency on bond value
Sensitivity of bond prices to changes in yield
Interpretation of bond valuation outputs across scenarios</t>
        </is>
      </c>
      <c r="I16" s="62" t="inlineStr">
        <is>
          <t xml:space="preserve">The following Excel functions are used accurately and completely across the ten bond valuation caselets in this workbook:
PV – Computes the present value of coupon payments and principal repayment
RATE – Represents or validates the yield to maturity used for discounting
NPER – Aligns bond maturity with coupon payment frequency
PMT – Computes periodic coupon cash flows where structured payment logic is applied
SUM – Aggregates present values of coupons and principal
IF – Applies conditional logic for final-period principal repayment and case-specific rules
ABS – Maintains disciplined cash-flow sign conventions
ROUND – Ensures numerical clarity and clean presentation of bond values
PERCENTAGE CALCULATIONS – Used for coupon rates, yields, and pricing interpretation
The workbook emphasizes correct frequency alignment, disciplined discounting, and clear separation of coupon and principal valuation.
</t>
        </is>
      </c>
    </row>
    <row r="17">
      <c r="A17" s="63" t="n"/>
    </row>
    <row r="18">
      <c r="A18" s="63" t="n"/>
      <c r="E18" s="68"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64" t="n"/>
    </row>
    <row r="19">
      <c r="A19" s="63" t="n"/>
    </row>
    <row r="20">
      <c r="A20" s="63" t="n"/>
      <c r="I20" s="64" t="n"/>
    </row>
    <row r="21">
      <c r="A21" s="63" t="n"/>
    </row>
    <row r="22">
      <c r="A22" s="63" t="n"/>
      <c r="I22" s="64" t="n"/>
    </row>
    <row r="23">
      <c r="A23" s="63" t="n"/>
    </row>
    <row r="24">
      <c r="A24" s="63" t="n"/>
      <c r="I24" s="64" t="n"/>
    </row>
    <row r="25">
      <c r="A25" s="63" t="n"/>
    </row>
    <row r="26">
      <c r="A26" s="63" t="n"/>
      <c r="I26" s="64" t="n"/>
    </row>
    <row r="27">
      <c r="A27" s="63" t="n"/>
    </row>
    <row r="28">
      <c r="A28" s="63" t="n"/>
      <c r="I28" s="64" t="n"/>
    </row>
    <row r="29">
      <c r="A29" s="63" t="n"/>
    </row>
    <row r="30">
      <c r="A30" s="63" t="n"/>
      <c r="I30" s="64" t="n"/>
    </row>
    <row r="31">
      <c r="A31" s="63" t="n"/>
      <c r="I31" s="63" t="n"/>
    </row>
    <row r="32">
      <c r="A32" s="63" t="n"/>
      <c r="I32" s="65" t="n"/>
    </row>
    <row r="33">
      <c r="A33" s="63"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H1"/>
    </sheetView>
  </sheetViews>
  <sheetFormatPr baseColWidth="8" defaultRowHeight="14.5"/>
  <cols>
    <col width="6" customWidth="1" style="70" min="1" max="1"/>
    <col width="28" customWidth="1" style="70" min="2" max="2"/>
    <col width="44" customWidth="1" style="70" min="3" max="3"/>
    <col width="26" customWidth="1" style="70" min="4" max="4"/>
    <col width="18" customWidth="1" style="70" min="5" max="7"/>
    <col width="10" customWidth="1" style="70" min="8" max="8"/>
  </cols>
  <sheetData>
    <row r="1" ht="21" customHeight="1" s="70">
      <c r="A1" s="69" t="inlineStr">
        <is>
          <t>Bond Intrinsic Value – Case-let Workbook (10 problems)</t>
        </is>
      </c>
    </row>
    <row r="2">
      <c r="C2" s="31" t="n"/>
    </row>
    <row r="3">
      <c r="A3" s="1" t="inlineStr">
        <is>
          <t>Legend:</t>
        </is>
      </c>
      <c r="C3" s="31" t="n"/>
      <c r="E3" s="25" t="inlineStr">
        <is>
          <t xml:space="preserve">Prepared by </t>
        </is>
      </c>
      <c r="F3" s="25" t="inlineStr">
        <is>
          <t>Dr.  Srikanth Potharla</t>
        </is>
      </c>
    </row>
    <row r="4" ht="29" customHeight="1" s="70">
      <c r="A4" s="2" t="inlineStr">
        <is>
          <t>Inputs</t>
        </is>
      </c>
      <c r="B4" s="3" t="inlineStr">
        <is>
          <t>Calculated cells</t>
        </is>
      </c>
      <c r="C4" s="32" t="inlineStr">
        <is>
          <t>Outputs</t>
        </is>
      </c>
      <c r="D4" s="4" t="inlineStr">
        <is>
          <t>Checks</t>
        </is>
      </c>
    </row>
    <row r="5">
      <c r="C5" s="31" t="n"/>
    </row>
    <row r="6" ht="15.5" customHeight="1" s="70">
      <c r="A6" s="5" t="inlineStr">
        <is>
          <t>#</t>
        </is>
      </c>
      <c r="B6" s="5" t="inlineStr">
        <is>
          <t>Case-let Sheet</t>
        </is>
      </c>
      <c r="C6" s="33" t="inlineStr">
        <is>
          <t>Case-let Name</t>
        </is>
      </c>
      <c r="D6" s="5" t="inlineStr">
        <is>
          <t>Learning Focus</t>
        </is>
      </c>
      <c r="E6" s="5" t="inlineStr">
        <is>
          <t>Settlement</t>
        </is>
      </c>
      <c r="F6" s="5" t="inlineStr">
        <is>
          <t>Maturity</t>
        </is>
      </c>
      <c r="G6" s="5" t="inlineStr">
        <is>
          <t>Face Value (₹)</t>
        </is>
      </c>
      <c r="H6" s="5" t="inlineStr">
        <is>
          <t>Go</t>
        </is>
      </c>
    </row>
    <row r="7" ht="43.5" customHeight="1" s="70">
      <c r="A7" s="6" t="n">
        <v>1</v>
      </c>
      <c r="B7" s="6" t="inlineStr">
        <is>
          <t>CASE_01</t>
        </is>
      </c>
      <c r="C7" s="34" t="inlineStr">
        <is>
          <t>Alpha Infrastructure Bond</t>
        </is>
      </c>
      <c r="D7" s="6" t="inlineStr">
        <is>
          <t>Basic intrinsic value with annual coupons (par redemption)</t>
        </is>
      </c>
      <c r="E7" s="7" t="n">
        <v>45383</v>
      </c>
      <c r="F7" s="7" t="n">
        <v>49400</v>
      </c>
      <c r="G7" s="8" t="n">
        <v>1000</v>
      </c>
      <c r="H7" s="9" t="inlineStr">
        <is>
          <t>Open</t>
        </is>
      </c>
    </row>
    <row r="8" ht="29" customHeight="1" s="70">
      <c r="A8" s="6" t="n">
        <v>2</v>
      </c>
      <c r="B8" s="6" t="inlineStr">
        <is>
          <t>CASE_02</t>
        </is>
      </c>
      <c r="C8" s="34" t="inlineStr">
        <is>
          <t>Beta Energy Development Bond</t>
        </is>
      </c>
      <c r="D8" s="6" t="inlineStr">
        <is>
          <t>Semi-annual coupons + premium redemption</t>
        </is>
      </c>
      <c r="E8" s="7" t="n">
        <v>45458</v>
      </c>
      <c r="F8" s="7" t="n">
        <v>49841</v>
      </c>
      <c r="G8" s="8" t="n">
        <v>5000</v>
      </c>
      <c r="H8" s="9" t="inlineStr">
        <is>
          <t>Open</t>
        </is>
      </c>
    </row>
    <row r="9" ht="29" customHeight="1" s="70">
      <c r="A9" s="6" t="n">
        <v>3</v>
      </c>
      <c r="B9" s="6" t="inlineStr">
        <is>
          <t>CASE_03</t>
        </is>
      </c>
      <c r="C9" s="34" t="inlineStr">
        <is>
          <t>Gamma Transport Finance Bond</t>
        </is>
      </c>
      <c r="D9" s="6" t="inlineStr">
        <is>
          <t>Quarterly coupons + discount redemption</t>
        </is>
      </c>
      <c r="E9" s="7" t="n">
        <v>45565</v>
      </c>
      <c r="F9" s="7" t="n">
        <v>49582</v>
      </c>
      <c r="G9" s="8" t="n">
        <v>10000</v>
      </c>
      <c r="H9" s="9" t="inlineStr">
        <is>
          <t>Open</t>
        </is>
      </c>
    </row>
    <row r="10" ht="29" customHeight="1" s="70">
      <c r="A10" s="6" t="n">
        <v>4</v>
      </c>
      <c r="B10" s="6" t="inlineStr">
        <is>
          <t>CASE_04</t>
        </is>
      </c>
      <c r="C10" s="34" t="inlineStr">
        <is>
          <t>Delta Housing Finance Bond</t>
        </is>
      </c>
      <c r="D10" s="6" t="inlineStr">
        <is>
          <t>Monthly coupon bond valuation (par redemption)</t>
        </is>
      </c>
      <c r="E10" s="7" t="n">
        <v>45658</v>
      </c>
      <c r="F10" s="7" t="n">
        <v>50406</v>
      </c>
      <c r="G10" s="8" t="n">
        <v>25000</v>
      </c>
      <c r="H10" s="9" t="inlineStr">
        <is>
          <t>Open</t>
        </is>
      </c>
    </row>
    <row r="11" ht="29" customHeight="1" s="70">
      <c r="A11" s="6" t="n">
        <v>5</v>
      </c>
      <c r="B11" s="6" t="inlineStr">
        <is>
          <t>CASE_05</t>
        </is>
      </c>
      <c r="C11" s="34" t="inlineStr">
        <is>
          <t>Epsilon Manufacturing Bond</t>
        </is>
      </c>
      <c r="D11" s="6" t="inlineStr">
        <is>
          <t>Yield sensitivity (mini table on YTM)</t>
        </is>
      </c>
      <c r="E11" s="7" t="n">
        <v>45474</v>
      </c>
      <c r="F11" s="7" t="n">
        <v>50587</v>
      </c>
      <c r="G11" s="8" t="n">
        <v>50000</v>
      </c>
      <c r="H11" s="9" t="inlineStr">
        <is>
          <t>Open</t>
        </is>
      </c>
    </row>
    <row r="12" ht="29" customHeight="1" s="70">
      <c r="A12" s="6" t="n">
        <v>6</v>
      </c>
      <c r="B12" s="6" t="inlineStr">
        <is>
          <t>CASE_06</t>
        </is>
      </c>
      <c r="C12" s="34" t="inlineStr">
        <is>
          <t>Zeta Logistics Bond</t>
        </is>
      </c>
      <c r="D12" s="6" t="inlineStr">
        <is>
          <t>Coupon-rate sensitivity (mini table on coupon)</t>
        </is>
      </c>
      <c r="E12" s="7" t="n">
        <v>45352</v>
      </c>
      <c r="F12" s="7" t="n">
        <v>49004</v>
      </c>
      <c r="G12" s="8" t="n">
        <v>100000</v>
      </c>
      <c r="H12" s="9" t="inlineStr">
        <is>
          <t>Open</t>
        </is>
      </c>
    </row>
    <row r="13" ht="43.5" customHeight="1" s="70">
      <c r="A13" s="6" t="n">
        <v>7</v>
      </c>
      <c r="B13" s="6" t="inlineStr">
        <is>
          <t>CASE_07</t>
        </is>
      </c>
      <c r="C13" s="34" t="inlineStr">
        <is>
          <t>Eta Digital Services Bond</t>
        </is>
      </c>
      <c r="D13" s="6" t="inlineStr">
        <is>
          <t>Effect of coupon payment frequency (compare 1/2/4/12)</t>
        </is>
      </c>
      <c r="E13" s="7" t="n">
        <v>45519</v>
      </c>
      <c r="F13" s="7" t="n">
        <v>49720</v>
      </c>
      <c r="G13" s="8" t="n">
        <v>500000</v>
      </c>
      <c r="H13" s="9" t="inlineStr">
        <is>
          <t>Open</t>
        </is>
      </c>
    </row>
    <row r="14" ht="29" customHeight="1" s="70">
      <c r="A14" s="6" t="n">
        <v>8</v>
      </c>
      <c r="B14" s="6" t="inlineStr">
        <is>
          <t>CASE_08</t>
        </is>
      </c>
      <c r="C14" s="34" t="inlineStr">
        <is>
          <t>Theta Renewable Power Bond</t>
        </is>
      </c>
      <c r="D14" s="6" t="inlineStr">
        <is>
          <t>Long maturity + discount redemption</t>
        </is>
      </c>
      <c r="E14" s="7" t="n">
        <v>45566</v>
      </c>
      <c r="F14" s="7" t="n">
        <v>51044</v>
      </c>
      <c r="G14" s="8" t="n">
        <v>200000</v>
      </c>
      <c r="H14" s="9" t="inlineStr">
        <is>
          <t>Open</t>
        </is>
      </c>
    </row>
    <row r="15" ht="29" customHeight="1" s="70">
      <c r="A15" s="6" t="n">
        <v>9</v>
      </c>
      <c r="B15" s="6" t="inlineStr">
        <is>
          <t>CASE_09</t>
        </is>
      </c>
      <c r="C15" s="34" t="inlineStr">
        <is>
          <t>Iota Urban Development Bond</t>
        </is>
      </c>
      <c r="D15" s="6" t="inlineStr">
        <is>
          <t>High coupon with discount redemption (semi-annual)</t>
        </is>
      </c>
      <c r="E15" s="7" t="n">
        <v>45627</v>
      </c>
      <c r="F15" s="7" t="n">
        <v>50284</v>
      </c>
      <c r="G15" s="8" t="n">
        <v>75000</v>
      </c>
      <c r="H15" s="9" t="inlineStr">
        <is>
          <t>Open</t>
        </is>
      </c>
    </row>
    <row r="16" ht="43.5" customHeight="1" s="70">
      <c r="A16" s="6" t="n">
        <v>10</v>
      </c>
      <c r="B16" s="6" t="inlineStr">
        <is>
          <t>CASE_10</t>
        </is>
      </c>
      <c r="C16" s="34" t="inlineStr">
        <is>
          <t>Kappa Strategic Investment Bond</t>
        </is>
      </c>
      <c r="D16" s="6" t="inlineStr">
        <is>
          <t>Integrated case + yield sensitivity (monthly coupons, premium redemption)</t>
        </is>
      </c>
      <c r="E16" s="7" t="n">
        <v>45413</v>
      </c>
      <c r="F16" s="7" t="n">
        <v>50345</v>
      </c>
      <c r="G16" s="8" t="n">
        <v>300000</v>
      </c>
      <c r="H16" s="9" t="inlineStr">
        <is>
          <t>Open</t>
        </is>
      </c>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A1:H1"/>
  </mergeCells>
  <hyperlinks>
    <hyperlink ref="H7" location="'CASE_01'!A1" display="Open"/>
    <hyperlink ref="H8" location="'CASE_02'!A1" display="Open"/>
    <hyperlink ref="H9" location="'CASE_03'!A1" display="Open"/>
    <hyperlink ref="H10" location="'CASE_04'!A1" display="Open"/>
    <hyperlink ref="H11" location="'CASE_05'!A1" display="Open"/>
    <hyperlink ref="H12" location="'CASE_06'!A1" display="Open"/>
    <hyperlink ref="H13" location="'CASE_07'!A1" display="Open"/>
    <hyperlink ref="H14" location="'CASE_08'!A1" display="Open"/>
    <hyperlink ref="H15" location="'CASE_09'!A1" display="Open"/>
    <hyperlink ref="H16" location="'CASE_10'!A1" display="Open"/>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01: Alpha Infrastructure Bond</t>
        </is>
      </c>
    </row>
    <row r="2" ht="15.5" customHeight="1" s="70">
      <c r="C2" s="35" t="n"/>
      <c r="H2" s="10" t="inlineStr">
        <is>
          <t>⬅ Back to Index</t>
        </is>
      </c>
    </row>
    <row r="3">
      <c r="A3" s="1" t="inlineStr">
        <is>
          <t>Learning focus:</t>
        </is>
      </c>
      <c r="B3" s="77" t="inlineStr">
        <is>
          <t>Basic intrinsic value with annual coupons (par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45383</v>
      </c>
      <c r="D6" s="11" t="inlineStr">
        <is>
          <t>Enter settlement date</t>
        </is>
      </c>
    </row>
    <row r="7" ht="29" customHeight="1" s="70">
      <c r="A7" s="11" t="inlineStr">
        <is>
          <t>Inputs</t>
        </is>
      </c>
      <c r="B7" s="12" t="inlineStr">
        <is>
          <t>Maturity Date</t>
        </is>
      </c>
      <c r="C7" s="37" t="n">
        <v>49400</v>
      </c>
      <c r="D7" s="11" t="inlineStr">
        <is>
          <t>Enter maturity date</t>
        </is>
      </c>
    </row>
    <row r="8" ht="43.5" customHeight="1" s="70">
      <c r="A8" s="11" t="inlineStr">
        <is>
          <t>Inputs</t>
        </is>
      </c>
      <c r="B8" s="12" t="inlineStr">
        <is>
          <t>Face Value (₹)</t>
        </is>
      </c>
      <c r="C8" s="38" t="n">
        <v>1000</v>
      </c>
      <c r="D8" s="11" t="inlineStr">
        <is>
          <t>Redemption and coupons scale off this</t>
        </is>
      </c>
    </row>
    <row r="9" ht="29" customHeight="1" s="70">
      <c r="A9" s="11" t="inlineStr">
        <is>
          <t>Inputs</t>
        </is>
      </c>
      <c r="B9" s="12" t="inlineStr">
        <is>
          <t>Coupon Rate (annual)</t>
        </is>
      </c>
      <c r="C9" s="39" t="n">
        <v>0.08</v>
      </c>
      <c r="D9" s="11" t="inlineStr">
        <is>
          <t>Enter as % (e.g., 8% = 0.08)</t>
        </is>
      </c>
    </row>
    <row r="10" ht="29" customHeight="1" s="70">
      <c r="A10" s="11" t="inlineStr">
        <is>
          <t>Inputs</t>
        </is>
      </c>
      <c r="B10" s="12" t="inlineStr">
        <is>
          <t>Required Yield/YTM (annual)</t>
        </is>
      </c>
      <c r="C10" s="39" t="n">
        <v>0.075</v>
      </c>
      <c r="D10" s="11" t="inlineStr">
        <is>
          <t>Enter as % (e.g., 7.5% = 0.075)</t>
        </is>
      </c>
    </row>
    <row r="11" ht="43.5" customHeight="1" s="70">
      <c r="A11" s="11" t="inlineStr">
        <is>
          <t>Inputs</t>
        </is>
      </c>
      <c r="B11" s="12" t="inlineStr">
        <is>
          <t>Market Price on Settlement Date (₹)</t>
        </is>
      </c>
      <c r="C11" s="38" t="n">
        <v>1080</v>
      </c>
      <c r="D11" s="11" t="inlineStr">
        <is>
          <t>Observed market price on settlement date</t>
        </is>
      </c>
    </row>
    <row r="12" ht="43.5" customHeight="1" s="70">
      <c r="A12" s="11" t="inlineStr">
        <is>
          <t>Inputs</t>
        </is>
      </c>
      <c r="B12" s="12" t="inlineStr">
        <is>
          <t>Coupon Frequency</t>
        </is>
      </c>
      <c r="C12" s="40" t="n">
        <v>1</v>
      </c>
      <c r="D12" s="11" t="inlineStr">
        <is>
          <t>1=Annual, 2=Semi-annual, 4=Quarterly, 12=Monthly</t>
        </is>
      </c>
    </row>
    <row r="13" ht="29" customHeight="1" s="70">
      <c r="A13" s="11" t="inlineStr">
        <is>
          <t>Inputs</t>
        </is>
      </c>
      <c r="B13" s="12" t="inlineStr">
        <is>
          <t>Redemption Premium/Discount (% of Face)</t>
        </is>
      </c>
      <c r="C13" s="39" t="n">
        <v>0</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(C21/100)*C8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22.453125" customWidth="1" style="70" min="4" max="4"/>
    <col width="18" customWidth="1" style="70" min="5" max="7"/>
    <col width="22" customWidth="1" style="70" min="8" max="8"/>
  </cols>
  <sheetData>
    <row r="1" ht="28" customHeight="1" s="70">
      <c r="A1" s="76" t="inlineStr">
        <is>
          <t>Case-let 02: Beta Energy Development Bond</t>
        </is>
      </c>
    </row>
    <row r="2" ht="15.5" customHeight="1" s="70">
      <c r="C2" s="35" t="n"/>
      <c r="H2" s="10" t="inlineStr">
        <is>
          <t>⬅ Back to Index</t>
        </is>
      </c>
    </row>
    <row r="3">
      <c r="A3" s="1" t="inlineStr">
        <is>
          <t>Learning focus:</t>
        </is>
      </c>
      <c r="B3" s="77" t="inlineStr">
        <is>
          <t>Semi-annual coupons + premium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45458</v>
      </c>
      <c r="D6" s="11" t="inlineStr">
        <is>
          <t>Enter settlement date</t>
        </is>
      </c>
    </row>
    <row r="7" ht="29" customHeight="1" s="70">
      <c r="A7" s="11" t="inlineStr">
        <is>
          <t>Inputs</t>
        </is>
      </c>
      <c r="B7" s="12" t="inlineStr">
        <is>
          <t>Maturity Date</t>
        </is>
      </c>
      <c r="C7" s="37" t="n">
        <v>49841</v>
      </c>
      <c r="D7" s="11" t="inlineStr">
        <is>
          <t>Enter maturity date</t>
        </is>
      </c>
    </row>
    <row r="8" ht="29" customHeight="1" s="70">
      <c r="A8" s="11" t="inlineStr">
        <is>
          <t>Inputs</t>
        </is>
      </c>
      <c r="B8" s="12" t="inlineStr">
        <is>
          <t>Face Value (₹)</t>
        </is>
      </c>
      <c r="C8" s="38" t="n">
        <v>5000</v>
      </c>
      <c r="D8" s="11" t="inlineStr">
        <is>
          <t>Redemption and coupons scale off this</t>
        </is>
      </c>
    </row>
    <row r="9" ht="29" customHeight="1" s="70">
      <c r="A9" s="11" t="inlineStr">
        <is>
          <t>Inputs</t>
        </is>
      </c>
      <c r="B9" s="12" t="inlineStr">
        <is>
          <t>Coupon Rate (annual)</t>
        </is>
      </c>
      <c r="C9" s="39" t="n">
        <v>0.07199999999999999</v>
      </c>
      <c r="D9" s="11" t="inlineStr">
        <is>
          <t>Enter as % (e.g., 8% = 0.08)</t>
        </is>
      </c>
    </row>
    <row r="10" ht="29" customHeight="1" s="70">
      <c r="A10" s="11" t="inlineStr">
        <is>
          <t>Inputs</t>
        </is>
      </c>
      <c r="B10" s="12" t="inlineStr">
        <is>
          <t>Required Yield/YTM (annual)</t>
        </is>
      </c>
      <c r="C10" s="39" t="n">
        <v>0.078</v>
      </c>
      <c r="D10" s="11" t="inlineStr">
        <is>
          <t>Enter as % (e.g., 7.5% = 0.075)</t>
        </is>
      </c>
    </row>
    <row r="11" ht="43.5" customHeight="1" s="70">
      <c r="A11" s="11" t="inlineStr">
        <is>
          <t>Inputs</t>
        </is>
      </c>
      <c r="B11" s="12" t="inlineStr">
        <is>
          <t>Market Price on Settlement Date (₹)</t>
        </is>
      </c>
      <c r="C11" s="38" t="n">
        <v>4750</v>
      </c>
      <c r="D11" s="11" t="inlineStr">
        <is>
          <t>Observed market price on settlement date</t>
        </is>
      </c>
    </row>
    <row r="12" ht="43.5" customHeight="1" s="70">
      <c r="A12" s="11" t="inlineStr">
        <is>
          <t>Inputs</t>
        </is>
      </c>
      <c r="B12" s="12" t="inlineStr">
        <is>
          <t>Coupon Frequency</t>
        </is>
      </c>
      <c r="C12" s="40" t="n">
        <v>2</v>
      </c>
      <c r="D12" s="11" t="inlineStr">
        <is>
          <t>1=Annual, 2=Semi-annual, 4=Quarterly, 12=Monthly</t>
        </is>
      </c>
    </row>
    <row r="13" ht="29" customHeight="1" s="70">
      <c r="A13" s="11" t="inlineStr">
        <is>
          <t>Inputs</t>
        </is>
      </c>
      <c r="B13" s="12" t="inlineStr">
        <is>
          <t>Redemption Premium/Discount (% of Face)</t>
        </is>
      </c>
      <c r="C13" s="39" t="n">
        <v>0.05000000000000004</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29"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03: Gamma Transport Finance Bond</t>
        </is>
      </c>
    </row>
    <row r="2" ht="15.5" customHeight="1" s="70">
      <c r="C2" s="35" t="n"/>
      <c r="H2" s="10" t="inlineStr">
        <is>
          <t>⬅ Back to Index</t>
        </is>
      </c>
    </row>
    <row r="3">
      <c r="A3" s="1" t="inlineStr">
        <is>
          <t>Learning focus:</t>
        </is>
      </c>
      <c r="B3" s="77" t="inlineStr">
        <is>
          <t>Quarterly coupons + discount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45565</v>
      </c>
      <c r="D6" s="11" t="inlineStr">
        <is>
          <t>Enter settlement date</t>
        </is>
      </c>
    </row>
    <row r="7" ht="29" customHeight="1" s="70">
      <c r="A7" s="11" t="inlineStr">
        <is>
          <t>Inputs</t>
        </is>
      </c>
      <c r="B7" s="12" t="inlineStr">
        <is>
          <t>Maturity Date</t>
        </is>
      </c>
      <c r="C7" s="37" t="n">
        <v>49582</v>
      </c>
      <c r="D7" s="11" t="inlineStr">
        <is>
          <t>Enter maturity date</t>
        </is>
      </c>
    </row>
    <row r="8" ht="43.5" customHeight="1" s="70">
      <c r="A8" s="11" t="inlineStr">
        <is>
          <t>Inputs</t>
        </is>
      </c>
      <c r="B8" s="12" t="inlineStr">
        <is>
          <t>Face Value (₹)</t>
        </is>
      </c>
      <c r="C8" s="38" t="n">
        <v>10000</v>
      </c>
      <c r="D8" s="11" t="inlineStr">
        <is>
          <t>Redemption and coupons scale off this</t>
        </is>
      </c>
    </row>
    <row r="9" ht="29" customHeight="1" s="70">
      <c r="A9" s="11" t="inlineStr">
        <is>
          <t>Inputs</t>
        </is>
      </c>
      <c r="B9" s="12" t="inlineStr">
        <is>
          <t>Coupon Rate (annual)</t>
        </is>
      </c>
      <c r="C9" s="39" t="n">
        <v>0.08400000000000001</v>
      </c>
      <c r="D9" s="11" t="inlineStr">
        <is>
          <t>Enter as % (e.g., 8% = 0.08)</t>
        </is>
      </c>
    </row>
    <row r="10" ht="29" customHeight="1" s="70">
      <c r="A10" s="11" t="inlineStr">
        <is>
          <t>Inputs</t>
        </is>
      </c>
      <c r="B10" s="12" t="inlineStr">
        <is>
          <t>Required Yield/YTM (annual)</t>
        </is>
      </c>
      <c r="C10" s="39" t="n">
        <v>0.081</v>
      </c>
      <c r="D10" s="11" t="inlineStr">
        <is>
          <t>Enter as % (e.g., 7.5% = 0.075)</t>
        </is>
      </c>
    </row>
    <row r="11" ht="43.5" customHeight="1" s="70">
      <c r="A11" s="11" t="inlineStr">
        <is>
          <t>Inputs</t>
        </is>
      </c>
      <c r="B11" s="12" t="inlineStr">
        <is>
          <t>Market Price on Settlement Date (₹)</t>
        </is>
      </c>
      <c r="C11" s="38" t="n">
        <v>10900</v>
      </c>
      <c r="D11" s="11" t="inlineStr">
        <is>
          <t>Observed market price on settlement date</t>
        </is>
      </c>
    </row>
    <row r="12" ht="43.5" customHeight="1" s="70">
      <c r="A12" s="11" t="inlineStr">
        <is>
          <t>Inputs</t>
        </is>
      </c>
      <c r="B12" s="12" t="inlineStr">
        <is>
          <t>Coupon Frequency</t>
        </is>
      </c>
      <c r="C12" s="40" t="n">
        <v>4</v>
      </c>
      <c r="D12" s="11" t="inlineStr">
        <is>
          <t>1=Annual, 2=Semi-annual, 4=Quarterly, 12=Monthly</t>
        </is>
      </c>
    </row>
    <row r="13" ht="29" customHeight="1" s="70">
      <c r="A13" s="11" t="inlineStr">
        <is>
          <t>Inputs</t>
        </is>
      </c>
      <c r="B13" s="12" t="inlineStr">
        <is>
          <t>Redemption Premium/Discount (% of Face)</t>
        </is>
      </c>
      <c r="C13" s="39" t="n">
        <v>-0.05000000000000004</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04: Delta Housing Finance Bond</t>
        </is>
      </c>
    </row>
    <row r="2" ht="15.5" customHeight="1" s="70">
      <c r="C2" s="35" t="n"/>
      <c r="H2" s="10" t="inlineStr">
        <is>
          <t>⬅ Back to Index</t>
        </is>
      </c>
    </row>
    <row r="3">
      <c r="A3" s="1" t="inlineStr">
        <is>
          <t>Learning focus:</t>
        </is>
      </c>
      <c r="B3" s="77" t="inlineStr">
        <is>
          <t>Monthly coupon bond valuation (par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45658</v>
      </c>
      <c r="D6" s="11" t="inlineStr">
        <is>
          <t>Enter settlement date</t>
        </is>
      </c>
    </row>
    <row r="7" ht="29" customHeight="1" s="70">
      <c r="A7" s="11" t="inlineStr">
        <is>
          <t>Inputs</t>
        </is>
      </c>
      <c r="B7" s="12" t="inlineStr">
        <is>
          <t>Maturity Date</t>
        </is>
      </c>
      <c r="C7" s="37" t="n">
        <v>50406</v>
      </c>
      <c r="D7" s="11" t="inlineStr">
        <is>
          <t>Enter maturity date</t>
        </is>
      </c>
    </row>
    <row r="8" ht="43.5" customHeight="1" s="70">
      <c r="A8" s="11" t="inlineStr">
        <is>
          <t>Inputs</t>
        </is>
      </c>
      <c r="B8" s="12" t="inlineStr">
        <is>
          <t>Face Value (₹)</t>
        </is>
      </c>
      <c r="C8" s="38" t="n">
        <v>25000</v>
      </c>
      <c r="D8" s="11" t="inlineStr">
        <is>
          <t>Redemption and coupons scale off this</t>
        </is>
      </c>
    </row>
    <row r="9" ht="29" customHeight="1" s="70">
      <c r="A9" s="11" t="inlineStr">
        <is>
          <t>Inputs</t>
        </is>
      </c>
      <c r="B9" s="12" t="inlineStr">
        <is>
          <t>Coupon Rate (annual)</t>
        </is>
      </c>
      <c r="C9" s="39" t="n">
        <v>0.09</v>
      </c>
      <c r="D9" s="11" t="inlineStr">
        <is>
          <t>Enter as % (e.g., 8% = 0.08)</t>
        </is>
      </c>
    </row>
    <row r="10" ht="29" customHeight="1" s="70">
      <c r="A10" s="11" t="inlineStr">
        <is>
          <t>Inputs</t>
        </is>
      </c>
      <c r="B10" s="12" t="inlineStr">
        <is>
          <t>Required Yield/YTM (annual)</t>
        </is>
      </c>
      <c r="C10" s="39" t="n">
        <v>0.08599999999999999</v>
      </c>
      <c r="D10" s="11" t="inlineStr">
        <is>
          <t>Enter as % (e.g., 7.5% = 0.075)</t>
        </is>
      </c>
    </row>
    <row r="11" ht="43.5" customHeight="1" s="70">
      <c r="A11" s="11" t="inlineStr">
        <is>
          <t>Inputs</t>
        </is>
      </c>
      <c r="B11" s="12" t="inlineStr">
        <is>
          <t>Market Price on Settlement Date (₹)</t>
        </is>
      </c>
      <c r="C11" s="38" t="n">
        <v>27100</v>
      </c>
      <c r="D11" s="11" t="inlineStr">
        <is>
          <t>Observed market price on settlement date</t>
        </is>
      </c>
    </row>
    <row r="12" ht="43.5" customHeight="1" s="70">
      <c r="A12" s="11" t="inlineStr">
        <is>
          <t>Inputs</t>
        </is>
      </c>
      <c r="B12" s="12" t="inlineStr">
        <is>
          <t>Coupon Frequency</t>
        </is>
      </c>
      <c r="C12" s="40" t="n">
        <v>12</v>
      </c>
      <c r="D12" s="11" t="inlineStr">
        <is>
          <t>1=Annual, 2=Semi-annual, 4=Quarterly, 12=Monthly</t>
        </is>
      </c>
    </row>
    <row r="13" ht="29" customHeight="1" s="70">
      <c r="A13" s="11" t="inlineStr">
        <is>
          <t>Inputs</t>
        </is>
      </c>
      <c r="B13" s="12" t="inlineStr">
        <is>
          <t>Redemption Premium/Discount (% of Face)</t>
        </is>
      </c>
      <c r="C13" s="39" t="n">
        <v>0</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05: Epsilon Manufacturing Bond</t>
        </is>
      </c>
    </row>
    <row r="2" ht="15.5" customHeight="1" s="70">
      <c r="C2" s="35" t="n"/>
      <c r="H2" s="10" t="inlineStr">
        <is>
          <t>⬅ Back to Index</t>
        </is>
      </c>
    </row>
    <row r="3">
      <c r="A3" s="1" t="inlineStr">
        <is>
          <t>Learning focus:</t>
        </is>
      </c>
      <c r="B3" s="77" t="inlineStr">
        <is>
          <t>Yield sensitivity (mini table on YTM)</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45474</v>
      </c>
      <c r="D6" s="11" t="inlineStr">
        <is>
          <t>Enter settlement date</t>
        </is>
      </c>
    </row>
    <row r="7" ht="29" customHeight="1" s="70">
      <c r="A7" s="11" t="inlineStr">
        <is>
          <t>Inputs</t>
        </is>
      </c>
      <c r="B7" s="12" t="inlineStr">
        <is>
          <t>Maturity Date</t>
        </is>
      </c>
      <c r="C7" s="37" t="n">
        <v>50587</v>
      </c>
      <c r="D7" s="11" t="inlineStr">
        <is>
          <t>Enter maturity date</t>
        </is>
      </c>
    </row>
    <row r="8" ht="43.5" customHeight="1" s="70">
      <c r="A8" s="11" t="inlineStr">
        <is>
          <t>Inputs</t>
        </is>
      </c>
      <c r="B8" s="12" t="inlineStr">
        <is>
          <t>Face Value (₹)</t>
        </is>
      </c>
      <c r="C8" s="38" t="n">
        <v>50000</v>
      </c>
      <c r="D8" s="11" t="inlineStr">
        <is>
          <t>Redemption and coupons scale off this</t>
        </is>
      </c>
    </row>
    <row r="9" ht="29" customHeight="1" s="70">
      <c r="A9" s="11" t="inlineStr">
        <is>
          <t>Inputs</t>
        </is>
      </c>
      <c r="B9" s="12" t="inlineStr">
        <is>
          <t>Coupon Rate (annual)</t>
        </is>
      </c>
      <c r="C9" s="39" t="n">
        <v>0.078</v>
      </c>
      <c r="D9" s="11" t="inlineStr">
        <is>
          <t>Enter as % (e.g., 8% = 0.08)</t>
        </is>
      </c>
    </row>
    <row r="10" ht="29" customHeight="1" s="70">
      <c r="A10" s="11" t="inlineStr">
        <is>
          <t>Inputs</t>
        </is>
      </c>
      <c r="B10" s="12" t="inlineStr">
        <is>
          <t>Required Yield/YTM (annual)</t>
        </is>
      </c>
      <c r="C10" s="39" t="n">
        <v>0.075</v>
      </c>
      <c r="D10" s="11" t="inlineStr">
        <is>
          <t>Enter as % (e.g., 7.5% = 0.075)</t>
        </is>
      </c>
    </row>
    <row r="11" ht="43.5" customHeight="1" s="70">
      <c r="A11" s="11" t="inlineStr">
        <is>
          <t>Inputs</t>
        </is>
      </c>
      <c r="B11" s="12" t="inlineStr">
        <is>
          <t>Market Price on Settlement Date (₹)</t>
        </is>
      </c>
      <c r="C11" s="38" t="n">
        <v>56200</v>
      </c>
      <c r="D11" s="11" t="inlineStr">
        <is>
          <t>Observed market price on settlement date</t>
        </is>
      </c>
    </row>
    <row r="12" ht="43.5" customHeight="1" s="70">
      <c r="A12" s="11" t="inlineStr">
        <is>
          <t>Inputs</t>
        </is>
      </c>
      <c r="B12" s="12" t="inlineStr">
        <is>
          <t>Coupon Frequency</t>
        </is>
      </c>
      <c r="C12" s="40" t="n">
        <v>2</v>
      </c>
      <c r="D12" s="11" t="inlineStr">
        <is>
          <t>1=Annual, 2=Semi-annual, 4=Quarterly, 12=Monthly</t>
        </is>
      </c>
    </row>
    <row r="13" ht="29" customHeight="1" s="70">
      <c r="A13" s="11" t="inlineStr">
        <is>
          <t>Inputs</t>
        </is>
      </c>
      <c r="B13" s="12" t="inlineStr">
        <is>
          <t>Redemption Premium/Discount (% of Face)</t>
        </is>
      </c>
      <c r="C13" s="39" t="n">
        <v>0.1000000000000001</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72" t="n"/>
      <c r="C31" s="72" t="n"/>
      <c r="D31" s="72" t="n"/>
      <c r="E31" s="72" t="n"/>
      <c r="F31" s="72" t="n"/>
      <c r="G31" s="72" t="n"/>
      <c r="H31" s="73" t="n"/>
    </row>
    <row r="32">
      <c r="C32" s="35" t="n"/>
    </row>
    <row r="33" ht="101.5" customHeight="1" s="70">
      <c r="A33" s="30" t="inlineStr">
        <is>
          <t>Sensitivity (mini table)</t>
        </is>
      </c>
      <c r="C33" s="35" t="n"/>
    </row>
    <row r="34">
      <c r="B34" s="21" t="inlineStr">
        <is>
          <t>Scenario values</t>
        </is>
      </c>
      <c r="C34" s="48" t="n">
        <v>0.065</v>
      </c>
      <c r="D34" s="22" t="n">
        <v>0.07000000000000001</v>
      </c>
      <c r="E34" s="22" t="n">
        <v>0.075</v>
      </c>
      <c r="F34" s="22" t="n">
        <v>0.08</v>
      </c>
      <c r="G34" s="22" t="n">
        <v>0.08500000000000001</v>
      </c>
    </row>
    <row r="35">
      <c r="B35" s="21" t="inlineStr">
        <is>
          <t>Intrinsic value (₹)</t>
        </is>
      </c>
      <c r="C35" s="49">
        <f>(PRICE($C$6,$C$7,$C$9,C$32,$C$12,$C$11,$C$13)/100)*$C$8</f>
        <v/>
      </c>
      <c r="D35" s="23">
        <f>(PRICE($C$6,$C$7,$C$9,D$32,$C$12,$C$11,$C$13)/100)*$C$8</f>
        <v/>
      </c>
      <c r="E35" s="23">
        <f>(PRICE($C$6,$C$7,$C$9,E$32,$C$12,$C$11,$C$13)/100)*$C$8</f>
        <v/>
      </c>
      <c r="F35" s="23">
        <f>(PRICE($C$6,$C$7,$C$9,F$32,$C$12,$C$11,$C$13)/100)*$C$8</f>
        <v/>
      </c>
      <c r="G35" s="23">
        <f>(PRICE($C$6,$C$7,$C$9,G$32,$C$12,$C$11,$C$13)/100)*$C$8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26:H26"/>
    <mergeCell ref="A15:H15"/>
    <mergeCell ref="A19:H19"/>
    <mergeCell ref="A1:H1"/>
    <mergeCell ref="B3:H3"/>
    <mergeCell ref="A31:H31"/>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06: Zeta Logistics Bond</t>
        </is>
      </c>
    </row>
    <row r="2" ht="15.5" customHeight="1" s="70">
      <c r="C2" s="35" t="n"/>
      <c r="H2" s="10" t="inlineStr">
        <is>
          <t>⬅ Back to Index</t>
        </is>
      </c>
    </row>
    <row r="3">
      <c r="A3" s="1" t="inlineStr">
        <is>
          <t>Learning focus:</t>
        </is>
      </c>
      <c r="B3" s="77" t="inlineStr">
        <is>
          <t>Coupon-rate sensitivity (mini table on coupon)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45352</v>
      </c>
      <c r="D6" s="11" t="inlineStr">
        <is>
          <t>Enter settlement date</t>
        </is>
      </c>
    </row>
    <row r="7" ht="29" customHeight="1" s="70">
      <c r="A7" s="11" t="inlineStr">
        <is>
          <t>Inputs</t>
        </is>
      </c>
      <c r="B7" s="12" t="inlineStr">
        <is>
          <t>Maturity Date</t>
        </is>
      </c>
      <c r="C7" s="37" t="n">
        <v>49004</v>
      </c>
      <c r="D7" s="11" t="inlineStr">
        <is>
          <t>Enter maturity date</t>
        </is>
      </c>
    </row>
    <row r="8" ht="43.5" customHeight="1" s="70">
      <c r="A8" s="11" t="inlineStr">
        <is>
          <t>Inputs</t>
        </is>
      </c>
      <c r="B8" s="12" t="inlineStr">
        <is>
          <t>Face Value (₹)</t>
        </is>
      </c>
      <c r="C8" s="38" t="n">
        <v>100000</v>
      </c>
      <c r="D8" s="11" t="inlineStr">
        <is>
          <t>Redemption and coupons scale off this</t>
        </is>
      </c>
    </row>
    <row r="9" ht="29" customHeight="1" s="70">
      <c r="A9" s="11" t="inlineStr">
        <is>
          <t>Inputs</t>
        </is>
      </c>
      <c r="B9" s="12" t="inlineStr">
        <is>
          <t>Coupon Rate (annual)</t>
        </is>
      </c>
      <c r="C9" s="39" t="n">
        <v>0.08</v>
      </c>
      <c r="D9" s="11" t="inlineStr">
        <is>
          <t>Enter as % (e.g., 8% = 0.08)</t>
        </is>
      </c>
    </row>
    <row r="10" ht="29" customHeight="1" s="70">
      <c r="A10" s="11" t="inlineStr">
        <is>
          <t>Inputs</t>
        </is>
      </c>
      <c r="B10" s="12" t="inlineStr">
        <is>
          <t>Required Yield/YTM (annual)</t>
        </is>
      </c>
      <c r="C10" s="39" t="n">
        <v>0.08</v>
      </c>
      <c r="D10" s="11" t="inlineStr">
        <is>
          <t>Enter as % (e.g., 7.5% = 0.075)</t>
        </is>
      </c>
    </row>
    <row r="11" ht="43.5" customHeight="1" s="70">
      <c r="A11" s="11" t="inlineStr">
        <is>
          <t>Inputs</t>
        </is>
      </c>
      <c r="B11" s="12" t="inlineStr">
        <is>
          <t>Market Price on Settlement Date (₹)</t>
        </is>
      </c>
      <c r="C11" s="38" t="n">
        <v>92000</v>
      </c>
      <c r="D11" s="11" t="inlineStr">
        <is>
          <t>Observed market price on settlement date</t>
        </is>
      </c>
    </row>
    <row r="12" ht="43.5" customHeight="1" s="70">
      <c r="A12" s="11" t="inlineStr">
        <is>
          <t>Inputs</t>
        </is>
      </c>
      <c r="B12" s="12" t="inlineStr">
        <is>
          <t>Coupon Frequency</t>
        </is>
      </c>
      <c r="C12" s="40" t="n">
        <v>1</v>
      </c>
      <c r="D12" s="11" t="inlineStr">
        <is>
          <t>1=Annual, 2=Semi-annual, 4=Quarterly, 12=Monthly</t>
        </is>
      </c>
    </row>
    <row r="13" ht="29" customHeight="1" s="70">
      <c r="A13" s="11" t="inlineStr">
        <is>
          <t>Inputs</t>
        </is>
      </c>
      <c r="B13" s="12" t="inlineStr">
        <is>
          <t>Redemption Premium/Discount (% of Face)</t>
        </is>
      </c>
      <c r="C13" s="39" t="n">
        <v>-0.03000000000000003</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72" t="n"/>
      <c r="C31" s="72" t="n"/>
      <c r="D31" s="72" t="n"/>
      <c r="E31" s="72" t="n"/>
      <c r="F31" s="72" t="n"/>
      <c r="G31" s="72" t="n"/>
      <c r="H31" s="73" t="n"/>
    </row>
    <row r="32">
      <c r="C32" s="35" t="n"/>
    </row>
    <row r="33" ht="101.5" customHeight="1" s="70">
      <c r="A33" s="30" t="inlineStr">
        <is>
          <t>Sensitivity (mini table)</t>
        </is>
      </c>
      <c r="C33" s="35" t="n"/>
    </row>
    <row r="34">
      <c r="B34" s="21" t="inlineStr">
        <is>
          <t>Scenario values</t>
        </is>
      </c>
      <c r="C34" s="48" t="n">
        <v>0.06</v>
      </c>
      <c r="D34" s="22" t="n">
        <v>0.07000000000000001</v>
      </c>
      <c r="E34" s="22" t="n">
        <v>0.08</v>
      </c>
      <c r="F34" s="22" t="n">
        <v>0.09</v>
      </c>
    </row>
    <row r="35">
      <c r="B35" s="21" t="inlineStr">
        <is>
          <t>Intrinsic value (₹)</t>
        </is>
      </c>
      <c r="C35" s="49">
        <f>(PRICE($C$6,$C$7,C$32,$C$10,$C$12,$C$11,$C$13)/100)*$C$8</f>
        <v/>
      </c>
      <c r="D35" s="23">
        <f>(PRICE($C$6,$C$7,D$32,$C$10,$C$12,$C$11,$C$13)/100)*$C$8</f>
        <v/>
      </c>
      <c r="E35" s="23">
        <f>(PRICE($C$6,$C$7,E$32,$C$10,$C$12,$C$11,$C$13)/100)*$C$8</f>
        <v/>
      </c>
      <c r="F35" s="23">
        <f>(PRICE($C$6,$C$7,F$32,$C$10,$C$12,$C$11,$C$13)/100)*$C$8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26:H26"/>
    <mergeCell ref="A15:H15"/>
    <mergeCell ref="A19:H19"/>
    <mergeCell ref="A1:H1"/>
    <mergeCell ref="B3:H3"/>
    <mergeCell ref="A31:H31"/>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07: Eta Digital Services Bond</t>
        </is>
      </c>
    </row>
    <row r="2" ht="15.5" customHeight="1" s="70">
      <c r="C2" s="35" t="n"/>
      <c r="H2" s="10" t="inlineStr">
        <is>
          <t>⬅ Back to Index</t>
        </is>
      </c>
    </row>
    <row r="3">
      <c r="A3" s="1" t="inlineStr">
        <is>
          <t>Learning focus:</t>
        </is>
      </c>
      <c r="B3" s="77" t="inlineStr">
        <is>
          <t>Effect of coupon payment frequency (compare 1/2/4/12)</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45519</v>
      </c>
      <c r="D6" s="11" t="inlineStr">
        <is>
          <t>Enter settlement date</t>
        </is>
      </c>
    </row>
    <row r="7" ht="29" customHeight="1" s="70">
      <c r="A7" s="11" t="inlineStr">
        <is>
          <t>Inputs</t>
        </is>
      </c>
      <c r="B7" s="12" t="inlineStr">
        <is>
          <t>Maturity Date</t>
        </is>
      </c>
      <c r="C7" s="37" t="n">
        <v>49720</v>
      </c>
      <c r="D7" s="11" t="inlineStr">
        <is>
          <t>Enter maturity date</t>
        </is>
      </c>
    </row>
    <row r="8" ht="43.5" customHeight="1" s="70">
      <c r="A8" s="11" t="inlineStr">
        <is>
          <t>Inputs</t>
        </is>
      </c>
      <c r="B8" s="12" t="inlineStr">
        <is>
          <t>Face Value (₹)</t>
        </is>
      </c>
      <c r="C8" s="38" t="n">
        <v>500000</v>
      </c>
      <c r="D8" s="11" t="inlineStr">
        <is>
          <t>Redemption and coupons scale off this</t>
        </is>
      </c>
    </row>
    <row r="9" ht="29" customHeight="1" s="70">
      <c r="A9" s="11" t="inlineStr">
        <is>
          <t>Inputs</t>
        </is>
      </c>
      <c r="B9" s="12" t="inlineStr">
        <is>
          <t>Coupon Rate (annual)</t>
        </is>
      </c>
      <c r="C9" s="39" t="n">
        <v>0.08500000000000001</v>
      </c>
      <c r="D9" s="11" t="inlineStr">
        <is>
          <t>Enter as % (e.g., 8% = 0.08)</t>
        </is>
      </c>
    </row>
    <row r="10" ht="29" customHeight="1" s="70">
      <c r="A10" s="11" t="inlineStr">
        <is>
          <t>Inputs</t>
        </is>
      </c>
      <c r="B10" s="12" t="inlineStr">
        <is>
          <t>Required Yield/YTM (annual)</t>
        </is>
      </c>
      <c r="C10" s="39" t="n">
        <v>0.082</v>
      </c>
      <c r="D10" s="11" t="inlineStr">
        <is>
          <t>Enter as % (e.g., 7.5% = 0.075)</t>
        </is>
      </c>
    </row>
    <row r="11" ht="43.5" customHeight="1" s="70">
      <c r="A11" s="11" t="inlineStr">
        <is>
          <t>Inputs</t>
        </is>
      </c>
      <c r="B11" s="12" t="inlineStr">
        <is>
          <t>Market Price on Settlement Date (₹)</t>
        </is>
      </c>
      <c r="C11" s="38" t="n">
        <v>535000</v>
      </c>
      <c r="D11" s="11" t="inlineStr">
        <is>
          <t>Observed market price on settlement date</t>
        </is>
      </c>
    </row>
    <row r="12" ht="43.5" customHeight="1" s="70">
      <c r="A12" s="11" t="inlineStr">
        <is>
          <t>Inputs</t>
        </is>
      </c>
      <c r="B12" s="12" t="inlineStr">
        <is>
          <t>Coupon Frequency</t>
        </is>
      </c>
      <c r="C12" s="40" t="n">
        <v>1</v>
      </c>
      <c r="D12" s="11" t="inlineStr">
        <is>
          <t>1=Annual, 2=Semi-annual, 4=Quarterly, 12=Monthly</t>
        </is>
      </c>
    </row>
    <row r="13" ht="29" customHeight="1" s="70">
      <c r="A13" s="11" t="inlineStr">
        <is>
          <t>Inputs</t>
        </is>
      </c>
      <c r="B13" s="12" t="inlineStr">
        <is>
          <t>Redemption Premium/Discount (% of Face)</t>
        </is>
      </c>
      <c r="C13" s="39" t="n">
        <v>0</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72" t="n"/>
      <c r="C31" s="72" t="n"/>
      <c r="D31" s="72" t="n"/>
      <c r="E31" s="72" t="n"/>
      <c r="F31" s="72" t="n"/>
      <c r="G31" s="72" t="n"/>
      <c r="H31" s="73" t="n"/>
    </row>
    <row r="32">
      <c r="C32" s="35" t="n"/>
    </row>
    <row r="33" ht="101.5" customHeight="1" s="70">
      <c r="A33" s="30" t="inlineStr">
        <is>
          <t>Sensitivity (mini table)</t>
        </is>
      </c>
      <c r="C33" s="35" t="n"/>
    </row>
    <row r="34">
      <c r="B34" s="21" t="inlineStr">
        <is>
          <t>Scenario values</t>
        </is>
      </c>
      <c r="C34" s="50" t="n">
        <v>1</v>
      </c>
      <c r="D34" s="24" t="n">
        <v>2</v>
      </c>
      <c r="E34" s="24" t="n">
        <v>4</v>
      </c>
      <c r="F34" s="24" t="n">
        <v>12</v>
      </c>
    </row>
    <row r="35">
      <c r="B35" s="21" t="inlineStr">
        <is>
          <t>Intrinsic value (₹)</t>
        </is>
      </c>
      <c r="C35" s="49">
        <f>(PRICE($C$6,$C$7,$C$9,$C$10,$C$12,C$32,$C$13)/100)*$C$8</f>
        <v/>
      </c>
      <c r="D35" s="23">
        <f>(PRICE($C$6,$C$7,$C$9,$C$10,$C$12,D$32,$C$13)/100)*$C$8</f>
        <v/>
      </c>
      <c r="E35" s="23">
        <f>(PRICE($C$6,$C$7,$C$9,$C$10,$C$12,E$32,$C$13)/100)*$C$8</f>
        <v/>
      </c>
      <c r="F35" s="23">
        <f>(PRICE($C$6,$C$7,$C$9,$C$10,$C$12,F$32,$C$13)/100)*$C$8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26:H26"/>
    <mergeCell ref="A15:H15"/>
    <mergeCell ref="A19:H19"/>
    <mergeCell ref="A1:H1"/>
    <mergeCell ref="B3:H3"/>
    <mergeCell ref="A31:H31"/>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08: Theta Renewable Power Bond</t>
        </is>
      </c>
    </row>
    <row r="2" ht="15.5" customHeight="1" s="70">
      <c r="C2" s="35" t="n"/>
      <c r="H2" s="10" t="inlineStr">
        <is>
          <t>⬅ Back to Index</t>
        </is>
      </c>
    </row>
    <row r="3">
      <c r="A3" s="1" t="inlineStr">
        <is>
          <t>Learning focus:</t>
        </is>
      </c>
      <c r="B3" s="77" t="inlineStr">
        <is>
          <t>Long maturity + discount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45566</v>
      </c>
      <c r="D6" s="11" t="inlineStr">
        <is>
          <t>Enter settlement date</t>
        </is>
      </c>
    </row>
    <row r="7" ht="29" customHeight="1" s="70">
      <c r="A7" s="11" t="inlineStr">
        <is>
          <t>Inputs</t>
        </is>
      </c>
      <c r="B7" s="12" t="inlineStr">
        <is>
          <t>Maturity Date</t>
        </is>
      </c>
      <c r="C7" s="37" t="n">
        <v>51044</v>
      </c>
      <c r="D7" s="11" t="inlineStr">
        <is>
          <t>Enter maturity date</t>
        </is>
      </c>
    </row>
    <row r="8" ht="43.5" customHeight="1" s="70">
      <c r="A8" s="11" t="inlineStr">
        <is>
          <t>Inputs</t>
        </is>
      </c>
      <c r="B8" s="12" t="inlineStr">
        <is>
          <t>Face Value (₹)</t>
        </is>
      </c>
      <c r="C8" s="38" t="n">
        <v>200000</v>
      </c>
      <c r="D8" s="11" t="inlineStr">
        <is>
          <t>Redemption and coupons scale off this</t>
        </is>
      </c>
    </row>
    <row r="9" ht="29" customHeight="1" s="70">
      <c r="A9" s="11" t="inlineStr">
        <is>
          <t>Inputs</t>
        </is>
      </c>
      <c r="B9" s="12" t="inlineStr">
        <is>
          <t>Coupon Rate (annual)</t>
        </is>
      </c>
      <c r="C9" s="39" t="n">
        <v>0.092</v>
      </c>
      <c r="D9" s="11" t="inlineStr">
        <is>
          <t>Enter as % (e.g., 8% = 0.08)</t>
        </is>
      </c>
    </row>
    <row r="10" ht="29" customHeight="1" s="70">
      <c r="A10" s="11" t="inlineStr">
        <is>
          <t>Inputs</t>
        </is>
      </c>
      <c r="B10" s="12" t="inlineStr">
        <is>
          <t>Required Yield/YTM (annual)</t>
        </is>
      </c>
      <c r="C10" s="39" t="n">
        <v>0.09</v>
      </c>
      <c r="D10" s="11" t="inlineStr">
        <is>
          <t>Enter as % (e.g., 7.5% = 0.075)</t>
        </is>
      </c>
    </row>
    <row r="11" ht="43.5" customHeight="1" s="70">
      <c r="A11" s="11" t="inlineStr">
        <is>
          <t>Inputs</t>
        </is>
      </c>
      <c r="B11" s="12" t="inlineStr">
        <is>
          <t>Market Price on Settlement Date (₹)</t>
        </is>
      </c>
      <c r="C11" s="38" t="n">
        <v>184000</v>
      </c>
      <c r="D11" s="11" t="inlineStr">
        <is>
          <t>Observed market price on settlement date</t>
        </is>
      </c>
    </row>
    <row r="12" ht="43.5" customHeight="1" s="70">
      <c r="A12" s="11" t="inlineStr">
        <is>
          <t>Inputs</t>
        </is>
      </c>
      <c r="B12" s="12" t="inlineStr">
        <is>
          <t>Coupon Frequency</t>
        </is>
      </c>
      <c r="C12" s="40" t="n">
        <v>4</v>
      </c>
      <c r="D12" s="11" t="inlineStr">
        <is>
          <t>1=Annual, 2=Semi-annual, 4=Quarterly, 12=Monthly</t>
        </is>
      </c>
    </row>
    <row r="13" ht="29" customHeight="1" s="70">
      <c r="A13" s="11" t="inlineStr">
        <is>
          <t>Inputs</t>
        </is>
      </c>
      <c r="B13" s="12" t="inlineStr">
        <is>
          <t>Redemption Premium/Discount (% of Face)</t>
        </is>
      </c>
      <c r="C13" s="39" t="n">
        <v>-0.07999999999999996</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09: Iota Urban Development Bond</t>
        </is>
      </c>
    </row>
    <row r="2" ht="15.5" customHeight="1" s="70">
      <c r="C2" s="35" t="n"/>
      <c r="H2" s="10" t="inlineStr">
        <is>
          <t>⬅ Back to Index</t>
        </is>
      </c>
    </row>
    <row r="3">
      <c r="A3" s="1" t="inlineStr">
        <is>
          <t>Learning focus:</t>
        </is>
      </c>
      <c r="B3" s="77" t="inlineStr">
        <is>
          <t>High coupon with discount redemption (semi-annual)</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45627</v>
      </c>
      <c r="D6" s="11" t="inlineStr">
        <is>
          <t>Enter settlement date</t>
        </is>
      </c>
    </row>
    <row r="7" ht="29" customHeight="1" s="70">
      <c r="A7" s="11" t="inlineStr">
        <is>
          <t>Inputs</t>
        </is>
      </c>
      <c r="B7" s="12" t="inlineStr">
        <is>
          <t>Maturity Date</t>
        </is>
      </c>
      <c r="C7" s="37" t="n">
        <v>50284</v>
      </c>
      <c r="D7" s="11" t="inlineStr">
        <is>
          <t>Enter maturity date</t>
        </is>
      </c>
    </row>
    <row r="8" ht="43.5" customHeight="1" s="70">
      <c r="A8" s="11" t="inlineStr">
        <is>
          <t>Inputs</t>
        </is>
      </c>
      <c r="B8" s="12" t="inlineStr">
        <is>
          <t>Face Value (₹)</t>
        </is>
      </c>
      <c r="C8" s="38" t="n">
        <v>75000</v>
      </c>
      <c r="D8" s="11" t="inlineStr">
        <is>
          <t>Redemption and coupons scale off this</t>
        </is>
      </c>
    </row>
    <row r="9" ht="29" customHeight="1" s="70">
      <c r="A9" s="11" t="inlineStr">
        <is>
          <t>Inputs</t>
        </is>
      </c>
      <c r="B9" s="12" t="inlineStr">
        <is>
          <t>Coupon Rate (annual)</t>
        </is>
      </c>
      <c r="C9" s="39" t="n">
        <v>0.1</v>
      </c>
      <c r="D9" s="11" t="inlineStr">
        <is>
          <t>Enter as % (e.g., 8% = 0.08)</t>
        </is>
      </c>
    </row>
    <row r="10" ht="29" customHeight="1" s="70">
      <c r="A10" s="11" t="inlineStr">
        <is>
          <t>Inputs</t>
        </is>
      </c>
      <c r="B10" s="12" t="inlineStr">
        <is>
          <t>Required Yield/YTM (annual)</t>
        </is>
      </c>
      <c r="C10" s="39" t="n">
        <v>0.08799999999999999</v>
      </c>
      <c r="D10" s="11" t="inlineStr">
        <is>
          <t>Enter as % (e.g., 7.5% = 0.075)</t>
        </is>
      </c>
    </row>
    <row r="11" ht="43.5" customHeight="1" s="70">
      <c r="A11" s="11" t="inlineStr">
        <is>
          <t>Inputs</t>
        </is>
      </c>
      <c r="B11" s="12" t="inlineStr">
        <is>
          <t>Market Price on Settlement Date (₹)</t>
        </is>
      </c>
      <c r="C11" s="38" t="n">
        <v>78800</v>
      </c>
      <c r="D11" s="11" t="inlineStr">
        <is>
          <t>Observed market price on settlement date</t>
        </is>
      </c>
    </row>
    <row r="12" ht="43.5" customHeight="1" s="70">
      <c r="A12" s="11" t="inlineStr">
        <is>
          <t>Inputs</t>
        </is>
      </c>
      <c r="B12" s="12" t="inlineStr">
        <is>
          <t>Coupon Frequency</t>
        </is>
      </c>
      <c r="C12" s="40" t="n">
        <v>2</v>
      </c>
      <c r="D12" s="11" t="inlineStr">
        <is>
          <t>1=Annual, 2=Semi-annual, 4=Quarterly, 12=Monthly</t>
        </is>
      </c>
    </row>
    <row r="13" ht="29" customHeight="1" s="70">
      <c r="A13" s="11" t="inlineStr">
        <is>
          <t>Inputs</t>
        </is>
      </c>
      <c r="B13" s="12" t="inlineStr">
        <is>
          <t>Redemption Premium/Discount (% of Face)</t>
        </is>
      </c>
      <c r="C13" s="39" t="n">
        <v>-0.05000000000000004</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20" t="inlineStr">
        <is>
          <t>PRICE returns a number?</t>
        </is>
      </c>
      <c r="C31" s="47">
        <f>IF(ISNUMBER(C23),"OK","Check inputs (PRICE error)")</f>
        <v/>
      </c>
      <c r="D31" s="78" t="n"/>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26:H26"/>
    <mergeCell ref="A15:H15"/>
    <mergeCell ref="A19:H19"/>
    <mergeCell ref="A1:H1"/>
    <mergeCell ref="B3:H3"/>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5"/>
  <cols>
    <col width="4" customWidth="1" style="70" min="1" max="1"/>
    <col width="30" customWidth="1" style="70" min="2" max="2"/>
    <col width="28" customWidth="1" style="70" min="3" max="3"/>
    <col width="18" customWidth="1" style="70" min="4" max="7"/>
    <col width="22" customWidth="1" style="70" min="8" max="8"/>
  </cols>
  <sheetData>
    <row r="1" ht="28" customHeight="1" s="70">
      <c r="A1" s="76" t="inlineStr">
        <is>
          <t>Case-let 10: Kappa Strategic Investment Bond</t>
        </is>
      </c>
    </row>
    <row r="2" ht="15.5" customHeight="1" s="70">
      <c r="C2" s="35" t="n"/>
      <c r="H2" s="10" t="inlineStr">
        <is>
          <t>⬅ Back to Index</t>
        </is>
      </c>
    </row>
    <row r="3">
      <c r="A3" s="1" t="inlineStr">
        <is>
          <t>Learning focus:</t>
        </is>
      </c>
      <c r="B3" s="77" t="inlineStr">
        <is>
          <t>Integrated case + yield sensitivity (monthly coupons, premium redemption)</t>
        </is>
      </c>
    </row>
    <row r="4">
      <c r="C4" s="35" t="n"/>
    </row>
    <row r="5" ht="46.5" customHeight="1" s="70">
      <c r="A5" s="5" t="inlineStr">
        <is>
          <t>SECTION</t>
        </is>
      </c>
      <c r="B5" s="5" t="inlineStr">
        <is>
          <t>LABEL</t>
        </is>
      </c>
      <c r="C5" s="36" t="inlineStr">
        <is>
          <t>VALUE</t>
        </is>
      </c>
      <c r="D5" s="5" t="inlineStr">
        <is>
          <t>NOTES</t>
        </is>
      </c>
      <c r="E5" s="5" t="n"/>
      <c r="F5" s="5" t="n"/>
      <c r="G5" s="5" t="n"/>
      <c r="H5" s="5" t="n"/>
    </row>
    <row r="6" ht="29" customHeight="1" s="70">
      <c r="A6" s="11" t="inlineStr">
        <is>
          <t>Inputs</t>
        </is>
      </c>
      <c r="B6" s="12" t="inlineStr">
        <is>
          <t>Settlement Date</t>
        </is>
      </c>
      <c r="C6" s="37" t="n">
        <v>45413</v>
      </c>
      <c r="D6" s="11" t="inlineStr">
        <is>
          <t>Enter settlement date</t>
        </is>
      </c>
    </row>
    <row r="7" ht="29" customHeight="1" s="70">
      <c r="A7" s="11" t="inlineStr">
        <is>
          <t>Inputs</t>
        </is>
      </c>
      <c r="B7" s="12" t="inlineStr">
        <is>
          <t>Maturity Date</t>
        </is>
      </c>
      <c r="C7" s="37" t="n">
        <v>50345</v>
      </c>
      <c r="D7" s="11" t="inlineStr">
        <is>
          <t>Enter maturity date</t>
        </is>
      </c>
    </row>
    <row r="8" ht="43.5" customHeight="1" s="70">
      <c r="A8" s="11" t="inlineStr">
        <is>
          <t>Inputs</t>
        </is>
      </c>
      <c r="B8" s="12" t="inlineStr">
        <is>
          <t>Face Value (₹)</t>
        </is>
      </c>
      <c r="C8" s="38" t="n">
        <v>300000</v>
      </c>
      <c r="D8" s="11" t="inlineStr">
        <is>
          <t>Redemption and coupons scale off this</t>
        </is>
      </c>
    </row>
    <row r="9" ht="29" customHeight="1" s="70">
      <c r="A9" s="11" t="inlineStr">
        <is>
          <t>Inputs</t>
        </is>
      </c>
      <c r="B9" s="12" t="inlineStr">
        <is>
          <t>Coupon Rate (annual)</t>
        </is>
      </c>
      <c r="C9" s="39" t="n">
        <v>0.08749999999999999</v>
      </c>
      <c r="D9" s="11" t="inlineStr">
        <is>
          <t>Enter as % (e.g., 8% = 0.08)</t>
        </is>
      </c>
    </row>
    <row r="10" ht="29" customHeight="1" s="70">
      <c r="A10" s="11" t="inlineStr">
        <is>
          <t>Inputs</t>
        </is>
      </c>
      <c r="B10" s="12" t="inlineStr">
        <is>
          <t>Required Yield/YTM (annual)</t>
        </is>
      </c>
      <c r="C10" s="39" t="n">
        <v>0.08500000000000001</v>
      </c>
      <c r="D10" s="11" t="inlineStr">
        <is>
          <t>Enter as % (e.g., 7.5% = 0.075)</t>
        </is>
      </c>
    </row>
    <row r="11" ht="43.5" customHeight="1" s="70">
      <c r="A11" s="11" t="inlineStr">
        <is>
          <t>Inputs</t>
        </is>
      </c>
      <c r="B11" s="12" t="inlineStr">
        <is>
          <t>Market Price on Settlement Date (₹)</t>
        </is>
      </c>
      <c r="C11" s="38" t="n">
        <v>328000</v>
      </c>
      <c r="D11" s="11" t="inlineStr">
        <is>
          <t>Observed market price on settlement date</t>
        </is>
      </c>
    </row>
    <row r="12" ht="43.5" customHeight="1" s="70">
      <c r="A12" s="11" t="inlineStr">
        <is>
          <t>Inputs</t>
        </is>
      </c>
      <c r="B12" s="12" t="inlineStr">
        <is>
          <t>Coupon Frequency</t>
        </is>
      </c>
      <c r="C12" s="40" t="n">
        <v>12</v>
      </c>
      <c r="D12" s="11" t="inlineStr">
        <is>
          <t>1=Annual, 2=Semi-annual, 4=Quarterly, 12=Monthly</t>
        </is>
      </c>
    </row>
    <row r="13" ht="29" customHeight="1" s="70">
      <c r="A13" s="11" t="inlineStr">
        <is>
          <t>Inputs</t>
        </is>
      </c>
      <c r="B13" s="12" t="inlineStr">
        <is>
          <t>Redemption Premium/Discount (% of Face)</t>
        </is>
      </c>
      <c r="C13" s="39" t="n">
        <v>0.08000000000000007</v>
      </c>
      <c r="D13" s="11" t="inlineStr">
        <is>
          <t>Enter premium as +0.05 for 105%, discount as -0.03 for 97% (used to derive redemption)</t>
        </is>
      </c>
    </row>
    <row r="14" ht="29" customHeight="1" s="70">
      <c r="A14" s="11" t="inlineStr">
        <is>
          <t>Inputs</t>
        </is>
      </c>
      <c r="B14" s="12" t="inlineStr">
        <is>
          <t>Take-home confirmation (Basis)</t>
        </is>
      </c>
      <c r="C14" s="40" t="n">
        <v>0</v>
      </c>
      <c r="D14" s="11" t="inlineStr">
        <is>
          <t>Use 0/1/2 as instructed</t>
        </is>
      </c>
    </row>
    <row r="15">
      <c r="A15" s="74" t="n"/>
      <c r="B15" s="72" t="n"/>
      <c r="C15" s="72" t="n"/>
      <c r="D15" s="72" t="n"/>
      <c r="E15" s="72" t="n"/>
      <c r="F15" s="72" t="n"/>
      <c r="G15" s="72" t="n"/>
      <c r="H15" s="73" t="n"/>
    </row>
    <row r="16" ht="29" customHeight="1" s="70">
      <c r="A16" s="29" t="inlineStr">
        <is>
          <t>Derived Inputs</t>
        </is>
      </c>
      <c r="B16" s="72" t="n"/>
      <c r="C16" s="41" t="n"/>
      <c r="D16" s="72" t="n"/>
      <c r="E16" s="72" t="n"/>
      <c r="F16" s="72" t="n"/>
      <c r="G16" s="72" t="n"/>
      <c r="H16" s="73" t="n"/>
    </row>
    <row r="17" ht="43.5" customHeight="1" s="70">
      <c r="A17" s="75" t="n"/>
      <c r="B17" s="15" t="inlineStr">
        <is>
          <t>Redemption for PRICE (per ₹100)</t>
        </is>
      </c>
      <c r="C17" s="42">
        <f>100*(1+C13)</f>
        <v/>
      </c>
      <c r="D17" s="75" t="inlineStr">
        <is>
          <t>Derived from premium/discount input (used in PRICE)</t>
        </is>
      </c>
    </row>
    <row r="18" ht="29" customHeight="1" s="70">
      <c r="A18" s="75" t="n"/>
      <c r="B18" s="15" t="inlineStr">
        <is>
          <t>Redemption Value at Maturity (₹)</t>
        </is>
      </c>
      <c r="C18" s="43">
        <f>C8*(1+C13)</f>
        <v/>
      </c>
      <c r="D18" s="75" t="inlineStr">
        <is>
          <t>Face Value × (1 + premium/discount)</t>
        </is>
      </c>
    </row>
    <row r="19">
      <c r="A19" s="75" t="n"/>
      <c r="B19" s="72" t="n"/>
      <c r="C19" s="72" t="n"/>
      <c r="D19" s="72" t="n"/>
      <c r="E19" s="72" t="n"/>
      <c r="F19" s="72" t="n"/>
      <c r="G19" s="72" t="n"/>
      <c r="H19" s="73" t="n"/>
    </row>
    <row r="20">
      <c r="A20" s="74" t="n"/>
      <c r="B20" s="74" t="n"/>
      <c r="C20" s="44" t="n"/>
      <c r="D20" s="74" t="n"/>
    </row>
    <row r="21" ht="43.5" customHeight="1" s="70">
      <c r="A21" s="16" t="inlineStr">
        <is>
          <t>Outputs</t>
        </is>
      </c>
      <c r="B21" s="72" t="n"/>
      <c r="C21" s="41" t="n"/>
      <c r="D21" s="72" t="n"/>
      <c r="E21" s="72" t="n"/>
      <c r="F21" s="72" t="n"/>
      <c r="G21" s="72" t="n"/>
      <c r="H21" s="73" t="n"/>
    </row>
    <row r="22">
      <c r="A22" s="74" t="n"/>
      <c r="B22" s="74" t="n"/>
      <c r="C22" s="44" t="n"/>
      <c r="D22" s="74" t="n"/>
    </row>
    <row r="23">
      <c r="A23" s="71" t="n"/>
      <c r="B23" s="18" t="inlineStr">
        <is>
          <t>PRICE per ₹100 face</t>
        </is>
      </c>
      <c r="C23" s="45">
        <f>PRICE(C6,C7,C9,C10,C17,C12,C14)</f>
        <v/>
      </c>
      <c r="D23" s="71" t="n"/>
    </row>
    <row r="24">
      <c r="A24" s="71" t="n"/>
      <c r="B24" s="18" t="inlineStr">
        <is>
          <t>Intrinsic value (₹) for Face Value</t>
        </is>
      </c>
      <c r="C24" s="46">
        <f>(C23/100)*C8</f>
        <v/>
      </c>
      <c r="D24" s="71" t="n"/>
    </row>
    <row r="25">
      <c r="A25" s="71" t="n"/>
      <c r="B25" s="18" t="inlineStr">
        <is>
          <t>Premium/Discount/Par</t>
        </is>
      </c>
      <c r="C25" s="51">
        <f>IF(C24&gt;C11,"Undervalued",IF(C24&lt;C11,"Overvalued","Fairly Valued"))</f>
        <v/>
      </c>
      <c r="D25" s="71" t="n"/>
    </row>
    <row r="26">
      <c r="A26" s="71" t="n"/>
      <c r="B26" s="72" t="n"/>
      <c r="C26" s="72" t="n"/>
      <c r="D26" s="72" t="n"/>
      <c r="E26" s="72" t="n"/>
      <c r="F26" s="72" t="n"/>
      <c r="G26" s="72" t="n"/>
      <c r="H26" s="73" t="n"/>
    </row>
    <row r="27">
      <c r="A27" s="74" t="n"/>
      <c r="B27" s="74" t="n"/>
      <c r="C27" s="44" t="n"/>
      <c r="D27" s="74" t="n"/>
    </row>
    <row r="28" ht="29" customHeight="1" s="70">
      <c r="A28" s="26" t="inlineStr">
        <is>
          <t>Checks</t>
        </is>
      </c>
      <c r="B28" s="72" t="n"/>
      <c r="C28" s="41" t="n"/>
      <c r="D28" s="72" t="n"/>
      <c r="E28" s="72" t="n"/>
      <c r="F28" s="72" t="n"/>
      <c r="G28" s="72" t="n"/>
      <c r="H28" s="73" t="n"/>
    </row>
    <row r="29">
      <c r="A29" s="78" t="n"/>
      <c r="B29" s="20" t="inlineStr">
        <is>
          <t>Frequency valid?</t>
        </is>
      </c>
      <c r="C29" s="47">
        <f>IF(OR(C12=1,C12=2,C12=4,C12=12),"OK","Invalid frequency")</f>
        <v/>
      </c>
      <c r="D29" s="78" t="n"/>
    </row>
    <row r="30">
      <c r="A30" s="78" t="n"/>
      <c r="B30" s="20" t="inlineStr">
        <is>
          <t>Basis valid?</t>
        </is>
      </c>
      <c r="C30" s="47">
        <f>IF(OR(C14=0,C14=1,C14=2),"OK","Invalid basis")</f>
        <v/>
      </c>
      <c r="D30" s="78" t="n"/>
    </row>
    <row r="31">
      <c r="A31" s="78" t="n"/>
      <c r="B31" s="72" t="n"/>
      <c r="C31" s="72" t="n"/>
      <c r="D31" s="72" t="n"/>
      <c r="E31" s="72" t="n"/>
      <c r="F31" s="72" t="n"/>
      <c r="G31" s="72" t="n"/>
      <c r="H31" s="73" t="n"/>
    </row>
    <row r="32">
      <c r="C32" s="35" t="n"/>
    </row>
    <row r="33" ht="101.5" customHeight="1" s="70">
      <c r="A33" s="30" t="inlineStr">
        <is>
          <t>Sensitivity (mini table)</t>
        </is>
      </c>
      <c r="C33" s="35" t="n"/>
    </row>
    <row r="34">
      <c r="B34" s="21" t="inlineStr">
        <is>
          <t>Scenario values</t>
        </is>
      </c>
      <c r="C34" s="48" t="n">
        <v>0.075</v>
      </c>
      <c r="D34" s="22" t="n">
        <v>0.08</v>
      </c>
      <c r="E34" s="22" t="n">
        <v>0.08500000000000001</v>
      </c>
      <c r="F34" s="22" t="n">
        <v>0.09</v>
      </c>
      <c r="G34" s="22" t="n">
        <v>0.095</v>
      </c>
    </row>
    <row r="35">
      <c r="B35" s="21" t="inlineStr">
        <is>
          <t>Intrinsic value (₹)</t>
        </is>
      </c>
      <c r="C35" s="49">
        <f>(PRICE($C$6,$C$7,$C$9,C$32,$C$12,$C$11,$C$13)/100)*$C$8</f>
        <v/>
      </c>
      <c r="D35" s="23">
        <f>(PRICE($C$6,$C$7,$C$9,D$32,$C$12,$C$11,$C$13)/100)*$C$8</f>
        <v/>
      </c>
      <c r="E35" s="23">
        <f>(PRICE($C$6,$C$7,$C$9,E$32,$C$12,$C$11,$C$13)/100)*$C$8</f>
        <v/>
      </c>
      <c r="F35" s="23">
        <f>(PRICE($C$6,$C$7,$C$9,F$32,$C$12,$C$11,$C$13)/100)*$C$8</f>
        <v/>
      </c>
      <c r="G35" s="23">
        <f>(PRICE($C$6,$C$7,$C$9,G$32,$C$12,$C$11,$C$13)/100)*$C$8</f>
        <v/>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26:H26"/>
    <mergeCell ref="A15:H15"/>
    <mergeCell ref="A19:H19"/>
    <mergeCell ref="A1:H1"/>
    <mergeCell ref="B3:H3"/>
    <mergeCell ref="A31:H31"/>
  </mergeCells>
  <conditionalFormatting sqref="C27:C29">
    <cfRule type="cellIs" priority="1" operator="equal" dxfId="1">
      <formula>"OK"</formula>
    </cfRule>
    <cfRule type="cellIs" priority="2" operator="notEqual" dxfId="0">
      <formula>"OK"</formula>
    </cfRule>
  </conditionalFormatting>
  <dataValidations count="2">
    <dataValidation sqref="C11" showDropDown="0" showInputMessage="0" showErrorMessage="0" allowBlank="0" type="list">
      <formula1>"1,2,4,12"</formula1>
    </dataValidation>
    <dataValidation sqref="C13" showDropDown="0" showInputMessage="0" showErrorMessage="0" allowBlank="0" type="list">
      <formula1>"0,1,2"</formula1>
    </dataValidation>
  </dataValidations>
  <hyperlinks>
    <hyperlink ref="H2" location="'INDEX'!A1" display="⬅ Back to Index"/>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2025-12-24T10:52:07Z</dcterms:created>
  <dcterms:modified xmlns:dcterms="http://purl.org/dc/terms/" xmlns:xsi="http://www.w3.org/2001/XMLSchema-instance" xsi:type="dcterms:W3CDTF">2026-01-02T07:07:41Z</dcterms:modified>
  <cp:lastModifiedBy>srikanthyadav444p</cp:lastModifiedBy>
</cp:coreProperties>
</file>