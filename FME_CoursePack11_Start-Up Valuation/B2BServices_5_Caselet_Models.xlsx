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AE3A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1_ManHour_Revenue" sheetId="2" state="visible" r:id="rId2"/>
    <sheet xmlns:r="http://schemas.openxmlformats.org/officeDocument/2006/relationships" name="C2_Utilization_Margin_Sensitivity" sheetId="3" state="visible" r:id="rId3"/>
    <sheet xmlns:r="http://schemas.openxmlformats.org/officeDocument/2006/relationships" name="C3_Scaling_Capacity_vs_Hiring" sheetId="4" state="visible" r:id="rId4"/>
    <sheet xmlns:r="http://schemas.openxmlformats.org/officeDocument/2006/relationships" name="C4_ClientConcentration_NormalizedEBITDA" sheetId="5" state="visible" r:id="rId5"/>
    <sheet xmlns:r="http://schemas.openxmlformats.org/officeDocument/2006/relationships" name="C5_EBITDA_Multiple_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,##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0563C1"/>
      <u val="single"/>
    </font>
    <font>
      <i val="1"/>
      <color rgb="00404040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11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3" fontId="0" fillId="4" borderId="1" applyAlignment="1" pivotButton="0" quotePrefix="0" xfId="0">
      <alignment horizontal="right" vertical="center" wrapText="1"/>
    </xf>
    <xf numFmtId="0" fontId="0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3" fontId="0" fillId="5" borderId="1" applyAlignment="1" pivotButton="0" quotePrefix="0" xfId="0">
      <alignment horizontal="right" vertical="center" wrapText="1"/>
    </xf>
    <xf numFmtId="10" fontId="0" fillId="4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left" vertical="top" wrapText="1"/>
    </xf>
    <xf numFmtId="164" fontId="0" fillId="6" borderId="1" applyAlignment="1" pivotButton="0" quotePrefix="0" xfId="0">
      <alignment horizontal="right" vertical="center" wrapText="1"/>
    </xf>
    <xf numFmtId="164" fontId="0" fillId="4" borderId="1" applyAlignment="1" pivotButton="0" quotePrefix="0" xfId="0">
      <alignment horizontal="right" vertical="center" wrapText="1"/>
    </xf>
    <xf numFmtId="0" fontId="0" fillId="7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0" fontId="0" fillId="5" borderId="1" applyAlignment="1" pivotButton="0" quotePrefix="0" xfId="0">
      <alignment horizontal="right" vertical="center" wrapText="1"/>
    </xf>
    <xf numFmtId="164" fontId="0" fillId="5" borderId="1" applyAlignment="1" pivotButton="0" quotePrefix="0" xfId="0">
      <alignment horizontal="right" vertical="center" wrapText="1"/>
    </xf>
    <xf numFmtId="10" fontId="0" fillId="6" borderId="1" applyAlignment="1" pivotButton="0" quotePrefix="0" xfId="0">
      <alignment horizontal="right" vertical="center" wrapText="1"/>
    </xf>
    <xf numFmtId="0" fontId="0" fillId="6" borderId="1" applyAlignment="1" pivotButton="0" quotePrefix="0" xfId="0">
      <alignment horizontal="left" vertical="top" wrapText="1"/>
    </xf>
    <xf numFmtId="4" fontId="0" fillId="5" borderId="1" applyAlignment="1" pivotButton="0" quotePrefix="0" xfId="0">
      <alignment horizontal="right" vertical="center" wrapText="1"/>
    </xf>
    <xf numFmtId="4" fontId="0" fillId="4" borderId="1" applyAlignment="1" pivotButton="0" quotePrefix="0" xfId="0">
      <alignment horizontal="right" vertical="center" wrapText="1"/>
    </xf>
    <xf numFmtId="4" fontId="0" fillId="6" borderId="1" applyAlignment="1" pivotButton="0" quotePrefix="0" xfId="0">
      <alignment horizontal="righ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FME Notes</author>
  </authors>
  <commentList>
    <comment ref="E8" authorId="0" shapeId="0">
      <text>
        <t>Billable hours = Total available hours × Utilization.
Utilization captures non-billable time (training, BD, admin).</t>
      </text>
    </comment>
    <comment ref="E9" authorId="0" shapeId="0">
      <text>
        <t>Revenue = Billable hours × Billing rate.
This is the core engine for services startups.</t>
      </text>
    </comment>
  </commentList>
</comments>
</file>

<file path=xl/comments/comment2.xml><?xml version="1.0" encoding="utf-8"?>
<comments xmlns="http://schemas.openxmlformats.org/spreadsheetml/2006/main">
  <authors>
    <author>FME Notes</author>
  </authors>
  <commentList>
    <comment ref="F7" authorId="0" shapeId="0">
      <text>
        <t>EBITDA = Revenue − (Headcount×Cost/Consultant) − Fixed overheads.
Salaries &amp; overheads are treated as fixed annually here.</t>
      </text>
    </comment>
    <comment ref="B16" authorId="0" shapeId="0">
      <text>
        <t>Break-even util = (Total fixed costs) / (Capacity hours × rate).
This is a quick analytic estimate (not interpolation).</t>
      </text>
    </comment>
  </commentList>
</comments>
</file>

<file path=xl/comments/comment3.xml><?xml version="1.0" encoding="utf-8"?>
<comments xmlns="http://schemas.openxmlformats.org/spreadsheetml/2006/main">
  <authors>
    <author>FME Notes</author>
  </authors>
  <commentList>
    <comment ref="E9" authorId="0" shapeId="0">
      <text>
        <t>Strategy A assumes same headcount; only utilization increases.
Revenue = Capacity × Util_new × Rate.</t>
      </text>
    </comment>
    <comment ref="E12" authorId="0" shapeId="0">
      <text>
        <t>Strategy B adds new hires with ramp utilization in Year 1.
Revenue = current team revenue + new hire revenue.</t>
      </text>
    </comment>
  </commentList>
</comments>
</file>

<file path=xl/comments/comment4.xml><?xml version="1.0" encoding="utf-8"?>
<comments xmlns="http://schemas.openxmlformats.org/spreadsheetml/2006/main">
  <authors>
    <author>FME Notes</author>
  </authors>
  <commentList>
    <comment ref="E8" authorId="0" shapeId="0">
      <text>
        <t>Split EBITDA by client:
Client EBITDA = Client revenue × Client margin.
Use this to assess dependence on one client.</t>
      </text>
    </comment>
    <comment ref="E11" authorId="0" shapeId="0">
      <text>
        <t>Normalization replaces premium client margin with a sustainable margin assumption.
Normalized EBITDA = Rest EBITDA + (Client revenue × Normalized margin).</t>
      </text>
    </comment>
  </commentList>
</comments>
</file>

<file path=xl/comments/comment5.xml><?xml version="1.0" encoding="utf-8"?>
<comments xmlns="http://schemas.openxmlformats.org/spreadsheetml/2006/main">
  <authors>
    <author>FME Notes</author>
  </authors>
  <commentList>
    <comment ref="B6" authorId="0" shapeId="0">
      <text>
        <t>Reported EBITDA is as per current financials.
Normalized EBITDA adjusts for concentration risk (Caselet 4).</t>
      </text>
    </comment>
    <comment ref="E6" authorId="0" shapeId="0">
      <text>
        <t>Convert ₹ to ₹ crore: divide by 1,00,00,000.
EV = EBITDA × Multiple × (1+Control premium).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1_ManHour_Revenue!A1" TargetMode="External" Id="rId1"/><Relationship Type="http://schemas.openxmlformats.org/officeDocument/2006/relationships/hyperlink" Target="#C2_Utilization_Margin_Sensitivity!A1" TargetMode="External" Id="rId2"/><Relationship Type="http://schemas.openxmlformats.org/officeDocument/2006/relationships/hyperlink" Target="#C3_Scaling_Capacity_vs_Hiring!A1" TargetMode="External" Id="rId3"/><Relationship Type="http://schemas.openxmlformats.org/officeDocument/2006/relationships/hyperlink" Target="#C4_ClientConcentration_NormalizedEBITDA!A1" TargetMode="External" Id="rId4"/><Relationship Type="http://schemas.openxmlformats.org/officeDocument/2006/relationships/hyperlink" Target="#C5_EBITDA_Multiple_Valuation!A1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#INDEX!A1" TargetMode="External" Id="rId1"/><Relationship Type="http://schemas.openxmlformats.org/officeDocument/2006/relationships/hyperlink" Target="#INDEX!A1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#INDEX!A1" TargetMode="External" Id="rId1"/><Relationship Type="http://schemas.openxmlformats.org/officeDocument/2006/relationships/hyperlink" Target="#INDEX!A1" TargetMode="Externa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#INDEX!A1" TargetMode="External" Id="rId1"/><Relationship Type="http://schemas.openxmlformats.org/officeDocument/2006/relationships/hyperlink" Target="#INDEX!A1" TargetMode="Externa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#INDEX!A1" TargetMode="External" Id="rId1"/><Relationship Type="http://schemas.openxmlformats.org/officeDocument/2006/relationships/hyperlink" Target="#INDEX!A1" TargetMode="Externa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INDEX!A1" TargetMode="External" Id="rId1"/><Relationship Type="http://schemas.openxmlformats.org/officeDocument/2006/relationships/hyperlink" Target="#INDEX!A1" TargetMode="External" Id="rId2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70" customWidth="1" min="3" max="3"/>
    <col width="26" customWidth="1" min="4" max="4"/>
  </cols>
  <sheetData>
    <row r="1" ht="26" customHeight="1">
      <c r="A1" s="1" t="inlineStr">
        <is>
          <t>Asset-Light B2B / Professional Services (DataSolve Analytics) – INDEX</t>
        </is>
      </c>
    </row>
    <row r="2"/>
    <row r="3">
      <c r="A3" s="2" t="inlineStr">
        <is>
          <t>Caselet</t>
        </is>
      </c>
      <c r="B3" s="2" t="inlineStr">
        <is>
          <t>Sheet</t>
        </is>
      </c>
      <c r="C3" s="2" t="inlineStr">
        <is>
          <t>Purpose</t>
        </is>
      </c>
      <c r="D3" s="2" t="inlineStr">
        <is>
          <t>Key Output</t>
        </is>
      </c>
    </row>
    <row r="4">
      <c r="A4" s="3" t="inlineStr">
        <is>
          <t>Caselet 1</t>
        </is>
      </c>
      <c r="B4" s="4" t="inlineStr">
        <is>
          <t>C1_ManHour_Revenue</t>
        </is>
      </c>
      <c r="C4" s="3" t="inlineStr">
        <is>
          <t>Capacity → Utilization → Billable hours → Revenue (annual).</t>
        </is>
      </c>
      <c r="D4" s="3" t="inlineStr">
        <is>
          <t>Annual revenue</t>
        </is>
      </c>
    </row>
    <row r="5">
      <c r="A5" s="3" t="inlineStr">
        <is>
          <t>Caselet 2</t>
        </is>
      </c>
      <c r="B5" s="4" t="inlineStr">
        <is>
          <t>C2_Utilization_Margin_Sensitivity</t>
        </is>
      </c>
      <c r="C5" s="3" t="inlineStr">
        <is>
          <t>EBITDA &amp; margin sensitivity to utilization (scenario table).</t>
        </is>
      </c>
      <c r="D5" s="3" t="inlineStr">
        <is>
          <t>Break-even util%</t>
        </is>
      </c>
    </row>
    <row r="6">
      <c r="A6" s="3" t="inlineStr">
        <is>
          <t>Caselet 3</t>
        </is>
      </c>
      <c r="B6" s="4" t="inlineStr">
        <is>
          <t>C3_Scaling_Capacity_vs_Hiring</t>
        </is>
      </c>
      <c r="C6" s="3" t="inlineStr">
        <is>
          <t>Strategy A (util uplift) vs Strategy B (hire + ramp).</t>
        </is>
      </c>
      <c r="D6" s="3" t="inlineStr">
        <is>
          <t>Best strategy</t>
        </is>
      </c>
    </row>
    <row r="7">
      <c r="A7" s="3" t="inlineStr">
        <is>
          <t>Caselet 4</t>
        </is>
      </c>
      <c r="B7" s="4" t="inlineStr">
        <is>
          <t>C4_ClientConcentration_NormalizedEBITDA</t>
        </is>
      </c>
      <c r="C7" s="3" t="inlineStr">
        <is>
          <t>Client concentration risk + normalized EBITDA.</t>
        </is>
      </c>
      <c r="D7" s="3" t="inlineStr">
        <is>
          <t>EBITDA haircut</t>
        </is>
      </c>
    </row>
    <row r="8">
      <c r="A8" s="3" t="inlineStr">
        <is>
          <t>Caselet 5</t>
        </is>
      </c>
      <c r="B8" s="4" t="inlineStr">
        <is>
          <t>C5_EBITDA_Multiple_Valuation</t>
        </is>
      </c>
      <c r="C8" s="3" t="inlineStr">
        <is>
          <t>EV range using EBITDA multiples (reported vs normalized).</t>
        </is>
      </c>
      <c r="D8" s="3" t="inlineStr">
        <is>
          <t>EV range ₹ cr</t>
        </is>
      </c>
    </row>
    <row r="9"/>
    <row r="10">
      <c r="A10" s="3" t="inlineStr">
        <is>
          <t>Legend: Inputs = YELLOW | Calculations = GREY | Outputs = GREEN | Checks = RED.  Edit ONLY yellow cells.</t>
        </is>
      </c>
      <c r="B10" s="30" t="n"/>
      <c r="C10" s="30" t="n"/>
      <c r="D10" s="31" t="n"/>
    </row>
    <row r="11">
      <c r="A11" s="32" t="n"/>
      <c r="B11" s="33" t="n"/>
      <c r="C11" s="33" t="n"/>
      <c r="D11" s="34" t="n"/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2">
    <mergeCell ref="A1:D1"/>
    <mergeCell ref="A10:D1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28" customWidth="1" min="4" max="4"/>
    <col width="18" customWidth="1" min="5" max="5"/>
  </cols>
  <sheetData>
    <row r="1" ht="26" customHeight="1">
      <c r="A1" s="6" t="inlineStr">
        <is>
          <t>DataSolve Analytics – Caselet 1: Man-Hour Based Revenue Model (Annual)</t>
        </is>
      </c>
    </row>
    <row r="2">
      <c r="A2" s="7" t="inlineStr">
        <is>
          <t>← Back to INDEX</t>
        </is>
      </c>
    </row>
    <row r="3">
      <c r="A3" s="8" t="inlineStr">
        <is>
          <t>Case context: Asset-light consulting startup. Revenue is driven by billable hours. Use capacity × utilization × billing rate to forecast annual revenue.</t>
        </is>
      </c>
      <c r="B3" s="35" t="n"/>
      <c r="C3" s="35" t="n"/>
      <c r="D3" s="35" t="n"/>
      <c r="E3" s="36" t="n"/>
    </row>
    <row r="4"/>
    <row r="5">
      <c r="A5" s="9" t="inlineStr">
        <is>
          <t>INPUTS (Edit yellow cells)</t>
        </is>
      </c>
      <c r="B5" s="35" t="n"/>
      <c r="C5" s="36" t="n"/>
      <c r="D5" s="9" t="inlineStr">
        <is>
          <t>CALCULATIONS / OUTPUTS</t>
        </is>
      </c>
      <c r="E5" s="36" t="n"/>
    </row>
    <row r="6">
      <c r="A6" s="10" t="inlineStr">
        <is>
          <t>Total consultants (headcount)</t>
        </is>
      </c>
      <c r="B6" s="11" t="n">
        <v>40</v>
      </c>
      <c r="C6" s="12" t="inlineStr">
        <is>
          <t>people</t>
        </is>
      </c>
      <c r="D6" s="13" t="inlineStr">
        <is>
          <t>Available hours / consultant / year</t>
        </is>
      </c>
      <c r="E6" s="14">
        <f>$B$7*$B$8</f>
        <v/>
      </c>
    </row>
    <row r="7">
      <c r="A7" s="10" t="inlineStr">
        <is>
          <t>Weeks per year</t>
        </is>
      </c>
      <c r="B7" s="11" t="n">
        <v>48</v>
      </c>
      <c r="C7" s="12" t="inlineStr">
        <is>
          <t>weeks</t>
        </is>
      </c>
      <c r="D7" s="13" t="inlineStr">
        <is>
          <t>Total available hours (all consultants)</t>
        </is>
      </c>
      <c r="E7" s="14">
        <f>$B$6*$E$6</f>
        <v/>
      </c>
    </row>
    <row r="8">
      <c r="A8" s="10" t="inlineStr">
        <is>
          <t>Hours per week</t>
        </is>
      </c>
      <c r="B8" s="11" t="n">
        <v>40</v>
      </c>
      <c r="C8" s="12" t="inlineStr">
        <is>
          <t>hours</t>
        </is>
      </c>
      <c r="D8" s="13" t="inlineStr">
        <is>
          <t>Total billable hours</t>
        </is>
      </c>
      <c r="E8" s="14">
        <f>$E$7*$B$9</f>
        <v/>
      </c>
    </row>
    <row r="9">
      <c r="A9" s="10" t="inlineStr">
        <is>
          <t>Utilization % (billable share)</t>
        </is>
      </c>
      <c r="B9" s="15" t="n">
        <v>0.65</v>
      </c>
      <c r="C9" s="12" t="inlineStr">
        <is>
          <t>%</t>
        </is>
      </c>
      <c r="D9" s="16" t="inlineStr">
        <is>
          <t>Annual revenue (₹)</t>
        </is>
      </c>
      <c r="E9" s="17">
        <f>$E$8*$B$10</f>
        <v/>
      </c>
    </row>
    <row r="10">
      <c r="A10" s="10" t="inlineStr">
        <is>
          <t>Blended billing rate (₹/hour)</t>
        </is>
      </c>
      <c r="B10" s="18" t="n">
        <v>3500</v>
      </c>
      <c r="C10" s="12" t="inlineStr">
        <is>
          <t>₹/hour</t>
        </is>
      </c>
      <c r="D10" s="16" t="inlineStr">
        <is>
          <t>Revenue per consultant (₹/year)</t>
        </is>
      </c>
      <c r="E10" s="17">
        <f>IF($B$6=0,0,$E$9/$B$6)</f>
        <v/>
      </c>
    </row>
    <row r="11"/>
    <row r="12">
      <c r="A12" s="9" t="inlineStr">
        <is>
          <t>CHECKS (Red)</t>
        </is>
      </c>
      <c r="B12" s="35" t="n"/>
      <c r="C12" s="36" t="n"/>
    </row>
    <row r="13">
      <c r="A13" s="19" t="inlineStr">
        <is>
          <t>Utilization in [0,100%]</t>
        </is>
      </c>
      <c r="B13" s="20">
        <f>AND($B$9&gt;=0,$B$9&lt;=1)</f>
        <v/>
      </c>
      <c r="C13" s="21">
        <f>IF(B13,"OK","CHECK")</f>
        <v/>
      </c>
    </row>
    <row r="14">
      <c r="A14" s="19" t="inlineStr">
        <is>
          <t>Billing rate &gt; 0</t>
        </is>
      </c>
      <c r="B14" s="20">
        <f>$B$10&gt;0</f>
        <v/>
      </c>
      <c r="C14" s="21">
        <f>IF(B14,"OK","CHECK")</f>
        <v/>
      </c>
    </row>
    <row r="15">
      <c r="A15" s="19" t="inlineStr">
        <is>
          <t>Revenue reconcile</t>
        </is>
      </c>
      <c r="B15" s="20">
        <f>ABS($E$9-($E$8*$B$10))&lt;0.01</f>
        <v/>
      </c>
      <c r="C15" s="21">
        <f>IF(B15,"OK","CHECK")</f>
        <v/>
      </c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5">
    <mergeCell ref="A5:C5"/>
    <mergeCell ref="D5:E5"/>
    <mergeCell ref="A1:E1"/>
    <mergeCell ref="A12:C12"/>
    <mergeCell ref="A3:E3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4" customWidth="1" min="3" max="3"/>
    <col width="20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6" t="inlineStr">
        <is>
          <t>DataSolve Analytics – Caselet 2: Utilization → EBITDA Sensitivity (Annual)</t>
        </is>
      </c>
    </row>
    <row r="2">
      <c r="A2" s="7" t="inlineStr">
        <is>
          <t>← Back to INDEX</t>
        </is>
      </c>
    </row>
    <row r="3">
      <c r="A3" s="8" t="inlineStr">
        <is>
          <t>Case context: Salaries and overheads are largely fixed short-run. Model EBITDA across utilization scenarios (60%–80%) to observe operating leverage.</t>
        </is>
      </c>
      <c r="B3" s="35" t="n"/>
      <c r="C3" s="35" t="n"/>
      <c r="D3" s="35" t="n"/>
      <c r="E3" s="35" t="n"/>
      <c r="F3" s="35" t="n"/>
      <c r="G3" s="36" t="n"/>
    </row>
    <row r="4"/>
    <row r="5">
      <c r="A5" s="9" t="inlineStr">
        <is>
          <t>INPUTS (Edit yellow cells)</t>
        </is>
      </c>
      <c r="B5" s="35" t="n"/>
      <c r="C5" s="36" t="n"/>
      <c r="D5" s="9" t="inlineStr">
        <is>
          <t>SCENARIO TABLE (Utilization)</t>
        </is>
      </c>
      <c r="E5" s="35" t="n"/>
      <c r="F5" s="35" t="n"/>
      <c r="G5" s="36" t="n"/>
    </row>
    <row r="6">
      <c r="A6" s="10" t="inlineStr">
        <is>
          <t>Total consultants (headcount)</t>
        </is>
      </c>
      <c r="B6" s="11" t="n">
        <v>40</v>
      </c>
      <c r="C6" s="12" t="inlineStr">
        <is>
          <t>people</t>
        </is>
      </c>
      <c r="D6" s="22" t="inlineStr">
        <is>
          <t>Utilization</t>
        </is>
      </c>
      <c r="E6" s="22" t="inlineStr">
        <is>
          <t>Revenue (₹)</t>
        </is>
      </c>
      <c r="F6" s="22" t="inlineStr">
        <is>
          <t>EBITDA (₹)</t>
        </is>
      </c>
      <c r="G6" s="22" t="inlineStr">
        <is>
          <t>EBITDA Margin %</t>
        </is>
      </c>
    </row>
    <row r="7">
      <c r="A7" s="10" t="inlineStr">
        <is>
          <t>Weeks per year</t>
        </is>
      </c>
      <c r="B7" s="11" t="n">
        <v>48</v>
      </c>
      <c r="C7" s="12" t="inlineStr">
        <is>
          <t>weeks</t>
        </is>
      </c>
      <c r="D7" s="23" t="n">
        <v>0.6</v>
      </c>
      <c r="E7" s="24">
        <f>$B$6*$B$7*$B$8*D7*$B$9</f>
        <v/>
      </c>
      <c r="F7" s="24">
        <f>E7-($B$10*$B$6)-$B$11</f>
        <v/>
      </c>
      <c r="G7" s="23">
        <f>IF(E7=0,0,F7/E7)</f>
        <v/>
      </c>
    </row>
    <row r="8">
      <c r="A8" s="10" t="inlineStr">
        <is>
          <t>Hours per week</t>
        </is>
      </c>
      <c r="B8" s="11" t="n">
        <v>40</v>
      </c>
      <c r="C8" s="12" t="inlineStr">
        <is>
          <t>hours</t>
        </is>
      </c>
      <c r="D8" s="23" t="n">
        <v>0.65</v>
      </c>
      <c r="E8" s="24">
        <f>$B$6*$B$7*$B$8*D8*$B$9</f>
        <v/>
      </c>
      <c r="F8" s="24">
        <f>E8-($B$10*$B$6)-$B$11</f>
        <v/>
      </c>
      <c r="G8" s="23">
        <f>IF(E8=0,0,F8/E8)</f>
        <v/>
      </c>
    </row>
    <row r="9">
      <c r="A9" s="10" t="inlineStr">
        <is>
          <t>Blended billing rate (₹/hour)</t>
        </is>
      </c>
      <c r="B9" s="18" t="n">
        <v>3500</v>
      </c>
      <c r="C9" s="12" t="inlineStr">
        <is>
          <t>₹/hour</t>
        </is>
      </c>
      <c r="D9" s="23" t="n">
        <v>0.7</v>
      </c>
      <c r="E9" s="24">
        <f>$B$6*$B$7*$B$8*D9*$B$9</f>
        <v/>
      </c>
      <c r="F9" s="24">
        <f>E9-($B$10*$B$6)-$B$11</f>
        <v/>
      </c>
      <c r="G9" s="23">
        <f>IF(E9=0,0,F9/E9)</f>
        <v/>
      </c>
    </row>
    <row r="10">
      <c r="A10" s="10" t="inlineStr">
        <is>
          <t>Cost per consultant / year (₹)</t>
        </is>
      </c>
      <c r="B10" s="18" t="n">
        <v>1800000</v>
      </c>
      <c r="C10" s="12" t="inlineStr">
        <is>
          <t>₹/year</t>
        </is>
      </c>
      <c r="D10" s="23" t="n">
        <v>0.75</v>
      </c>
      <c r="E10" s="24">
        <f>$B$6*$B$7*$B$8*D10*$B$9</f>
        <v/>
      </c>
      <c r="F10" s="24">
        <f>E10-($B$10*$B$6)-$B$11</f>
        <v/>
      </c>
      <c r="G10" s="23">
        <f>IF(E10=0,0,F10/E10)</f>
        <v/>
      </c>
    </row>
    <row r="11">
      <c r="A11" s="10" t="inlineStr">
        <is>
          <t>Fixed overheads / year (₹)</t>
        </is>
      </c>
      <c r="B11" s="18" t="n">
        <v>30000000</v>
      </c>
      <c r="C11" s="12" t="inlineStr">
        <is>
          <t>₹/year</t>
        </is>
      </c>
      <c r="D11" s="23" t="n">
        <v>0.8</v>
      </c>
      <c r="E11" s="24">
        <f>$B$6*$B$7*$B$8*D11*$B$9</f>
        <v/>
      </c>
      <c r="F11" s="24">
        <f>E11-($B$10*$B$6)-$B$11</f>
        <v/>
      </c>
      <c r="G11" s="23">
        <f>IF(E11=0,0,F11/E11)</f>
        <v/>
      </c>
    </row>
    <row r="12"/>
    <row r="13">
      <c r="A13" s="9" t="inlineStr">
        <is>
          <t>OUTPUTS (Green)</t>
        </is>
      </c>
      <c r="B13" s="35" t="n"/>
      <c r="C13" s="36" t="n"/>
    </row>
    <row r="14">
      <c r="A14" s="16" t="inlineStr">
        <is>
          <t>Base-case utilization</t>
        </is>
      </c>
      <c r="B14" s="25" t="n">
        <v>0.65</v>
      </c>
    </row>
    <row r="15">
      <c r="A15" s="16" t="inlineStr">
        <is>
          <t>EBITDA at base-case (₹)</t>
        </is>
      </c>
      <c r="B15" s="17">
        <f>INDEX($F$7:$F$11, MATCH($B$14,$D$7:$D$11,0))</f>
        <v/>
      </c>
    </row>
    <row r="16">
      <c r="A16" s="16" t="inlineStr">
        <is>
          <t>Break-even utilization (approx.)</t>
        </is>
      </c>
      <c r="B16" s="25">
        <f>IFERROR( ($B$10*$B$6+$B$11) / ($B$6*$B$7*$B$8*$B$9), 0 )</f>
        <v/>
      </c>
    </row>
    <row r="17">
      <c r="A17" s="16" t="inlineStr">
        <is>
          <t>Break-even utilization (%)</t>
        </is>
      </c>
      <c r="B17" s="25">
        <f>$B$16</f>
        <v/>
      </c>
    </row>
    <row r="18"/>
    <row r="19">
      <c r="A19" s="9" t="inlineStr">
        <is>
          <t>CHECKS (Red)</t>
        </is>
      </c>
      <c r="B19" s="35" t="n"/>
      <c r="C19" s="36" t="n"/>
    </row>
    <row r="20">
      <c r="A20" s="19" t="inlineStr">
        <is>
          <t>Rate &gt; 0</t>
        </is>
      </c>
      <c r="B20" s="20">
        <f>$B$9&gt;0</f>
        <v/>
      </c>
      <c r="C20" s="21">
        <f>IF(B20,"OK","CHECK")</f>
        <v/>
      </c>
    </row>
    <row r="21">
      <c r="A21" s="19" t="inlineStr">
        <is>
          <t>Costs non-negative</t>
        </is>
      </c>
      <c r="B21" s="20">
        <f>AND($B$10&gt;=0,$B$11&gt;=0)</f>
        <v/>
      </c>
      <c r="C21" s="21">
        <f>IF(B21,"OK","CHECK")</f>
        <v/>
      </c>
    </row>
    <row r="22">
      <c r="A22" s="19" t="inlineStr">
        <is>
          <t>Break-even util ≤ 100%</t>
        </is>
      </c>
      <c r="B22" s="20">
        <f>$B$16&lt;=1</f>
        <v/>
      </c>
      <c r="C22" s="21">
        <f>IF(B22,"OK","CHECK")</f>
        <v/>
      </c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6">
    <mergeCell ref="A13:C13"/>
    <mergeCell ref="A19:C19"/>
    <mergeCell ref="A1:G1"/>
    <mergeCell ref="A5:C5"/>
    <mergeCell ref="A3:G3"/>
    <mergeCell ref="D5:G5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4" customWidth="1" min="3" max="3"/>
    <col width="22" customWidth="1" min="4" max="4"/>
    <col width="18" customWidth="1" min="5" max="5"/>
    <col width="18" customWidth="1" min="6" max="6"/>
  </cols>
  <sheetData>
    <row r="1" ht="26" customHeight="1">
      <c r="A1" s="6" t="inlineStr">
        <is>
          <t>DataSolve Analytics – Caselet 3: Scale via Utilization vs Hiring (Annual)</t>
        </is>
      </c>
    </row>
    <row r="2">
      <c r="A2" s="7" t="inlineStr">
        <is>
          <t>← Back to INDEX</t>
        </is>
      </c>
    </row>
    <row r="3">
      <c r="A3" s="8" t="inlineStr">
        <is>
          <t>Case context: Target ~30% growth. Compare Strategy A (utilization uplift) vs Strategy B (hire + ramp). Recommend based on EBITDA.</t>
        </is>
      </c>
      <c r="B3" s="35" t="n"/>
      <c r="C3" s="35" t="n"/>
      <c r="D3" s="35" t="n"/>
      <c r="E3" s="35" t="n"/>
      <c r="F3" s="36" t="n"/>
    </row>
    <row r="4"/>
    <row r="5">
      <c r="A5" s="9" t="inlineStr">
        <is>
          <t>INPUTS (Edit yellow cells)</t>
        </is>
      </c>
      <c r="B5" s="35" t="n"/>
      <c r="C5" s="36" t="n"/>
      <c r="D5" s="9" t="inlineStr">
        <is>
          <t>CALCULATIONS (Strategy A vs B)</t>
        </is>
      </c>
      <c r="E5" s="35" t="n"/>
      <c r="F5" s="36" t="n"/>
    </row>
    <row r="6">
      <c r="A6" s="10" t="inlineStr">
        <is>
          <t>Current consultants (headcount)</t>
        </is>
      </c>
      <c r="B6" s="11" t="n">
        <v>40</v>
      </c>
      <c r="C6" s="12" t="inlineStr">
        <is>
          <t>people</t>
        </is>
      </c>
      <c r="D6" s="13" t="inlineStr">
        <is>
          <t>Baseline revenue (₹)</t>
        </is>
      </c>
      <c r="E6" s="24">
        <f>$B$6*$B$7*$B$8*$B$9*$B$10</f>
        <v/>
      </c>
    </row>
    <row r="7">
      <c r="A7" s="10" t="inlineStr">
        <is>
          <t>Weeks per year</t>
        </is>
      </c>
      <c r="B7" s="11" t="n">
        <v>48</v>
      </c>
      <c r="C7" s="12" t="inlineStr">
        <is>
          <t>weeks</t>
        </is>
      </c>
      <c r="D7" s="13" t="inlineStr">
        <is>
          <t>Baseline EBITDA (₹)</t>
        </is>
      </c>
      <c r="E7" s="24">
        <f>E6-($B$11*$B$6)-$B$12</f>
        <v/>
      </c>
    </row>
    <row r="8">
      <c r="A8" s="10" t="inlineStr">
        <is>
          <t>Hours per week</t>
        </is>
      </c>
      <c r="B8" s="11" t="n">
        <v>40</v>
      </c>
      <c r="C8" s="12" t="inlineStr">
        <is>
          <t>hours</t>
        </is>
      </c>
    </row>
    <row r="9">
      <c r="A9" s="10" t="inlineStr">
        <is>
          <t>Current utilization %</t>
        </is>
      </c>
      <c r="B9" s="15" t="n">
        <v>0.65</v>
      </c>
      <c r="C9" s="12" t="inlineStr">
        <is>
          <t>%</t>
        </is>
      </c>
      <c r="D9" s="13" t="inlineStr">
        <is>
          <t>Strategy A revenue (₹)</t>
        </is>
      </c>
      <c r="E9" s="24">
        <f>$B$6*$B$7*$B$8*$B$14*$B$10</f>
        <v/>
      </c>
    </row>
    <row r="10">
      <c r="A10" s="10" t="inlineStr">
        <is>
          <t>Billing rate (₹/hour)</t>
        </is>
      </c>
      <c r="B10" s="18" t="n">
        <v>3500</v>
      </c>
      <c r="C10" s="12" t="inlineStr">
        <is>
          <t>₹/hour</t>
        </is>
      </c>
      <c r="D10" s="13" t="inlineStr">
        <is>
          <t>Strategy A EBITDA (₹)</t>
        </is>
      </c>
      <c r="E10" s="24">
        <f>E9-($B$11*$B$6)-$B$12</f>
        <v/>
      </c>
    </row>
    <row r="11">
      <c r="A11" s="10" t="inlineStr">
        <is>
          <t>Cost per consultant / year (₹)</t>
        </is>
      </c>
      <c r="B11" s="18" t="n">
        <v>1800000</v>
      </c>
      <c r="C11" s="12" t="inlineStr">
        <is>
          <t>₹/year</t>
        </is>
      </c>
    </row>
    <row r="12">
      <c r="A12" s="10" t="inlineStr">
        <is>
          <t>Fixed overheads / year (₹)</t>
        </is>
      </c>
      <c r="B12" s="18" t="n">
        <v>30000000</v>
      </c>
      <c r="C12" s="12" t="inlineStr">
        <is>
          <t>₹/year</t>
        </is>
      </c>
      <c r="D12" s="13" t="inlineStr">
        <is>
          <t>Strategy B revenue (₹)</t>
        </is>
      </c>
      <c r="E12" s="24">
        <f>($B$6*$B$7*$B$8*$B$9*$B$10) + ($B$15*$B$7*$B$8*$B$16*$B$10)</f>
        <v/>
      </c>
    </row>
    <row r="13">
      <c r="A13" s="10" t="inlineStr">
        <is>
          <t>Target revenue growth % (reference)</t>
        </is>
      </c>
      <c r="B13" s="15" t="n">
        <v>0.3</v>
      </c>
      <c r="C13" s="12" t="inlineStr">
        <is>
          <t>%</t>
        </is>
      </c>
      <c r="D13" s="13" t="inlineStr">
        <is>
          <t>Strategy B EBITDA (₹)</t>
        </is>
      </c>
      <c r="E13" s="24">
        <f>E12-($B$11*$B$6)-($B$17*$B$15)-$B$12</f>
        <v/>
      </c>
    </row>
    <row r="14">
      <c r="A14" s="10" t="inlineStr">
        <is>
          <t>Strategy A: utilization uplift to</t>
        </is>
      </c>
      <c r="B14" s="15" t="n">
        <v>0.75</v>
      </c>
      <c r="C14" s="12" t="inlineStr">
        <is>
          <t>%</t>
        </is>
      </c>
    </row>
    <row r="15">
      <c r="A15" s="10" t="inlineStr">
        <is>
          <t>Strategy B: new hires (count)</t>
        </is>
      </c>
      <c r="B15" s="11" t="n">
        <v>10</v>
      </c>
      <c r="C15" s="12" t="inlineStr">
        <is>
          <t>people</t>
        </is>
      </c>
    </row>
    <row r="16">
      <c r="A16" s="10" t="inlineStr">
        <is>
          <t>New hire ramp utilization (Year 1)</t>
        </is>
      </c>
      <c r="B16" s="15" t="n">
        <v>0.5</v>
      </c>
      <c r="C16" s="12" t="inlineStr">
        <is>
          <t>%</t>
        </is>
      </c>
    </row>
    <row r="17">
      <c r="A17" s="10" t="inlineStr">
        <is>
          <t>Cost per new hire / year (₹)</t>
        </is>
      </c>
      <c r="B17" s="18" t="n">
        <v>2000000</v>
      </c>
      <c r="C17" s="12" t="inlineStr">
        <is>
          <t>₹/year</t>
        </is>
      </c>
    </row>
    <row r="18"/>
    <row r="19">
      <c r="A19" s="9" t="inlineStr">
        <is>
          <t>OUTPUTS (Green)</t>
        </is>
      </c>
      <c r="B19" s="35" t="n"/>
      <c r="C19" s="36" t="n"/>
    </row>
    <row r="20">
      <c r="A20" s="16" t="inlineStr">
        <is>
          <t>Revenue growth (A vs baseline)</t>
        </is>
      </c>
      <c r="B20" s="25">
        <f>IF($E$6=0,0,$E$9/$E$6-1)</f>
        <v/>
      </c>
    </row>
    <row r="21">
      <c r="A21" s="16" t="inlineStr">
        <is>
          <t>Revenue growth (B vs baseline)</t>
        </is>
      </c>
      <c r="B21" s="25">
        <f>IF($E$6=0,0,$E$12/$E$6-1)</f>
        <v/>
      </c>
    </row>
    <row r="22">
      <c r="A22" s="16" t="inlineStr">
        <is>
          <t>Δ EBITDA (A − baseline)</t>
        </is>
      </c>
      <c r="B22" s="17">
        <f>$E$10-$E$7</f>
        <v/>
      </c>
    </row>
    <row r="23">
      <c r="A23" s="16" t="inlineStr">
        <is>
          <t>Δ EBITDA (B − baseline)</t>
        </is>
      </c>
      <c r="B23" s="17">
        <f>$E$13-$E$7</f>
        <v/>
      </c>
    </row>
    <row r="24">
      <c r="A24" s="16" t="inlineStr">
        <is>
          <t>Recommended strategy (higher EBITDA)</t>
        </is>
      </c>
      <c r="B24" s="26">
        <f>IF($E$10&gt;$E$13,"Strategy A","Strategy B")</f>
        <v/>
      </c>
    </row>
    <row r="25"/>
    <row r="26">
      <c r="A26" s="9" t="inlineStr">
        <is>
          <t>CHECKS (Red)</t>
        </is>
      </c>
      <c r="B26" s="35" t="n"/>
      <c r="C26" s="36" t="n"/>
    </row>
    <row r="27">
      <c r="A27" s="19" t="inlineStr">
        <is>
          <t>Utilization bounds</t>
        </is>
      </c>
      <c r="B27" s="20">
        <f>AND($B$9&gt;=0,$B$9&lt;=1,$B$14&gt;=0,$B$14&lt;=1,$B$16&gt;=0,$B$16&lt;=1)</f>
        <v/>
      </c>
      <c r="C27" s="21">
        <f>IF(B27,"OK","CHECK")</f>
        <v/>
      </c>
    </row>
    <row r="28">
      <c r="A28" s="19" t="inlineStr">
        <is>
          <t>New hires ≥ 0</t>
        </is>
      </c>
      <c r="B28" s="20">
        <f>$B$15&gt;=0</f>
        <v/>
      </c>
      <c r="C28" s="21">
        <f>IF(B28,"OK","CHECK")</f>
        <v/>
      </c>
    </row>
    <row r="29">
      <c r="A29" s="19" t="inlineStr">
        <is>
          <t>Rate &gt; 0</t>
        </is>
      </c>
      <c r="B29" s="20">
        <f>$B$10&gt;0</f>
        <v/>
      </c>
      <c r="C29" s="21">
        <f>IF(B29,"OK","CHECK")</f>
        <v/>
      </c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6">
    <mergeCell ref="A19:C19"/>
    <mergeCell ref="D5:F5"/>
    <mergeCell ref="A5:C5"/>
    <mergeCell ref="A1:F1"/>
    <mergeCell ref="A3:F3"/>
    <mergeCell ref="A26:C26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4" customWidth="1" min="3" max="3"/>
    <col width="30" customWidth="1" min="4" max="4"/>
    <col width="18" customWidth="1" min="5" max="5"/>
  </cols>
  <sheetData>
    <row r="1" ht="26" customHeight="1">
      <c r="A1" s="6" t="inlineStr">
        <is>
          <t>DataSolve Analytics – Caselet 4: Client Concentration &amp; Normalized EBITDA</t>
        </is>
      </c>
    </row>
    <row r="2">
      <c r="A2" s="7" t="inlineStr">
        <is>
          <t>← Back to INDEX</t>
        </is>
      </c>
    </row>
    <row r="3">
      <c r="A3" s="8" t="inlineStr">
        <is>
          <t>Case context: A large BFSI client contributes ~38% revenue with premium margins. Normalize EBITDA to reflect sustainability and deal risk.</t>
        </is>
      </c>
      <c r="B3" s="35" t="n"/>
      <c r="C3" s="35" t="n"/>
      <c r="D3" s="35" t="n"/>
      <c r="E3" s="36" t="n"/>
    </row>
    <row r="4"/>
    <row r="5">
      <c r="A5" s="9" t="inlineStr">
        <is>
          <t>INPUTS (Edit yellow cells)</t>
        </is>
      </c>
      <c r="B5" s="35" t="n"/>
      <c r="C5" s="36" t="n"/>
      <c r="D5" s="9" t="inlineStr">
        <is>
          <t>CALCULATIONS / OUTPUTS</t>
        </is>
      </c>
      <c r="E5" s="36" t="n"/>
    </row>
    <row r="6">
      <c r="A6" s="10" t="inlineStr">
        <is>
          <t>Total revenue (₹)</t>
        </is>
      </c>
      <c r="B6" s="18" t="n">
        <v>280000000</v>
      </c>
      <c r="C6" s="12" t="inlineStr">
        <is>
          <t>₹</t>
        </is>
      </c>
      <c r="D6" s="13" t="inlineStr">
        <is>
          <t>Reported EBITDA (₹)</t>
        </is>
      </c>
      <c r="E6" s="24">
        <f>$B$6*$B$8</f>
        <v/>
      </c>
    </row>
    <row r="7">
      <c r="A7" s="10" t="inlineStr">
        <is>
          <t>Largest client revenue share %</t>
        </is>
      </c>
      <c r="B7" s="15" t="n">
        <v>0.38</v>
      </c>
      <c r="C7" s="12" t="inlineStr">
        <is>
          <t>%</t>
        </is>
      </c>
      <c r="D7" s="13" t="inlineStr">
        <is>
          <t>Largest client revenue (₹)</t>
        </is>
      </c>
      <c r="E7" s="24">
        <f>$B$6*$B$7</f>
        <v/>
      </c>
    </row>
    <row r="8">
      <c r="A8" s="10" t="inlineStr">
        <is>
          <t>Overall EBITDA margin % (reported)</t>
        </is>
      </c>
      <c r="B8" s="15" t="n">
        <v>0.22</v>
      </c>
      <c r="C8" s="12" t="inlineStr">
        <is>
          <t>%</t>
        </is>
      </c>
      <c r="D8" s="13" t="inlineStr">
        <is>
          <t>Largest client EBITDA (₹)</t>
        </is>
      </c>
      <c r="E8" s="24">
        <f>$E$7*$B$9</f>
        <v/>
      </c>
    </row>
    <row r="9">
      <c r="A9" s="10" t="inlineStr">
        <is>
          <t>Largest client EBITDA margin %</t>
        </is>
      </c>
      <c r="B9" s="15" t="n">
        <v>0.3</v>
      </c>
      <c r="C9" s="12" t="inlineStr">
        <is>
          <t>%</t>
        </is>
      </c>
      <c r="D9" s="13" t="inlineStr">
        <is>
          <t>Rest-of-business EBITDA (₹)</t>
        </is>
      </c>
      <c r="E9" s="24">
        <f>$E$6-$E$8</f>
        <v/>
      </c>
    </row>
    <row r="10">
      <c r="A10" s="10" t="inlineStr">
        <is>
          <t>Normalized margin assumption %</t>
        </is>
      </c>
      <c r="B10" s="15" t="n">
        <v>0.18</v>
      </c>
      <c r="C10" s="12" t="inlineStr">
        <is>
          <t>%</t>
        </is>
      </c>
      <c r="D10" s="13" t="inlineStr">
        <is>
          <t>Normalized client EBITDA (₹)</t>
        </is>
      </c>
      <c r="E10" s="24">
        <f>$E$7*$B$10</f>
        <v/>
      </c>
    </row>
    <row r="11">
      <c r="D11" s="16" t="inlineStr">
        <is>
          <t>Normalized EBITDA (₹)</t>
        </is>
      </c>
      <c r="E11" s="17">
        <f>$E$9+$E$10</f>
        <v/>
      </c>
    </row>
    <row r="12">
      <c r="D12" s="16" t="inlineStr">
        <is>
          <t>EBITDA haircut (₹)</t>
        </is>
      </c>
      <c r="E12" s="17">
        <f>$E$6-$E$11</f>
        <v/>
      </c>
    </row>
    <row r="13">
      <c r="D13" s="16" t="inlineStr">
        <is>
          <t>EBITDA haircut (%)</t>
        </is>
      </c>
      <c r="E13" s="25">
        <f>IF($E$6=0,0,$E$12/$E$6)</f>
        <v/>
      </c>
    </row>
    <row r="14"/>
    <row r="15">
      <c r="A15" s="9" t="inlineStr">
        <is>
          <t>CHECKS (Red)</t>
        </is>
      </c>
      <c r="B15" s="35" t="n"/>
      <c r="C15" s="36" t="n"/>
    </row>
    <row r="16">
      <c r="A16" s="19" t="inlineStr">
        <is>
          <t>Client share in [0,100%]</t>
        </is>
      </c>
      <c r="B16" s="20">
        <f>AND($B$7&gt;=0,$B$7&lt;=1)</f>
        <v/>
      </c>
      <c r="C16" s="21">
        <f>IF(B16,"OK","CHECK")</f>
        <v/>
      </c>
    </row>
    <row r="17">
      <c r="A17" s="19" t="inlineStr">
        <is>
          <t>Margins in [0,100%]</t>
        </is>
      </c>
      <c r="B17" s="20">
        <f>AND($B$8&gt;=0,$B$8&lt;=1,$B$9&gt;=0,$B$9&lt;=1,$B$10&gt;=0,$B$10&lt;=1)</f>
        <v/>
      </c>
      <c r="C17" s="21">
        <f>IF(B17,"OK","CHECK")</f>
        <v/>
      </c>
    </row>
    <row r="18">
      <c r="A18" s="19" t="inlineStr">
        <is>
          <t>EBITDA reconcile</t>
        </is>
      </c>
      <c r="B18" s="20">
        <f>ABS($E$6-($B$6*$B$8))&lt;0.01</f>
        <v/>
      </c>
      <c r="C18" s="21">
        <f>IF(B18,"OK","CHECK")</f>
        <v/>
      </c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5">
    <mergeCell ref="A5:C5"/>
    <mergeCell ref="D5:E5"/>
    <mergeCell ref="A1:E1"/>
    <mergeCell ref="A15:C15"/>
    <mergeCell ref="A3:E3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20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6" t="inlineStr">
        <is>
          <t>DataSolve Analytics – Caselet 5: EBITDA Multiple Valuation (₹ crore)</t>
        </is>
      </c>
    </row>
    <row r="2">
      <c r="A2" s="7" t="inlineStr">
        <is>
          <t>← Back to INDEX</t>
        </is>
      </c>
    </row>
    <row r="3">
      <c r="A3" s="8" t="inlineStr">
        <is>
          <t>Case context: Buyer values DataSolve using EBITDA multiples (6×–9×). Compute EV range on both reported and normalized EBITDA and express in ₹ crore.</t>
        </is>
      </c>
      <c r="B3" s="35" t="n"/>
      <c r="C3" s="35" t="n"/>
      <c r="D3" s="35" t="n"/>
      <c r="E3" s="35" t="n"/>
      <c r="F3" s="35" t="n"/>
      <c r="G3" s="36" t="n"/>
    </row>
    <row r="4"/>
    <row r="5">
      <c r="A5" s="9" t="inlineStr">
        <is>
          <t>INPUTS (Edit yellow cells)</t>
        </is>
      </c>
      <c r="B5" s="35" t="n"/>
      <c r="C5" s="36" t="n"/>
      <c r="D5" s="9" t="inlineStr">
        <is>
          <t>CALCULATIONS (EV)</t>
        </is>
      </c>
      <c r="E5" s="35" t="n"/>
      <c r="F5" s="35" t="n"/>
      <c r="G5" s="36" t="n"/>
    </row>
    <row r="6">
      <c r="A6" s="10" t="inlineStr">
        <is>
          <t>Reported EBITDA (₹)</t>
        </is>
      </c>
      <c r="B6" s="18" t="n">
        <v>62000000</v>
      </c>
      <c r="C6" s="12" t="inlineStr">
        <is>
          <t>₹</t>
        </is>
      </c>
      <c r="D6" s="13" t="inlineStr">
        <is>
          <t>EV (Reported) Low (₹ cr)</t>
        </is>
      </c>
      <c r="E6" s="27">
        <f>($B$6*$B$8)*(1+$B$11)/10000000</f>
        <v/>
      </c>
    </row>
    <row r="7">
      <c r="A7" s="10" t="inlineStr">
        <is>
          <t>Normalized EBITDA (₹)</t>
        </is>
      </c>
      <c r="B7" s="18" t="n">
        <v>50000000</v>
      </c>
      <c r="C7" s="12" t="inlineStr">
        <is>
          <t>₹</t>
        </is>
      </c>
      <c r="D7" s="13" t="inlineStr">
        <is>
          <t>EV (Reported) High (₹ cr)</t>
        </is>
      </c>
      <c r="E7" s="27">
        <f>($B$6*$B$10)*(1+$B$11)/10000000</f>
        <v/>
      </c>
    </row>
    <row r="8">
      <c r="A8" s="10" t="inlineStr">
        <is>
          <t>Multiple – Low</t>
        </is>
      </c>
      <c r="B8" s="28" t="n">
        <v>6</v>
      </c>
      <c r="C8" s="12" t="inlineStr">
        <is>
          <t>x</t>
        </is>
      </c>
      <c r="D8" s="13" t="inlineStr">
        <is>
          <t>EV (Normalized) Low (₹ cr)</t>
        </is>
      </c>
      <c r="E8" s="27">
        <f>($B$7*$B$8)*(1+$B$11)/10000000</f>
        <v/>
      </c>
    </row>
    <row r="9">
      <c r="A9" s="10" t="inlineStr">
        <is>
          <t>Multiple – Base</t>
        </is>
      </c>
      <c r="B9" s="28" t="n">
        <v>7.5</v>
      </c>
      <c r="C9" s="12" t="inlineStr">
        <is>
          <t>x</t>
        </is>
      </c>
      <c r="D9" s="13" t="inlineStr">
        <is>
          <t>EV (Normalized) High (₹ cr)</t>
        </is>
      </c>
      <c r="E9" s="27">
        <f>($B$7*$B$10)*(1+$B$11)/10000000</f>
        <v/>
      </c>
    </row>
    <row r="10">
      <c r="A10" s="10" t="inlineStr">
        <is>
          <t>Multiple – High</t>
        </is>
      </c>
      <c r="B10" s="28" t="n">
        <v>9</v>
      </c>
      <c r="C10" s="12" t="inlineStr">
        <is>
          <t>x</t>
        </is>
      </c>
    </row>
    <row r="11">
      <c r="A11" s="10" t="inlineStr">
        <is>
          <t>Control premium % (optional)</t>
        </is>
      </c>
      <c r="B11" s="15" t="n">
        <v>0</v>
      </c>
      <c r="C11" s="12" t="inlineStr">
        <is>
          <t>%</t>
        </is>
      </c>
    </row>
    <row r="12"/>
    <row r="13">
      <c r="A13" s="9" t="inlineStr">
        <is>
          <t>OUTPUTS (Green)</t>
        </is>
      </c>
      <c r="B13" s="35" t="n"/>
      <c r="C13" s="36" t="n"/>
    </row>
    <row r="14">
      <c r="A14" s="16" t="inlineStr">
        <is>
          <t>Valuation range (Reported, ₹ cr)</t>
        </is>
      </c>
      <c r="B14" s="26">
        <f>TEXT($E$6,"0.00")&amp;" – "&amp;TEXT($E$7,"0.00")</f>
        <v/>
      </c>
    </row>
    <row r="15">
      <c r="A15" s="16" t="inlineStr">
        <is>
          <t>Valuation range (Normalized, ₹ cr)</t>
        </is>
      </c>
      <c r="B15" s="26">
        <f>TEXT($E$8,"0.00")&amp;" – "&amp;TEXT($E$9,"0.00")</f>
        <v/>
      </c>
    </row>
    <row r="16">
      <c r="A16" s="16" t="inlineStr">
        <is>
          <t>Valuation haircut due to normalization (₹ cr)</t>
        </is>
      </c>
      <c r="B16" s="29">
        <f>($E$7-$E$9)</f>
        <v/>
      </c>
    </row>
    <row r="17"/>
    <row r="18">
      <c r="A18" s="9" t="inlineStr">
        <is>
          <t>CHECKS (Red)</t>
        </is>
      </c>
      <c r="B18" s="35" t="n"/>
      <c r="C18" s="36" t="n"/>
    </row>
    <row r="19">
      <c r="A19" s="19" t="inlineStr">
        <is>
          <t>Multiples &gt; 0</t>
        </is>
      </c>
      <c r="B19" s="20">
        <f>MIN($B$8:$B$10)&gt;0</f>
        <v/>
      </c>
      <c r="C19" s="21">
        <f>IF(B19,"OK","CHECK")</f>
        <v/>
      </c>
    </row>
    <row r="20">
      <c r="A20" s="19" t="inlineStr">
        <is>
          <t>EBITDA ≥ 0</t>
        </is>
      </c>
      <c r="B20" s="20">
        <f>AND($B$6&gt;=0,$B$7&gt;=0)</f>
        <v/>
      </c>
      <c r="C20" s="21">
        <f>IF(B20,"OK","CHECK")</f>
        <v/>
      </c>
    </row>
    <row r="21">
      <c r="A21" s="19" t="inlineStr">
        <is>
          <t>Premium in [0,100%]</t>
        </is>
      </c>
      <c r="B21" s="20">
        <f>AND($B$11&gt;=0,$B$11&lt;=1)</f>
        <v/>
      </c>
      <c r="C21" s="21">
        <f>IF(B21,"OK","CHECK")</f>
        <v/>
      </c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6">
    <mergeCell ref="A13:C13"/>
    <mergeCell ref="A1:G1"/>
    <mergeCell ref="A5:C5"/>
    <mergeCell ref="A3:G3"/>
    <mergeCell ref="A18:C18"/>
    <mergeCell ref="D5:G5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2025-12-19T12:16:51Z</dcterms:created>
  <dcterms:modified xmlns:dcterms="http://purl.org/dc/terms/" xmlns:xsi="http://www.w3.org/2001/XMLSchema-instance" xsi:type="dcterms:W3CDTF">2026-01-02T07:10:16Z</dcterms:modified>
</cp:coreProperties>
</file>