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comments/comment3.xml" ContentType="application/vnd.openxmlformats-officedocument.spreadsheetml.comments+xml"/>
  <Override PartName="/xl/worksheets/sheet5.xml" ContentType="application/vnd.openxmlformats-officedocument.spreadsheetml.worksheet+xml"/>
  <Override PartName="/xl/comments/comment4.xml" ContentType="application/vnd.openxmlformats-officedocument.spreadsheetml.comments+xml"/>
  <Override PartName="/xl/worksheets/sheet6.xml" ContentType="application/vnd.openxmlformats-officedocument.spreadsheetml.worksheet+xml"/>
  <Override PartName="/xl/comments/comment5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 workbookPassword="AE3A" lockStructure="1"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EX" sheetId="1" state="visible" r:id="rId1"/>
    <sheet xmlns:r="http://schemas.openxmlformats.org/officeDocument/2006/relationships" name="C1_Traffic_AdRevenue_CPM" sheetId="2" state="visible" r:id="rId2"/>
    <sheet xmlns:r="http://schemas.openxmlformats.org/officeDocument/2006/relationships" name="C2_AdsPlus_Subscriptions" sheetId="3" state="visible" r:id="rId3"/>
    <sheet xmlns:r="http://schemas.openxmlformats.org/officeDocument/2006/relationships" name="C3_Engagement_ARPU_Scenarios" sheetId="4" state="visible" r:id="rId4"/>
    <sheet xmlns:r="http://schemas.openxmlformats.org/officeDocument/2006/relationships" name="C4_Breakeven_Traffic" sheetId="5" state="visible" r:id="rId5"/>
    <sheet xmlns:r="http://schemas.openxmlformats.org/officeDocument/2006/relationships" name="C5_Scenarios_Valuation_RevenueMultipl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₹#,##,##0"/>
    <numFmt numFmtId="165" formatCode="₹#,##,##0.00"/>
  </numFmts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  <sz val="11"/>
    </font>
    <font>
      <b val="1"/>
      <color rgb="000563C1"/>
      <u val="single"/>
    </font>
    <font>
      <b val="1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F5597"/>
      </patternFill>
    </fill>
    <fill>
      <patternFill patternType="solid">
        <fgColor rgb="00FFF2CC"/>
      </patternFill>
    </fill>
    <fill>
      <patternFill patternType="solid">
        <fgColor rgb="00F2F2F2"/>
      </patternFill>
    </fill>
    <fill>
      <patternFill patternType="solid">
        <fgColor rgb="00E2F0D9"/>
      </patternFill>
    </fill>
    <fill>
      <patternFill patternType="solid">
        <fgColor rgb="00F8CBAD"/>
      </patternFill>
    </fill>
  </fills>
  <borders count="11">
    <border>
      <left/>
      <right/>
      <top/>
      <bottom/>
      <diagonal/>
    </border>
    <border>
      <left style="thin">
        <color rgb="00A6A6A6"/>
      </left>
      <right style="thin">
        <color rgb="00A6A6A6"/>
      </right>
      <top style="thin">
        <color rgb="00A6A6A6"/>
      </top>
      <bottom style="thin">
        <color rgb="00A6A6A6"/>
      </bottom>
    </border>
    <border>
      <left/>
      <right/>
      <top style="thin">
        <color rgb="00A6A6A6"/>
      </top>
      <bottom/>
      <diagonal/>
    </border>
    <border>
      <left style="thin">
        <color rgb="00A6A6A6"/>
      </left>
      <right/>
      <top/>
      <bottom/>
      <diagonal/>
    </border>
    <border>
      <left/>
      <right style="thin">
        <color rgb="00A6A6A6"/>
      </right>
      <top style="thin">
        <color rgb="00A6A6A6"/>
      </top>
      <bottom/>
      <diagonal/>
    </border>
    <border>
      <left/>
      <right style="thin">
        <color rgb="00A6A6A6"/>
      </right>
      <top/>
      <bottom/>
      <diagonal/>
    </border>
    <border>
      <left style="thin">
        <color rgb="00A6A6A6"/>
      </left>
      <right/>
      <top/>
      <bottom style="thin">
        <color rgb="00A6A6A6"/>
      </bottom>
      <diagonal/>
    </border>
    <border>
      <left/>
      <right/>
      <top/>
      <bottom style="thin">
        <color rgb="00A6A6A6"/>
      </bottom>
      <diagonal/>
    </border>
    <border>
      <left/>
      <right style="thin">
        <color rgb="00A6A6A6"/>
      </right>
      <top/>
      <bottom style="thin">
        <color rgb="00A6A6A6"/>
      </bottom>
      <diagonal/>
    </border>
    <border>
      <left/>
      <right/>
      <top style="thin">
        <color rgb="00A6A6A6"/>
      </top>
      <bottom style="thin">
        <color rgb="00A6A6A6"/>
      </bottom>
      <diagonal/>
    </border>
    <border>
      <left/>
      <right style="thin">
        <color rgb="00A6A6A6"/>
      </right>
      <top style="thin">
        <color rgb="00A6A6A6"/>
      </top>
      <bottom style="thin">
        <color rgb="00A6A6A6"/>
      </bottom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/>
    </xf>
    <xf numFmtId="0" fontId="3" fillId="0" borderId="1" applyAlignment="1" pivotButton="0" quotePrefix="0" xfId="0">
      <alignment horizontal="left" vertical="top" wrapText="1"/>
    </xf>
    <xf numFmtId="0" fontId="0" fillId="0" borderId="1" pivotButton="0" quotePrefix="0" xfId="0"/>
    <xf numFmtId="0" fontId="3" fillId="2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2" fillId="3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left" vertical="top" wrapText="1"/>
    </xf>
    <xf numFmtId="3" fontId="0" fillId="4" borderId="1" applyAlignment="1" pivotButton="0" quotePrefix="0" xfId="0">
      <alignment horizontal="right" vertical="center" wrapText="1"/>
    </xf>
    <xf numFmtId="0" fontId="4" fillId="5" borderId="1" applyAlignment="1" pivotButton="0" quotePrefix="0" xfId="0">
      <alignment horizontal="center" vertical="center" wrapText="1"/>
    </xf>
    <xf numFmtId="10" fontId="0" fillId="4" borderId="1" applyAlignment="1" pivotButton="0" quotePrefix="0" xfId="0">
      <alignment horizontal="right" vertical="center" wrapText="1"/>
    </xf>
    <xf numFmtId="0" fontId="4" fillId="5" borderId="1" applyAlignment="1" pivotButton="0" quotePrefix="0" xfId="0">
      <alignment horizontal="left" vertical="top" wrapText="1"/>
    </xf>
    <xf numFmtId="3" fontId="0" fillId="5" borderId="1" applyAlignment="1" pivotButton="0" quotePrefix="0" xfId="0">
      <alignment horizontal="right" vertical="center" wrapText="1"/>
    </xf>
    <xf numFmtId="4" fontId="0" fillId="4" borderId="1" applyAlignment="1" pivotButton="0" quotePrefix="0" xfId="0">
      <alignment horizontal="right" vertical="center" wrapText="1"/>
    </xf>
    <xf numFmtId="164" fontId="0" fillId="4" borderId="1" applyAlignment="1" pivotButton="0" quotePrefix="0" xfId="0">
      <alignment horizontal="right" vertical="center" wrapText="1"/>
    </xf>
    <xf numFmtId="164" fontId="0" fillId="5" borderId="1" applyAlignment="1" pivotButton="0" quotePrefix="0" xfId="0">
      <alignment horizontal="right" vertical="center" wrapText="1"/>
    </xf>
    <xf numFmtId="0" fontId="4" fillId="6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center" vertical="center" wrapText="1"/>
    </xf>
    <xf numFmtId="164" fontId="0" fillId="6" borderId="1" applyAlignment="1" pivotButton="0" quotePrefix="0" xfId="0">
      <alignment horizontal="right" vertical="center" wrapText="1"/>
    </xf>
    <xf numFmtId="0" fontId="0" fillId="7" borderId="1" applyAlignment="1" pivotButton="0" quotePrefix="0" xfId="0">
      <alignment horizontal="left" vertical="top" wrapText="1"/>
    </xf>
    <xf numFmtId="0" fontId="0" fillId="7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10" fontId="0" fillId="5" borderId="1" applyAlignment="1" pivotButton="0" quotePrefix="0" xfId="0">
      <alignment horizontal="right" vertical="center" wrapText="1"/>
    </xf>
    <xf numFmtId="165" fontId="0" fillId="5" borderId="1" applyAlignment="1" pivotButton="0" quotePrefix="0" xfId="0">
      <alignment horizontal="right" vertical="center" wrapText="1"/>
    </xf>
    <xf numFmtId="0" fontId="4" fillId="6" borderId="1" applyAlignment="1" pivotButton="0" quotePrefix="0" xfId="0">
      <alignment horizontal="left" vertical="top" wrapText="1"/>
    </xf>
    <xf numFmtId="165" fontId="0" fillId="6" borderId="1" applyAlignment="1" pivotButton="0" quotePrefix="0" xfId="0">
      <alignment horizontal="right" vertical="center" wrapText="1"/>
    </xf>
    <xf numFmtId="10" fontId="0" fillId="6" borderId="1" applyAlignment="1" pivotButton="0" quotePrefix="0" xfId="0">
      <alignment horizontal="right" vertical="center" wrapText="1"/>
    </xf>
    <xf numFmtId="3" fontId="0" fillId="6" borderId="1" applyAlignment="1" pivotButton="0" quotePrefix="0" xfId="0">
      <alignment horizontal="right" vertical="center" wrapText="1"/>
    </xf>
    <xf numFmtId="0" fontId="2" fillId="3" borderId="1" applyAlignment="1" pivotButton="0" quotePrefix="0" xfId="0">
      <alignment horizontal="center" vertical="center" wrapText="1"/>
    </xf>
    <xf numFmtId="165" fontId="0" fillId="4" borderId="1" applyAlignment="1" pivotButton="0" quotePrefix="0" xfId="0">
      <alignment horizontal="right" vertical="center" wrapText="1"/>
    </xf>
    <xf numFmtId="0" fontId="0" fillId="4" borderId="1" applyAlignment="1" pivotButton="0" quotePrefix="0" xfId="0">
      <alignment horizontal="left" vertical="top" wrapText="1"/>
    </xf>
    <xf numFmtId="0" fontId="0" fillId="5" borderId="1" applyAlignment="1" pivotButton="0" quotePrefix="0" xfId="0">
      <alignment horizontal="left" vertical="top" wrapText="1"/>
    </xf>
    <xf numFmtId="4" fontId="0" fillId="5" borderId="1" applyAlignment="1" pivotButton="0" quotePrefix="0" xfId="0">
      <alignment horizontal="right" vertical="center" wrapText="1"/>
    </xf>
    <xf numFmtId="0" fontId="0" fillId="6" borderId="1" applyAlignment="1" pivotButton="0" quotePrefix="0" xfId="0">
      <alignment horizontal="left" vertical="top" wrapText="1"/>
    </xf>
    <xf numFmtId="4" fontId="0" fillId="6" borderId="1" applyAlignment="1" pivotButton="0" quotePrefix="0" xfId="0">
      <alignment horizontal="right" vertical="center" wrapText="1"/>
    </xf>
    <xf numFmtId="0" fontId="0" fillId="0" borderId="2" pivotButton="0" quotePrefix="0" xfId="0"/>
    <xf numFmtId="0" fontId="0" fillId="0" borderId="4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omments/comment1.xml><?xml version="1.0" encoding="utf-8"?>
<comments xmlns="http://schemas.openxmlformats.org/spreadsheetml/2006/main">
  <authors>
    <author>FME Notes</author>
  </authors>
  <commentList>
    <comment ref="B10" authorId="0" shapeId="0">
      <text>
        <t>Ad revenue model:
Impressions = Users × PV/User × Fill Rate.
Revenue = (Impressions/1000) × CPM.</t>
      </text>
    </comment>
  </commentList>
</comments>
</file>

<file path=xl/comments/comment2.xml><?xml version="1.0" encoding="utf-8"?>
<comments xmlns="http://schemas.openxmlformats.org/spreadsheetml/2006/main">
  <authors>
    <author>FME Notes</author>
  </authors>
  <commentList>
    <comment ref="B13" authorId="0" shapeId="0">
      <text>
        <t>Subscriber roll-forward:
NewSubs = Users × Conversion%
Subs_t = Subs_(t-1)×(1−Churn)+NewSubs.</t>
      </text>
    </comment>
  </commentList>
</comments>
</file>

<file path=xl/comments/comment3.xml><?xml version="1.0" encoding="utf-8"?>
<comments xmlns="http://schemas.openxmlformats.org/spreadsheetml/2006/main">
  <authors>
    <author>FME Notes</author>
  </authors>
  <commentList>
    <comment ref="E9" authorId="0" shapeId="0">
      <text>
        <t>Approximation:
Ending subs ≈ (Users×Conv)/Churn.
Use Caselet 2 for full roll-forward.</t>
      </text>
    </comment>
    <comment ref="B13" authorId="0" shapeId="0">
      <text>
        <t>Improved scenario:
CPM_new = CPM × (1 + uplift)
Conv_new = Conv + uplift (cap at 100%).</t>
      </text>
    </comment>
  </commentList>
</comments>
</file>

<file path=xl/comments/comment4.xml><?xml version="1.0" encoding="utf-8"?>
<comments xmlns="http://schemas.openxmlformats.org/spreadsheetml/2006/main">
  <authors>
    <author>FME Notes</author>
  </authors>
  <commentList>
    <comment ref="E6" authorId="0" shapeId="0">
      <text>
        <t>AdsRev/User = (PV/User×FillRate/1000)×CPM</t>
      </text>
    </comment>
    <comment ref="B10" authorId="0" shapeId="0">
      <text>
        <t>Break-even:
Rev/User = AdsRev/User + Toggle×SubsRev/User
BE Users = Fixed Costs / Rev per user.</t>
      </text>
    </comment>
  </commentList>
</comments>
</file>

<file path=xl/comments/comment5.xml><?xml version="1.0" encoding="utf-8"?>
<comments xmlns="http://schemas.openxmlformats.org/spreadsheetml/2006/main">
  <authors>
    <author>FME Notes</author>
  </authors>
  <commentList>
    <comment ref="B6" authorId="0" shapeId="0">
      <text>
        <t>ARPU is monthly ₹ per user.
Forward 12M revenue uses Month-12 run-rate × 12.</t>
      </text>
    </comment>
    <comment ref="E6" authorId="0" shapeId="0">
      <text>
        <t>Compounding:
Users_12 = Users0×(1+g)^12
ARPU_12 = ARPU0×(1+g)^12</t>
      </text>
    </comment>
    <comment ref="E13" authorId="0" shapeId="0">
      <text>
        <t>₹ crore conversion:
₹ crore = ₹ / 1,00,00,000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C1_Traffic_AdRevenue_CPM!A1" TargetMode="External" Id="rId1"/><Relationship Type="http://schemas.openxmlformats.org/officeDocument/2006/relationships/hyperlink" Target="#C2_AdsPlus_Subscriptions!A1" TargetMode="External" Id="rId2"/><Relationship Type="http://schemas.openxmlformats.org/officeDocument/2006/relationships/hyperlink" Target="#C3_Engagement_ARPU_Scenarios!A1" TargetMode="External" Id="rId3"/><Relationship Type="http://schemas.openxmlformats.org/officeDocument/2006/relationships/hyperlink" Target="#C4_Breakeven_Traffic!A1" TargetMode="External" Id="rId4"/><Relationship Type="http://schemas.openxmlformats.org/officeDocument/2006/relationships/hyperlink" Target="#C5_Scenarios_Valuation_RevenueMultiple!A1" TargetMode="External" Id="rId5"/></Relationships>
</file>

<file path=xl/worksheets/_rels/sheet2.xml.rels><Relationships xmlns="http://schemas.openxmlformats.org/package/2006/relationships"><Relationship Type="http://schemas.openxmlformats.org/officeDocument/2006/relationships/hyperlink" Target="#INDEX!A1" TargetMode="External" Id="rId1"/><Relationship Type="http://schemas.openxmlformats.org/officeDocument/2006/relationships/hyperlink" Target="#INDEX!A1" TargetMode="External" Id="rId2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hyperlink" Target="#INDEX!A1" TargetMode="External" Id="rId1"/><Relationship Type="http://schemas.openxmlformats.org/officeDocument/2006/relationships/hyperlink" Target="#INDEX!A1" TargetMode="External" Id="rId2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4.xml.rels><Relationships xmlns="http://schemas.openxmlformats.org/package/2006/relationships"><Relationship Type="http://schemas.openxmlformats.org/officeDocument/2006/relationships/hyperlink" Target="#INDEX!A1" TargetMode="External" Id="rId1"/><Relationship Type="http://schemas.openxmlformats.org/officeDocument/2006/relationships/hyperlink" Target="#INDEX!A1" TargetMode="External" Id="rId2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5.xml.rels><Relationships xmlns="http://schemas.openxmlformats.org/package/2006/relationships"><Relationship Type="http://schemas.openxmlformats.org/officeDocument/2006/relationships/hyperlink" Target="#INDEX!A1" TargetMode="External" Id="rId1"/><Relationship Type="http://schemas.openxmlformats.org/officeDocument/2006/relationships/hyperlink" Target="#INDEX!A1" TargetMode="External" Id="rId2"/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INDEX!A1" TargetMode="External" Id="rId1"/><Relationship Type="http://schemas.openxmlformats.org/officeDocument/2006/relationships/hyperlink" Target="#INDEX!A1" TargetMode="External" Id="rId2"/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34" customWidth="1" min="2" max="2"/>
    <col width="70" customWidth="1" min="3" max="3"/>
    <col width="22" customWidth="1" min="4" max="4"/>
  </cols>
  <sheetData>
    <row r="1" ht="26" customHeight="1">
      <c r="A1" s="1" t="inlineStr">
        <is>
          <t>Consumer Internet / Media Platform (FinEdHub) – INDEX</t>
        </is>
      </c>
    </row>
    <row r="2"/>
    <row r="3">
      <c r="A3" s="2" t="inlineStr">
        <is>
          <t>Caselet</t>
        </is>
      </c>
      <c r="B3" s="2" t="inlineStr">
        <is>
          <t>Sheet</t>
        </is>
      </c>
      <c r="C3" s="2" t="inlineStr">
        <is>
          <t>Purpose</t>
        </is>
      </c>
      <c r="D3" s="2" t="inlineStr">
        <is>
          <t>Key Output</t>
        </is>
      </c>
    </row>
    <row r="4">
      <c r="A4" s="3" t="inlineStr">
        <is>
          <t>Caselet 1</t>
        </is>
      </c>
      <c r="B4" s="4" t="inlineStr">
        <is>
          <t>C1_Traffic_AdRevenue_CPM</t>
        </is>
      </c>
      <c r="C4" s="3" t="inlineStr">
        <is>
          <t>Traffic → impressions → CPM ad revenue forecast (36 months).</t>
        </is>
      </c>
      <c r="D4" s="3" t="inlineStr">
        <is>
          <t>Ad revenue</t>
        </is>
      </c>
    </row>
    <row r="5">
      <c r="A5" s="3" t="inlineStr">
        <is>
          <t>Caselet 2</t>
        </is>
      </c>
      <c r="B5" s="4" t="inlineStr">
        <is>
          <t>C2_AdsPlus_Subscriptions</t>
        </is>
      </c>
      <c r="C5" s="3" t="inlineStr">
        <is>
          <t>Ads + subscriptions with churned subscriber roll-forward.</t>
        </is>
      </c>
      <c r="D5" s="3" t="inlineStr">
        <is>
          <t>Total revenue &amp; mix</t>
        </is>
      </c>
    </row>
    <row r="6">
      <c r="A6" s="3" t="inlineStr">
        <is>
          <t>Caselet 3</t>
        </is>
      </c>
      <c r="B6" s="4" t="inlineStr">
        <is>
          <t>C3_Engagement_ARPU_Scenarios</t>
        </is>
      </c>
      <c r="C6" s="3" t="inlineStr">
        <is>
          <t>Engagement uplift to CPM &amp; conversion; ARPU impact.</t>
        </is>
      </c>
      <c r="D6" s="3" t="inlineStr">
        <is>
          <t>ARPU uplift</t>
        </is>
      </c>
    </row>
    <row r="7">
      <c r="A7" s="3" t="inlineStr">
        <is>
          <t>Caselet 4</t>
        </is>
      </c>
      <c r="B7" s="4" t="inlineStr">
        <is>
          <t>C4_Breakeven_Traffic</t>
        </is>
      </c>
      <c r="C7" s="3" t="inlineStr">
        <is>
          <t>Break-even traffic using fixed costs and revenue/user.</t>
        </is>
      </c>
      <c r="D7" s="3" t="inlineStr">
        <is>
          <t>Break-even users &amp; PV</t>
        </is>
      </c>
    </row>
    <row r="8">
      <c r="A8" s="3" t="inlineStr">
        <is>
          <t>Caselet 5</t>
        </is>
      </c>
      <c r="B8" s="4" t="inlineStr">
        <is>
          <t>C5_Scenarios_Valuation_RevenueMultiple</t>
        </is>
      </c>
      <c r="C8" s="3" t="inlineStr">
        <is>
          <t>Scenario forecasting + revenue multiple valuation range.</t>
        </is>
      </c>
      <c r="D8" s="3" t="inlineStr">
        <is>
          <t>EV range (₹ cr)</t>
        </is>
      </c>
    </row>
    <row r="9"/>
    <row r="10">
      <c r="A10" s="3" t="inlineStr">
        <is>
          <t>Tip: Edit only YELLOW cells (inputs). Outputs are GREEN. Checks are RED.</t>
        </is>
      </c>
      <c r="B10" s="37" t="n"/>
      <c r="C10" s="37" t="n"/>
      <c r="D10" s="38" t="n"/>
    </row>
    <row r="11">
      <c r="A11" s="39" t="n"/>
      <c r="B11" s="40" t="n"/>
      <c r="C11" s="40" t="n"/>
      <c r="D11" s="41" t="n"/>
    </row>
  </sheetData>
  <sheetProtection selectLockedCells="0" selectUnlockedCells="0" sheet="1" objects="1" insertRows="0" insertHyperlinks="1" autoFilter="0" scenarios="1" formatColumns="0" deleteColumns="0" insertColumns="0" pivotTables="0" deleteRows="0" formatCells="0" formatRows="0" sort="0" password="AE3A"/>
  <mergeCells count="2">
    <mergeCell ref="A1:D1"/>
    <mergeCell ref="A10:D11"/>
  </mergeCells>
  <hyperlinks>
    <hyperlink xmlns:r="http://schemas.openxmlformats.org/officeDocument/2006/relationships" ref="B4" r:id="rId1"/>
    <hyperlink xmlns:r="http://schemas.openxmlformats.org/officeDocument/2006/relationships" ref="B5" r:id="rId2"/>
    <hyperlink xmlns:r="http://schemas.openxmlformats.org/officeDocument/2006/relationships" ref="B6" r:id="rId3"/>
    <hyperlink xmlns:r="http://schemas.openxmlformats.org/officeDocument/2006/relationships" ref="B7" r:id="rId4"/>
    <hyperlink xmlns:r="http://schemas.openxmlformats.org/officeDocument/2006/relationships" ref="B8" r:id="rId5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N21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18" customWidth="1" min="2" max="2"/>
    <col width="2" customWidth="1" min="3" max="3"/>
    <col width="16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</cols>
  <sheetData>
    <row r="1" ht="26" customHeight="1">
      <c r="A1" s="6" t="inlineStr">
        <is>
          <t>FinEdHub – Caselet 1: Traffic-Driven Advertising Revenue (CPM) – 36 Months</t>
        </is>
      </c>
    </row>
    <row r="2">
      <c r="A2" s="7" t="inlineStr">
        <is>
          <t>← Back to INDEX</t>
        </is>
      </c>
    </row>
    <row r="3"/>
    <row r="4">
      <c r="A4" s="8" t="inlineStr">
        <is>
          <t>INPUTS (Edit yellow cells)</t>
        </is>
      </c>
      <c r="B4" s="42" t="n"/>
      <c r="C4" s="43" t="n"/>
      <c r="E4" s="8" t="inlineStr">
        <is>
          <t>CALCULATIONS (Monthly)</t>
        </is>
      </c>
      <c r="F4" s="42" t="n"/>
      <c r="G4" s="42" t="n"/>
      <c r="H4" s="42" t="n"/>
      <c r="I4" s="42" t="n"/>
      <c r="J4" s="42" t="n"/>
      <c r="K4" s="42" t="n"/>
      <c r="L4" s="42" t="n"/>
      <c r="M4" s="42" t="n"/>
      <c r="N4" s="42" t="n"/>
      <c r="O4" s="42" t="n"/>
      <c r="P4" s="42" t="n"/>
      <c r="Q4" s="42" t="n"/>
      <c r="R4" s="42" t="n"/>
      <c r="S4" s="42" t="n"/>
      <c r="T4" s="42" t="n"/>
      <c r="U4" s="42" t="n"/>
      <c r="V4" s="42" t="n"/>
      <c r="W4" s="42" t="n"/>
      <c r="X4" s="42" t="n"/>
      <c r="Y4" s="42" t="n"/>
      <c r="Z4" s="42" t="n"/>
      <c r="AA4" s="42" t="n"/>
      <c r="AB4" s="42" t="n"/>
      <c r="AC4" s="42" t="n"/>
      <c r="AD4" s="42" t="n"/>
      <c r="AE4" s="42" t="n"/>
      <c r="AF4" s="42" t="n"/>
      <c r="AG4" s="42" t="n"/>
      <c r="AH4" s="42" t="n"/>
      <c r="AI4" s="42" t="n"/>
      <c r="AJ4" s="42" t="n"/>
      <c r="AK4" s="42" t="n"/>
      <c r="AL4" s="42" t="n"/>
      <c r="AM4" s="42" t="n"/>
      <c r="AN4" s="43" t="n"/>
    </row>
    <row r="5">
      <c r="A5" s="9" t="inlineStr">
        <is>
          <t>Forecast months</t>
        </is>
      </c>
      <c r="B5" s="10" t="n">
        <v>36</v>
      </c>
    </row>
    <row r="6">
      <c r="A6" s="9" t="inlineStr">
        <is>
          <t>Monthly unique users (Month 0)</t>
        </is>
      </c>
      <c r="B6" s="10" t="n">
        <v>600000</v>
      </c>
      <c r="D6" s="11" t="inlineStr">
        <is>
          <t>Metric</t>
        </is>
      </c>
      <c r="E6" s="11" t="n">
        <v>1</v>
      </c>
      <c r="F6" s="11" t="n">
        <v>2</v>
      </c>
      <c r="G6" s="11" t="n">
        <v>3</v>
      </c>
      <c r="H6" s="11" t="n">
        <v>4</v>
      </c>
      <c r="I6" s="11" t="n">
        <v>5</v>
      </c>
      <c r="J6" s="11" t="n">
        <v>6</v>
      </c>
      <c r="K6" s="11" t="n">
        <v>7</v>
      </c>
      <c r="L6" s="11" t="n">
        <v>8</v>
      </c>
      <c r="M6" s="11" t="n">
        <v>9</v>
      </c>
      <c r="N6" s="11" t="n">
        <v>10</v>
      </c>
      <c r="O6" s="11" t="n">
        <v>11</v>
      </c>
      <c r="P6" s="11" t="n">
        <v>12</v>
      </c>
      <c r="Q6" s="11" t="n">
        <v>13</v>
      </c>
      <c r="R6" s="11" t="n">
        <v>14</v>
      </c>
      <c r="S6" s="11" t="n">
        <v>15</v>
      </c>
      <c r="T6" s="11" t="n">
        <v>16</v>
      </c>
      <c r="U6" s="11" t="n">
        <v>17</v>
      </c>
      <c r="V6" s="11" t="n">
        <v>18</v>
      </c>
      <c r="W6" s="11" t="n">
        <v>19</v>
      </c>
      <c r="X6" s="11" t="n">
        <v>20</v>
      </c>
      <c r="Y6" s="11" t="n">
        <v>21</v>
      </c>
      <c r="Z6" s="11" t="n">
        <v>22</v>
      </c>
      <c r="AA6" s="11" t="n">
        <v>23</v>
      </c>
      <c r="AB6" s="11" t="n">
        <v>24</v>
      </c>
      <c r="AC6" s="11" t="n">
        <v>25</v>
      </c>
      <c r="AD6" s="11" t="n">
        <v>26</v>
      </c>
      <c r="AE6" s="11" t="n">
        <v>27</v>
      </c>
      <c r="AF6" s="11" t="n">
        <v>28</v>
      </c>
      <c r="AG6" s="11" t="n">
        <v>29</v>
      </c>
      <c r="AH6" s="11" t="n">
        <v>30</v>
      </c>
      <c r="AI6" s="11" t="n">
        <v>31</v>
      </c>
      <c r="AJ6" s="11" t="n">
        <v>32</v>
      </c>
      <c r="AK6" s="11" t="n">
        <v>33</v>
      </c>
      <c r="AL6" s="11" t="n">
        <v>34</v>
      </c>
      <c r="AM6" s="11" t="n">
        <v>35</v>
      </c>
      <c r="AN6" s="11" t="n">
        <v>36</v>
      </c>
    </row>
    <row r="7">
      <c r="A7" s="9" t="inlineStr">
        <is>
          <t>Monthly user growth %</t>
        </is>
      </c>
      <c r="B7" s="12" t="n">
        <v>0.06</v>
      </c>
      <c r="D7" s="13" t="inlineStr">
        <is>
          <t>Users</t>
        </is>
      </c>
      <c r="E7" s="14">
        <f>$B$6*(1+$B$7)</f>
        <v/>
      </c>
      <c r="F7" s="14">
        <f>E7*(1+$B$7)</f>
        <v/>
      </c>
      <c r="G7" s="14">
        <f>F7*(1+$B$7)</f>
        <v/>
      </c>
      <c r="H7" s="14">
        <f>G7*(1+$B$7)</f>
        <v/>
      </c>
      <c r="I7" s="14">
        <f>H7*(1+$B$7)</f>
        <v/>
      </c>
      <c r="J7" s="14">
        <f>I7*(1+$B$7)</f>
        <v/>
      </c>
      <c r="K7" s="14">
        <f>J7*(1+$B$7)</f>
        <v/>
      </c>
      <c r="L7" s="14">
        <f>K7*(1+$B$7)</f>
        <v/>
      </c>
      <c r="M7" s="14">
        <f>L7*(1+$B$7)</f>
        <v/>
      </c>
      <c r="N7" s="14">
        <f>M7*(1+$B$7)</f>
        <v/>
      </c>
      <c r="O7" s="14">
        <f>N7*(1+$B$7)</f>
        <v/>
      </c>
      <c r="P7" s="14">
        <f>O7*(1+$B$7)</f>
        <v/>
      </c>
      <c r="Q7" s="14">
        <f>P7*(1+$B$7)</f>
        <v/>
      </c>
      <c r="R7" s="14">
        <f>Q7*(1+$B$7)</f>
        <v/>
      </c>
      <c r="S7" s="14">
        <f>R7*(1+$B$7)</f>
        <v/>
      </c>
      <c r="T7" s="14">
        <f>S7*(1+$B$7)</f>
        <v/>
      </c>
      <c r="U7" s="14">
        <f>T7*(1+$B$7)</f>
        <v/>
      </c>
      <c r="V7" s="14">
        <f>U7*(1+$B$7)</f>
        <v/>
      </c>
      <c r="W7" s="14">
        <f>V7*(1+$B$7)</f>
        <v/>
      </c>
      <c r="X7" s="14">
        <f>W7*(1+$B$7)</f>
        <v/>
      </c>
      <c r="Y7" s="14">
        <f>X7*(1+$B$7)</f>
        <v/>
      </c>
      <c r="Z7" s="14">
        <f>Y7*(1+$B$7)</f>
        <v/>
      </c>
      <c r="AA7" s="14">
        <f>Z7*(1+$B$7)</f>
        <v/>
      </c>
      <c r="AB7" s="14">
        <f>AA7*(1+$B$7)</f>
        <v/>
      </c>
      <c r="AC7" s="14">
        <f>AB7*(1+$B$7)</f>
        <v/>
      </c>
      <c r="AD7" s="14">
        <f>AC7*(1+$B$7)</f>
        <v/>
      </c>
      <c r="AE7" s="14">
        <f>AD7*(1+$B$7)</f>
        <v/>
      </c>
      <c r="AF7" s="14">
        <f>AE7*(1+$B$7)</f>
        <v/>
      </c>
      <c r="AG7" s="14">
        <f>AF7*(1+$B$7)</f>
        <v/>
      </c>
      <c r="AH7" s="14">
        <f>AG7*(1+$B$7)</f>
        <v/>
      </c>
      <c r="AI7" s="14">
        <f>AH7*(1+$B$7)</f>
        <v/>
      </c>
      <c r="AJ7" s="14">
        <f>AI7*(1+$B$7)</f>
        <v/>
      </c>
      <c r="AK7" s="14">
        <f>AJ7*(1+$B$7)</f>
        <v/>
      </c>
      <c r="AL7" s="14">
        <f>AK7*(1+$B$7)</f>
        <v/>
      </c>
      <c r="AM7" s="14">
        <f>AL7*(1+$B$7)</f>
        <v/>
      </c>
      <c r="AN7" s="14">
        <f>AM7*(1+$B$7)</f>
        <v/>
      </c>
    </row>
    <row r="8">
      <c r="A8" s="9" t="inlineStr">
        <is>
          <t>Page views per user per month</t>
        </is>
      </c>
      <c r="B8" s="15" t="n">
        <v>4.5</v>
      </c>
      <c r="D8" s="13" t="inlineStr">
        <is>
          <t>Page Views</t>
        </is>
      </c>
      <c r="E8" s="14">
        <f>E7*$B$8</f>
        <v/>
      </c>
      <c r="F8" s="14">
        <f>F7*$B$8</f>
        <v/>
      </c>
      <c r="G8" s="14">
        <f>G7*$B$8</f>
        <v/>
      </c>
      <c r="H8" s="14">
        <f>H7*$B$8</f>
        <v/>
      </c>
      <c r="I8" s="14">
        <f>I7*$B$8</f>
        <v/>
      </c>
      <c r="J8" s="14">
        <f>J7*$B$8</f>
        <v/>
      </c>
      <c r="K8" s="14">
        <f>K7*$B$8</f>
        <v/>
      </c>
      <c r="L8" s="14">
        <f>L7*$B$8</f>
        <v/>
      </c>
      <c r="M8" s="14">
        <f>M7*$B$8</f>
        <v/>
      </c>
      <c r="N8" s="14">
        <f>N7*$B$8</f>
        <v/>
      </c>
      <c r="O8" s="14">
        <f>O7*$B$8</f>
        <v/>
      </c>
      <c r="P8" s="14">
        <f>P7*$B$8</f>
        <v/>
      </c>
      <c r="Q8" s="14">
        <f>Q7*$B$8</f>
        <v/>
      </c>
      <c r="R8" s="14">
        <f>R7*$B$8</f>
        <v/>
      </c>
      <c r="S8" s="14">
        <f>S7*$B$8</f>
        <v/>
      </c>
      <c r="T8" s="14">
        <f>T7*$B$8</f>
        <v/>
      </c>
      <c r="U8" s="14">
        <f>U7*$B$8</f>
        <v/>
      </c>
      <c r="V8" s="14">
        <f>V7*$B$8</f>
        <v/>
      </c>
      <c r="W8" s="14">
        <f>W7*$B$8</f>
        <v/>
      </c>
      <c r="X8" s="14">
        <f>X7*$B$8</f>
        <v/>
      </c>
      <c r="Y8" s="14">
        <f>Y7*$B$8</f>
        <v/>
      </c>
      <c r="Z8" s="14">
        <f>Z7*$B$8</f>
        <v/>
      </c>
      <c r="AA8" s="14">
        <f>AA7*$B$8</f>
        <v/>
      </c>
      <c r="AB8" s="14">
        <f>AB7*$B$8</f>
        <v/>
      </c>
      <c r="AC8" s="14">
        <f>AC7*$B$8</f>
        <v/>
      </c>
      <c r="AD8" s="14">
        <f>AD7*$B$8</f>
        <v/>
      </c>
      <c r="AE8" s="14">
        <f>AE7*$B$8</f>
        <v/>
      </c>
      <c r="AF8" s="14">
        <f>AF7*$B$8</f>
        <v/>
      </c>
      <c r="AG8" s="14">
        <f>AG7*$B$8</f>
        <v/>
      </c>
      <c r="AH8" s="14">
        <f>AH7*$B$8</f>
        <v/>
      </c>
      <c r="AI8" s="14">
        <f>AI7*$B$8</f>
        <v/>
      </c>
      <c r="AJ8" s="14">
        <f>AJ7*$B$8</f>
        <v/>
      </c>
      <c r="AK8" s="14">
        <f>AK7*$B$8</f>
        <v/>
      </c>
      <c r="AL8" s="14">
        <f>AL7*$B$8</f>
        <v/>
      </c>
      <c r="AM8" s="14">
        <f>AM7*$B$8</f>
        <v/>
      </c>
      <c r="AN8" s="14">
        <f>AN7*$B$8</f>
        <v/>
      </c>
    </row>
    <row r="9">
      <c r="A9" s="9" t="inlineStr">
        <is>
          <t>Ad fill rate %</t>
        </is>
      </c>
      <c r="B9" s="12" t="n">
        <v>0.8</v>
      </c>
      <c r="D9" s="13" t="inlineStr">
        <is>
          <t>Ad Impressions</t>
        </is>
      </c>
      <c r="E9" s="14">
        <f>E8*$B$9</f>
        <v/>
      </c>
      <c r="F9" s="14">
        <f>F8*$B$9</f>
        <v/>
      </c>
      <c r="G9" s="14">
        <f>G8*$B$9</f>
        <v/>
      </c>
      <c r="H9" s="14">
        <f>H8*$B$9</f>
        <v/>
      </c>
      <c r="I9" s="14">
        <f>I8*$B$9</f>
        <v/>
      </c>
      <c r="J9" s="14">
        <f>J8*$B$9</f>
        <v/>
      </c>
      <c r="K9" s="14">
        <f>K8*$B$9</f>
        <v/>
      </c>
      <c r="L9" s="14">
        <f>L8*$B$9</f>
        <v/>
      </c>
      <c r="M9" s="14">
        <f>M8*$B$9</f>
        <v/>
      </c>
      <c r="N9" s="14">
        <f>N8*$B$9</f>
        <v/>
      </c>
      <c r="O9" s="14">
        <f>O8*$B$9</f>
        <v/>
      </c>
      <c r="P9" s="14">
        <f>P8*$B$9</f>
        <v/>
      </c>
      <c r="Q9" s="14">
        <f>Q8*$B$9</f>
        <v/>
      </c>
      <c r="R9" s="14">
        <f>R8*$B$9</f>
        <v/>
      </c>
      <c r="S9" s="14">
        <f>S8*$B$9</f>
        <v/>
      </c>
      <c r="T9" s="14">
        <f>T8*$B$9</f>
        <v/>
      </c>
      <c r="U9" s="14">
        <f>U8*$B$9</f>
        <v/>
      </c>
      <c r="V9" s="14">
        <f>V8*$B$9</f>
        <v/>
      </c>
      <c r="W9" s="14">
        <f>W8*$B$9</f>
        <v/>
      </c>
      <c r="X9" s="14">
        <f>X8*$B$9</f>
        <v/>
      </c>
      <c r="Y9" s="14">
        <f>Y8*$B$9</f>
        <v/>
      </c>
      <c r="Z9" s="14">
        <f>Z8*$B$9</f>
        <v/>
      </c>
      <c r="AA9" s="14">
        <f>AA8*$B$9</f>
        <v/>
      </c>
      <c r="AB9" s="14">
        <f>AB8*$B$9</f>
        <v/>
      </c>
      <c r="AC9" s="14">
        <f>AC8*$B$9</f>
        <v/>
      </c>
      <c r="AD9" s="14">
        <f>AD8*$B$9</f>
        <v/>
      </c>
      <c r="AE9" s="14">
        <f>AE8*$B$9</f>
        <v/>
      </c>
      <c r="AF9" s="14">
        <f>AF8*$B$9</f>
        <v/>
      </c>
      <c r="AG9" s="14">
        <f>AG8*$B$9</f>
        <v/>
      </c>
      <c r="AH9" s="14">
        <f>AH8*$B$9</f>
        <v/>
      </c>
      <c r="AI9" s="14">
        <f>AI8*$B$9</f>
        <v/>
      </c>
      <c r="AJ9" s="14">
        <f>AJ8*$B$9</f>
        <v/>
      </c>
      <c r="AK9" s="14">
        <f>AK8*$B$9</f>
        <v/>
      </c>
      <c r="AL9" s="14">
        <f>AL8*$B$9</f>
        <v/>
      </c>
      <c r="AM9" s="14">
        <f>AM8*$B$9</f>
        <v/>
      </c>
      <c r="AN9" s="14">
        <f>AN8*$B$9</f>
        <v/>
      </c>
    </row>
    <row r="10">
      <c r="A10" s="9" t="inlineStr">
        <is>
          <t>Average CPM (₹)</t>
        </is>
      </c>
      <c r="B10" s="16" t="n">
        <v>180</v>
      </c>
      <c r="D10" s="13" t="inlineStr">
        <is>
          <t>Ad Revenue (₹)</t>
        </is>
      </c>
      <c r="E10" s="17">
        <f>(E9/1000)*$B$10</f>
        <v/>
      </c>
      <c r="F10" s="17">
        <f>(F9/1000)*$B$10</f>
        <v/>
      </c>
      <c r="G10" s="17">
        <f>(G9/1000)*$B$10</f>
        <v/>
      </c>
      <c r="H10" s="17">
        <f>(H9/1000)*$B$10</f>
        <v/>
      </c>
      <c r="I10" s="17">
        <f>(I9/1000)*$B$10</f>
        <v/>
      </c>
      <c r="J10" s="17">
        <f>(J9/1000)*$B$10</f>
        <v/>
      </c>
      <c r="K10" s="17">
        <f>(K9/1000)*$B$10</f>
        <v/>
      </c>
      <c r="L10" s="17">
        <f>(L9/1000)*$B$10</f>
        <v/>
      </c>
      <c r="M10" s="17">
        <f>(M9/1000)*$B$10</f>
        <v/>
      </c>
      <c r="N10" s="17">
        <f>(N9/1000)*$B$10</f>
        <v/>
      </c>
      <c r="O10" s="17">
        <f>(O9/1000)*$B$10</f>
        <v/>
      </c>
      <c r="P10" s="17">
        <f>(P9/1000)*$B$10</f>
        <v/>
      </c>
      <c r="Q10" s="17">
        <f>(Q9/1000)*$B$10</f>
        <v/>
      </c>
      <c r="R10" s="17">
        <f>(R9/1000)*$B$10</f>
        <v/>
      </c>
      <c r="S10" s="17">
        <f>(S9/1000)*$B$10</f>
        <v/>
      </c>
      <c r="T10" s="17">
        <f>(T9/1000)*$B$10</f>
        <v/>
      </c>
      <c r="U10" s="17">
        <f>(U9/1000)*$B$10</f>
        <v/>
      </c>
      <c r="V10" s="17">
        <f>(V9/1000)*$B$10</f>
        <v/>
      </c>
      <c r="W10" s="17">
        <f>(W9/1000)*$B$10</f>
        <v/>
      </c>
      <c r="X10" s="17">
        <f>(X9/1000)*$B$10</f>
        <v/>
      </c>
      <c r="Y10" s="17">
        <f>(Y9/1000)*$B$10</f>
        <v/>
      </c>
      <c r="Z10" s="17">
        <f>(Z9/1000)*$B$10</f>
        <v/>
      </c>
      <c r="AA10" s="17">
        <f>(AA9/1000)*$B$10</f>
        <v/>
      </c>
      <c r="AB10" s="17">
        <f>(AB9/1000)*$B$10</f>
        <v/>
      </c>
      <c r="AC10" s="17">
        <f>(AC9/1000)*$B$10</f>
        <v/>
      </c>
      <c r="AD10" s="17">
        <f>(AD9/1000)*$B$10</f>
        <v/>
      </c>
      <c r="AE10" s="17">
        <f>(AE9/1000)*$B$10</f>
        <v/>
      </c>
      <c r="AF10" s="17">
        <f>(AF9/1000)*$B$10</f>
        <v/>
      </c>
      <c r="AG10" s="17">
        <f>(AG9/1000)*$B$10</f>
        <v/>
      </c>
      <c r="AH10" s="17">
        <f>(AH9/1000)*$B$10</f>
        <v/>
      </c>
      <c r="AI10" s="17">
        <f>(AI9/1000)*$B$10</f>
        <v/>
      </c>
      <c r="AJ10" s="17">
        <f>(AJ9/1000)*$B$10</f>
        <v/>
      </c>
      <c r="AK10" s="17">
        <f>(AK9/1000)*$B$10</f>
        <v/>
      </c>
      <c r="AL10" s="17">
        <f>(AL9/1000)*$B$10</f>
        <v/>
      </c>
      <c r="AM10" s="17">
        <f>(AM9/1000)*$B$10</f>
        <v/>
      </c>
      <c r="AN10" s="17">
        <f>(AN9/1000)*$B$10</f>
        <v/>
      </c>
    </row>
    <row r="11"/>
    <row r="12">
      <c r="A12" s="8" t="inlineStr">
        <is>
          <t>OUTPUTS (Green)</t>
        </is>
      </c>
      <c r="B12" s="42" t="n"/>
      <c r="C12" s="43" t="n"/>
    </row>
    <row r="13">
      <c r="A13" s="18" t="inlineStr">
        <is>
          <t>Year</t>
        </is>
      </c>
      <c r="B13" s="18" t="inlineStr">
        <is>
          <t>Ad Revenue (₹)</t>
        </is>
      </c>
      <c r="C13" s="18" t="inlineStr">
        <is>
          <t>Avg Monthly Revenue (₹)</t>
        </is>
      </c>
    </row>
    <row r="14">
      <c r="A14" s="19" t="n">
        <v>1</v>
      </c>
      <c r="B14" s="20">
        <f>SUM(E10:P10)</f>
        <v/>
      </c>
      <c r="C14" s="20">
        <f>B14/12</f>
        <v/>
      </c>
    </row>
    <row r="15">
      <c r="A15" s="19" t="n">
        <v>2</v>
      </c>
      <c r="B15" s="20">
        <f>SUM(Q10:AB10)</f>
        <v/>
      </c>
      <c r="C15" s="20">
        <f>B15/12</f>
        <v/>
      </c>
    </row>
    <row r="16">
      <c r="A16" s="19" t="n">
        <v>3</v>
      </c>
      <c r="B16" s="20">
        <f>SUM(AC10:AN10)</f>
        <v/>
      </c>
      <c r="C16" s="20">
        <f>B16/12</f>
        <v/>
      </c>
    </row>
    <row r="17"/>
    <row r="18">
      <c r="A18" s="8" t="inlineStr">
        <is>
          <t>CHECKS (Red)</t>
        </is>
      </c>
      <c r="B18" s="42" t="n"/>
      <c r="C18" s="43" t="n"/>
    </row>
    <row r="19">
      <c r="A19" s="21" t="inlineStr">
        <is>
          <t>Fill rate in [0,100%]</t>
        </is>
      </c>
      <c r="B19" s="22">
        <f>AND($B$9&gt;=0,$B$9&lt;=1)</f>
        <v/>
      </c>
      <c r="C19" s="23">
        <f>IF(B19,"OK","CHECK")</f>
        <v/>
      </c>
    </row>
    <row r="20">
      <c r="A20" s="21" t="inlineStr">
        <is>
          <t>Growth % &gt; -100%</t>
        </is>
      </c>
      <c r="B20" s="22">
        <f>$B$7&gt;-1</f>
        <v/>
      </c>
      <c r="C20" s="23">
        <f>IF(B20,"OK","CHECK")</f>
        <v/>
      </c>
    </row>
    <row r="21">
      <c r="A21" s="21" t="inlineStr">
        <is>
          <t>CPM &gt; 0</t>
        </is>
      </c>
      <c r="B21" s="22">
        <f>$B$10&gt;0</f>
        <v/>
      </c>
      <c r="C21" s="23">
        <f>IF(B21,"OK","CHECK")</f>
        <v/>
      </c>
    </row>
  </sheetData>
  <sheetProtection selectLockedCells="0" selectUnlockedCells="0" sheet="1" objects="1" insertRows="0" insertHyperlinks="1" autoFilter="0" scenarios="1" formatColumns="0" deleteColumns="0" insertColumns="0" pivotTables="0" deleteRows="0" formatCells="0" formatRows="0" sort="0" password="AE3A"/>
  <mergeCells count="5">
    <mergeCell ref="E4:AN4"/>
    <mergeCell ref="A18:C18"/>
    <mergeCell ref="A12:C12"/>
    <mergeCell ref="A4:C4"/>
    <mergeCell ref="A1:AN1"/>
  </mergeCells>
  <hyperlinks>
    <hyperlink xmlns:r="http://schemas.openxmlformats.org/officeDocument/2006/relationships" ref="A1" r:id="rId1"/>
    <hyperlink xmlns:r="http://schemas.openxmlformats.org/officeDocument/2006/relationships" ref="A2" r:id="rId2"/>
  </hyperlink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N25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6" customWidth="1" min="1" max="1"/>
    <col width="18" customWidth="1" min="2" max="2"/>
    <col width="2" customWidth="1" min="3" max="3"/>
    <col width="16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</cols>
  <sheetData>
    <row r="1" ht="26" customHeight="1">
      <c r="A1" s="6" t="inlineStr">
        <is>
          <t>FinEdHub – Caselet 2: Ads + Subscriptions Revenue Mix (36 Months)</t>
        </is>
      </c>
    </row>
    <row r="2">
      <c r="A2" s="7" t="inlineStr">
        <is>
          <t>← Back to INDEX</t>
        </is>
      </c>
    </row>
    <row r="3"/>
    <row r="4">
      <c r="A4" s="8" t="inlineStr">
        <is>
          <t>INPUTS (Edit yellow cells)</t>
        </is>
      </c>
      <c r="B4" s="42" t="n"/>
      <c r="C4" s="43" t="n"/>
      <c r="E4" s="8" t="inlineStr">
        <is>
          <t>CALCULATIONS (Monthly)</t>
        </is>
      </c>
      <c r="F4" s="42" t="n"/>
      <c r="G4" s="42" t="n"/>
      <c r="H4" s="42" t="n"/>
      <c r="I4" s="42" t="n"/>
      <c r="J4" s="42" t="n"/>
      <c r="K4" s="42" t="n"/>
      <c r="L4" s="42" t="n"/>
      <c r="M4" s="42" t="n"/>
      <c r="N4" s="42" t="n"/>
      <c r="O4" s="42" t="n"/>
      <c r="P4" s="42" t="n"/>
      <c r="Q4" s="42" t="n"/>
      <c r="R4" s="42" t="n"/>
      <c r="S4" s="42" t="n"/>
      <c r="T4" s="42" t="n"/>
      <c r="U4" s="42" t="n"/>
      <c r="V4" s="42" t="n"/>
      <c r="W4" s="42" t="n"/>
      <c r="X4" s="42" t="n"/>
      <c r="Y4" s="42" t="n"/>
      <c r="Z4" s="42" t="n"/>
      <c r="AA4" s="42" t="n"/>
      <c r="AB4" s="42" t="n"/>
      <c r="AC4" s="42" t="n"/>
      <c r="AD4" s="42" t="n"/>
      <c r="AE4" s="42" t="n"/>
      <c r="AF4" s="42" t="n"/>
      <c r="AG4" s="42" t="n"/>
      <c r="AH4" s="42" t="n"/>
      <c r="AI4" s="42" t="n"/>
      <c r="AJ4" s="42" t="n"/>
      <c r="AK4" s="42" t="n"/>
      <c r="AL4" s="42" t="n"/>
      <c r="AM4" s="42" t="n"/>
      <c r="AN4" s="43" t="n"/>
    </row>
    <row r="5">
      <c r="A5" s="9" t="inlineStr">
        <is>
          <t>Forecast months</t>
        </is>
      </c>
      <c r="B5" s="10" t="n">
        <v>36</v>
      </c>
    </row>
    <row r="6">
      <c r="A6" s="9" t="inlineStr">
        <is>
          <t>Monthly unique users (Month 0)</t>
        </is>
      </c>
      <c r="B6" s="10" t="n">
        <v>600000</v>
      </c>
      <c r="D6" s="11" t="inlineStr">
        <is>
          <t>Metric</t>
        </is>
      </c>
      <c r="E6" s="11" t="n">
        <v>1</v>
      </c>
      <c r="F6" s="11" t="n">
        <v>2</v>
      </c>
      <c r="G6" s="11" t="n">
        <v>3</v>
      </c>
      <c r="H6" s="11" t="n">
        <v>4</v>
      </c>
      <c r="I6" s="11" t="n">
        <v>5</v>
      </c>
      <c r="J6" s="11" t="n">
        <v>6</v>
      </c>
      <c r="K6" s="11" t="n">
        <v>7</v>
      </c>
      <c r="L6" s="11" t="n">
        <v>8</v>
      </c>
      <c r="M6" s="11" t="n">
        <v>9</v>
      </c>
      <c r="N6" s="11" t="n">
        <v>10</v>
      </c>
      <c r="O6" s="11" t="n">
        <v>11</v>
      </c>
      <c r="P6" s="11" t="n">
        <v>12</v>
      </c>
      <c r="Q6" s="11" t="n">
        <v>13</v>
      </c>
      <c r="R6" s="11" t="n">
        <v>14</v>
      </c>
      <c r="S6" s="11" t="n">
        <v>15</v>
      </c>
      <c r="T6" s="11" t="n">
        <v>16</v>
      </c>
      <c r="U6" s="11" t="n">
        <v>17</v>
      </c>
      <c r="V6" s="11" t="n">
        <v>18</v>
      </c>
      <c r="W6" s="11" t="n">
        <v>19</v>
      </c>
      <c r="X6" s="11" t="n">
        <v>20</v>
      </c>
      <c r="Y6" s="11" t="n">
        <v>21</v>
      </c>
      <c r="Z6" s="11" t="n">
        <v>22</v>
      </c>
      <c r="AA6" s="11" t="n">
        <v>23</v>
      </c>
      <c r="AB6" s="11" t="n">
        <v>24</v>
      </c>
      <c r="AC6" s="11" t="n">
        <v>25</v>
      </c>
      <c r="AD6" s="11" t="n">
        <v>26</v>
      </c>
      <c r="AE6" s="11" t="n">
        <v>27</v>
      </c>
      <c r="AF6" s="11" t="n">
        <v>28</v>
      </c>
      <c r="AG6" s="11" t="n">
        <v>29</v>
      </c>
      <c r="AH6" s="11" t="n">
        <v>30</v>
      </c>
      <c r="AI6" s="11" t="n">
        <v>31</v>
      </c>
      <c r="AJ6" s="11" t="n">
        <v>32</v>
      </c>
      <c r="AK6" s="11" t="n">
        <v>33</v>
      </c>
      <c r="AL6" s="11" t="n">
        <v>34</v>
      </c>
      <c r="AM6" s="11" t="n">
        <v>35</v>
      </c>
      <c r="AN6" s="11" t="n">
        <v>36</v>
      </c>
    </row>
    <row r="7">
      <c r="A7" s="9" t="inlineStr">
        <is>
          <t>Monthly user growth %</t>
        </is>
      </c>
      <c r="B7" s="12" t="n">
        <v>0.06</v>
      </c>
      <c r="D7" s="13" t="inlineStr">
        <is>
          <t>Users</t>
        </is>
      </c>
      <c r="E7" s="14">
        <f>$B$6*(1+$B$7)</f>
        <v/>
      </c>
      <c r="F7" s="14">
        <f>E7*(1+$B$7)</f>
        <v/>
      </c>
      <c r="G7" s="14">
        <f>F7*(1+$B$7)</f>
        <v/>
      </c>
      <c r="H7" s="14">
        <f>G7*(1+$B$7)</f>
        <v/>
      </c>
      <c r="I7" s="14">
        <f>H7*(1+$B$7)</f>
        <v/>
      </c>
      <c r="J7" s="14">
        <f>I7*(1+$B$7)</f>
        <v/>
      </c>
      <c r="K7" s="14">
        <f>J7*(1+$B$7)</f>
        <v/>
      </c>
      <c r="L7" s="14">
        <f>K7*(1+$B$7)</f>
        <v/>
      </c>
      <c r="M7" s="14">
        <f>L7*(1+$B$7)</f>
        <v/>
      </c>
      <c r="N7" s="14">
        <f>M7*(1+$B$7)</f>
        <v/>
      </c>
      <c r="O7" s="14">
        <f>N7*(1+$B$7)</f>
        <v/>
      </c>
      <c r="P7" s="14">
        <f>O7*(1+$B$7)</f>
        <v/>
      </c>
      <c r="Q7" s="14">
        <f>P7*(1+$B$7)</f>
        <v/>
      </c>
      <c r="R7" s="14">
        <f>Q7*(1+$B$7)</f>
        <v/>
      </c>
      <c r="S7" s="14">
        <f>R7*(1+$B$7)</f>
        <v/>
      </c>
      <c r="T7" s="14">
        <f>S7*(1+$B$7)</f>
        <v/>
      </c>
      <c r="U7" s="14">
        <f>T7*(1+$B$7)</f>
        <v/>
      </c>
      <c r="V7" s="14">
        <f>U7*(1+$B$7)</f>
        <v/>
      </c>
      <c r="W7" s="14">
        <f>V7*(1+$B$7)</f>
        <v/>
      </c>
      <c r="X7" s="14">
        <f>W7*(1+$B$7)</f>
        <v/>
      </c>
      <c r="Y7" s="14">
        <f>X7*(1+$B$7)</f>
        <v/>
      </c>
      <c r="Z7" s="14">
        <f>Y7*(1+$B$7)</f>
        <v/>
      </c>
      <c r="AA7" s="14">
        <f>Z7*(1+$B$7)</f>
        <v/>
      </c>
      <c r="AB7" s="14">
        <f>AA7*(1+$B$7)</f>
        <v/>
      </c>
      <c r="AC7" s="14">
        <f>AB7*(1+$B$7)</f>
        <v/>
      </c>
      <c r="AD7" s="14">
        <f>AC7*(1+$B$7)</f>
        <v/>
      </c>
      <c r="AE7" s="14">
        <f>AD7*(1+$B$7)</f>
        <v/>
      </c>
      <c r="AF7" s="14">
        <f>AE7*(1+$B$7)</f>
        <v/>
      </c>
      <c r="AG7" s="14">
        <f>AF7*(1+$B$7)</f>
        <v/>
      </c>
      <c r="AH7" s="14">
        <f>AG7*(1+$B$7)</f>
        <v/>
      </c>
      <c r="AI7" s="14">
        <f>AH7*(1+$B$7)</f>
        <v/>
      </c>
      <c r="AJ7" s="14">
        <f>AI7*(1+$B$7)</f>
        <v/>
      </c>
      <c r="AK7" s="14">
        <f>AJ7*(1+$B$7)</f>
        <v/>
      </c>
      <c r="AL7" s="14">
        <f>AK7*(1+$B$7)</f>
        <v/>
      </c>
      <c r="AM7" s="14">
        <f>AL7*(1+$B$7)</f>
        <v/>
      </c>
      <c r="AN7" s="14">
        <f>AM7*(1+$B$7)</f>
        <v/>
      </c>
    </row>
    <row r="8">
      <c r="A8" s="9" t="inlineStr">
        <is>
          <t>Page views per user per month</t>
        </is>
      </c>
      <c r="B8" s="15" t="n">
        <v>4.5</v>
      </c>
      <c r="D8" s="13" t="inlineStr">
        <is>
          <t>Ad Revenue (₹)</t>
        </is>
      </c>
      <c r="E8" s="17">
        <f>(((E7*$B$8)*$B$9)/1000)*$B$10</f>
        <v/>
      </c>
      <c r="F8" s="17">
        <f>(((F7*$B$8)*$B$9)/1000)*$B$10</f>
        <v/>
      </c>
      <c r="G8" s="17">
        <f>(((G7*$B$8)*$B$9)/1000)*$B$10</f>
        <v/>
      </c>
      <c r="H8" s="17">
        <f>(((H7*$B$8)*$B$9)/1000)*$B$10</f>
        <v/>
      </c>
      <c r="I8" s="17">
        <f>(((I7*$B$8)*$B$9)/1000)*$B$10</f>
        <v/>
      </c>
      <c r="J8" s="17">
        <f>(((J7*$B$8)*$B$9)/1000)*$B$10</f>
        <v/>
      </c>
      <c r="K8" s="17">
        <f>(((K7*$B$8)*$B$9)/1000)*$B$10</f>
        <v/>
      </c>
      <c r="L8" s="17">
        <f>(((L7*$B$8)*$B$9)/1000)*$B$10</f>
        <v/>
      </c>
      <c r="M8" s="17">
        <f>(((M7*$B$8)*$B$9)/1000)*$B$10</f>
        <v/>
      </c>
      <c r="N8" s="17">
        <f>(((N7*$B$8)*$B$9)/1000)*$B$10</f>
        <v/>
      </c>
      <c r="O8" s="17">
        <f>(((O7*$B$8)*$B$9)/1000)*$B$10</f>
        <v/>
      </c>
      <c r="P8" s="17">
        <f>(((P7*$B$8)*$B$9)/1000)*$B$10</f>
        <v/>
      </c>
      <c r="Q8" s="17">
        <f>(((Q7*$B$8)*$B$9)/1000)*$B$10</f>
        <v/>
      </c>
      <c r="R8" s="17">
        <f>(((R7*$B$8)*$B$9)/1000)*$B$10</f>
        <v/>
      </c>
      <c r="S8" s="17">
        <f>(((S7*$B$8)*$B$9)/1000)*$B$10</f>
        <v/>
      </c>
      <c r="T8" s="17">
        <f>(((T7*$B$8)*$B$9)/1000)*$B$10</f>
        <v/>
      </c>
      <c r="U8" s="17">
        <f>(((U7*$B$8)*$B$9)/1000)*$B$10</f>
        <v/>
      </c>
      <c r="V8" s="17">
        <f>(((V7*$B$8)*$B$9)/1000)*$B$10</f>
        <v/>
      </c>
      <c r="W8" s="17">
        <f>(((W7*$B$8)*$B$9)/1000)*$B$10</f>
        <v/>
      </c>
      <c r="X8" s="17">
        <f>(((X7*$B$8)*$B$9)/1000)*$B$10</f>
        <v/>
      </c>
      <c r="Y8" s="17">
        <f>(((Y7*$B$8)*$B$9)/1000)*$B$10</f>
        <v/>
      </c>
      <c r="Z8" s="17">
        <f>(((Z7*$B$8)*$B$9)/1000)*$B$10</f>
        <v/>
      </c>
      <c r="AA8" s="17">
        <f>(((AA7*$B$8)*$B$9)/1000)*$B$10</f>
        <v/>
      </c>
      <c r="AB8" s="17">
        <f>(((AB7*$B$8)*$B$9)/1000)*$B$10</f>
        <v/>
      </c>
      <c r="AC8" s="17">
        <f>(((AC7*$B$8)*$B$9)/1000)*$B$10</f>
        <v/>
      </c>
      <c r="AD8" s="17">
        <f>(((AD7*$B$8)*$B$9)/1000)*$B$10</f>
        <v/>
      </c>
      <c r="AE8" s="17">
        <f>(((AE7*$B$8)*$B$9)/1000)*$B$10</f>
        <v/>
      </c>
      <c r="AF8" s="17">
        <f>(((AF7*$B$8)*$B$9)/1000)*$B$10</f>
        <v/>
      </c>
      <c r="AG8" s="17">
        <f>(((AG7*$B$8)*$B$9)/1000)*$B$10</f>
        <v/>
      </c>
      <c r="AH8" s="17">
        <f>(((AH7*$B$8)*$B$9)/1000)*$B$10</f>
        <v/>
      </c>
      <c r="AI8" s="17">
        <f>(((AI7*$B$8)*$B$9)/1000)*$B$10</f>
        <v/>
      </c>
      <c r="AJ8" s="17">
        <f>(((AJ7*$B$8)*$B$9)/1000)*$B$10</f>
        <v/>
      </c>
      <c r="AK8" s="17">
        <f>(((AK7*$B$8)*$B$9)/1000)*$B$10</f>
        <v/>
      </c>
      <c r="AL8" s="17">
        <f>(((AL7*$B$8)*$B$9)/1000)*$B$10</f>
        <v/>
      </c>
      <c r="AM8" s="17">
        <f>(((AM7*$B$8)*$B$9)/1000)*$B$10</f>
        <v/>
      </c>
      <c r="AN8" s="17">
        <f>(((AN7*$B$8)*$B$9)/1000)*$B$10</f>
        <v/>
      </c>
    </row>
    <row r="9">
      <c r="A9" s="9" t="inlineStr">
        <is>
          <t>Ad fill rate %</t>
        </is>
      </c>
      <c r="B9" s="12" t="n">
        <v>0.8</v>
      </c>
      <c r="D9" s="13" t="inlineStr">
        <is>
          <t>New Subscribers</t>
        </is>
      </c>
      <c r="E9" s="14">
        <f>E7*$B$11</f>
        <v/>
      </c>
      <c r="F9" s="14">
        <f>F7*$B$11</f>
        <v/>
      </c>
      <c r="G9" s="14">
        <f>G7*$B$11</f>
        <v/>
      </c>
      <c r="H9" s="14">
        <f>H7*$B$11</f>
        <v/>
      </c>
      <c r="I9" s="14">
        <f>I7*$B$11</f>
        <v/>
      </c>
      <c r="J9" s="14">
        <f>J7*$B$11</f>
        <v/>
      </c>
      <c r="K9" s="14">
        <f>K7*$B$11</f>
        <v/>
      </c>
      <c r="L9" s="14">
        <f>L7*$B$11</f>
        <v/>
      </c>
      <c r="M9" s="14">
        <f>M7*$B$11</f>
        <v/>
      </c>
      <c r="N9" s="14">
        <f>N7*$B$11</f>
        <v/>
      </c>
      <c r="O9" s="14">
        <f>O7*$B$11</f>
        <v/>
      </c>
      <c r="P9" s="14">
        <f>P7*$B$11</f>
        <v/>
      </c>
      <c r="Q9" s="14">
        <f>Q7*$B$11</f>
        <v/>
      </c>
      <c r="R9" s="14">
        <f>R7*$B$11</f>
        <v/>
      </c>
      <c r="S9" s="14">
        <f>S7*$B$11</f>
        <v/>
      </c>
      <c r="T9" s="14">
        <f>T7*$B$11</f>
        <v/>
      </c>
      <c r="U9" s="14">
        <f>U7*$B$11</f>
        <v/>
      </c>
      <c r="V9" s="14">
        <f>V7*$B$11</f>
        <v/>
      </c>
      <c r="W9" s="14">
        <f>W7*$B$11</f>
        <v/>
      </c>
      <c r="X9" s="14">
        <f>X7*$B$11</f>
        <v/>
      </c>
      <c r="Y9" s="14">
        <f>Y7*$B$11</f>
        <v/>
      </c>
      <c r="Z9" s="14">
        <f>Z7*$B$11</f>
        <v/>
      </c>
      <c r="AA9" s="14">
        <f>AA7*$B$11</f>
        <v/>
      </c>
      <c r="AB9" s="14">
        <f>AB7*$B$11</f>
        <v/>
      </c>
      <c r="AC9" s="14">
        <f>AC7*$B$11</f>
        <v/>
      </c>
      <c r="AD9" s="14">
        <f>AD7*$B$11</f>
        <v/>
      </c>
      <c r="AE9" s="14">
        <f>AE7*$B$11</f>
        <v/>
      </c>
      <c r="AF9" s="14">
        <f>AF7*$B$11</f>
        <v/>
      </c>
      <c r="AG9" s="14">
        <f>AG7*$B$11</f>
        <v/>
      </c>
      <c r="AH9" s="14">
        <f>AH7*$B$11</f>
        <v/>
      </c>
      <c r="AI9" s="14">
        <f>AI7*$B$11</f>
        <v/>
      </c>
      <c r="AJ9" s="14">
        <f>AJ7*$B$11</f>
        <v/>
      </c>
      <c r="AK9" s="14">
        <f>AK7*$B$11</f>
        <v/>
      </c>
      <c r="AL9" s="14">
        <f>AL7*$B$11</f>
        <v/>
      </c>
      <c r="AM9" s="14">
        <f>AM7*$B$11</f>
        <v/>
      </c>
      <c r="AN9" s="14">
        <f>AN7*$B$11</f>
        <v/>
      </c>
    </row>
    <row r="10">
      <c r="A10" s="9" t="inlineStr">
        <is>
          <t>Average CPM (₹)</t>
        </is>
      </c>
      <c r="B10" s="16" t="n">
        <v>180</v>
      </c>
      <c r="D10" s="13" t="inlineStr">
        <is>
          <t>Subscribers (Ending)</t>
        </is>
      </c>
      <c r="E10" s="14">
        <f>(0*(1-$B$13))+E9</f>
        <v/>
      </c>
      <c r="F10" s="14">
        <f>(E10*(1-$B$13))+F9</f>
        <v/>
      </c>
      <c r="G10" s="14">
        <f>(F10*(1-$B$13))+G9</f>
        <v/>
      </c>
      <c r="H10" s="14">
        <f>(G10*(1-$B$13))+H9</f>
        <v/>
      </c>
      <c r="I10" s="14">
        <f>(H10*(1-$B$13))+I9</f>
        <v/>
      </c>
      <c r="J10" s="14">
        <f>(I10*(1-$B$13))+J9</f>
        <v/>
      </c>
      <c r="K10" s="14">
        <f>(J10*(1-$B$13))+K9</f>
        <v/>
      </c>
      <c r="L10" s="14">
        <f>(K10*(1-$B$13))+L9</f>
        <v/>
      </c>
      <c r="M10" s="14">
        <f>(L10*(1-$B$13))+M9</f>
        <v/>
      </c>
      <c r="N10" s="14">
        <f>(M10*(1-$B$13))+N9</f>
        <v/>
      </c>
      <c r="O10" s="14">
        <f>(N10*(1-$B$13))+O9</f>
        <v/>
      </c>
      <c r="P10" s="14">
        <f>(O10*(1-$B$13))+P9</f>
        <v/>
      </c>
      <c r="Q10" s="14">
        <f>(P10*(1-$B$13))+Q9</f>
        <v/>
      </c>
      <c r="R10" s="14">
        <f>(Q10*(1-$B$13))+R9</f>
        <v/>
      </c>
      <c r="S10" s="14">
        <f>(R10*(1-$B$13))+S9</f>
        <v/>
      </c>
      <c r="T10" s="14">
        <f>(S10*(1-$B$13))+T9</f>
        <v/>
      </c>
      <c r="U10" s="14">
        <f>(T10*(1-$B$13))+U9</f>
        <v/>
      </c>
      <c r="V10" s="14">
        <f>(U10*(1-$B$13))+V9</f>
        <v/>
      </c>
      <c r="W10" s="14">
        <f>(V10*(1-$B$13))+W9</f>
        <v/>
      </c>
      <c r="X10" s="14">
        <f>(W10*(1-$B$13))+X9</f>
        <v/>
      </c>
      <c r="Y10" s="14">
        <f>(X10*(1-$B$13))+Y9</f>
        <v/>
      </c>
      <c r="Z10" s="14">
        <f>(Y10*(1-$B$13))+Z9</f>
        <v/>
      </c>
      <c r="AA10" s="14">
        <f>(Z10*(1-$B$13))+AA9</f>
        <v/>
      </c>
      <c r="AB10" s="14">
        <f>(AA10*(1-$B$13))+AB9</f>
        <v/>
      </c>
      <c r="AC10" s="14">
        <f>(AB10*(1-$B$13))+AC9</f>
        <v/>
      </c>
      <c r="AD10" s="14">
        <f>(AC10*(1-$B$13))+AD9</f>
        <v/>
      </c>
      <c r="AE10" s="14">
        <f>(AD10*(1-$B$13))+AE9</f>
        <v/>
      </c>
      <c r="AF10" s="14">
        <f>(AE10*(1-$B$13))+AF9</f>
        <v/>
      </c>
      <c r="AG10" s="14">
        <f>(AF10*(1-$B$13))+AG9</f>
        <v/>
      </c>
      <c r="AH10" s="14">
        <f>(AG10*(1-$B$13))+AH9</f>
        <v/>
      </c>
      <c r="AI10" s="14">
        <f>(AH10*(1-$B$13))+AI9</f>
        <v/>
      </c>
      <c r="AJ10" s="14">
        <f>(AI10*(1-$B$13))+AJ9</f>
        <v/>
      </c>
      <c r="AK10" s="14">
        <f>(AJ10*(1-$B$13))+AK9</f>
        <v/>
      </c>
      <c r="AL10" s="14">
        <f>(AK10*(1-$B$13))+AL9</f>
        <v/>
      </c>
      <c r="AM10" s="14">
        <f>(AL10*(1-$B$13))+AM9</f>
        <v/>
      </c>
      <c r="AN10" s="14">
        <f>(AM10*(1-$B$13))+AN9</f>
        <v/>
      </c>
    </row>
    <row r="11">
      <c r="A11" s="9" t="inlineStr">
        <is>
          <t>Subscription conversion % (of users)</t>
        </is>
      </c>
      <c r="B11" s="12" t="n">
        <v>0.018</v>
      </c>
      <c r="D11" s="13" t="inlineStr">
        <is>
          <t>Subscription Revenue (₹)</t>
        </is>
      </c>
      <c r="E11" s="17">
        <f>E10*$B$12</f>
        <v/>
      </c>
      <c r="F11" s="17">
        <f>F10*$B$12</f>
        <v/>
      </c>
      <c r="G11" s="17">
        <f>G10*$B$12</f>
        <v/>
      </c>
      <c r="H11" s="17">
        <f>H10*$B$12</f>
        <v/>
      </c>
      <c r="I11" s="17">
        <f>I10*$B$12</f>
        <v/>
      </c>
      <c r="J11" s="17">
        <f>J10*$B$12</f>
        <v/>
      </c>
      <c r="K11" s="17">
        <f>K10*$B$12</f>
        <v/>
      </c>
      <c r="L11" s="17">
        <f>L10*$B$12</f>
        <v/>
      </c>
      <c r="M11" s="17">
        <f>M10*$B$12</f>
        <v/>
      </c>
      <c r="N11" s="17">
        <f>N10*$B$12</f>
        <v/>
      </c>
      <c r="O11" s="17">
        <f>O10*$B$12</f>
        <v/>
      </c>
      <c r="P11" s="17">
        <f>P10*$B$12</f>
        <v/>
      </c>
      <c r="Q11" s="17">
        <f>Q10*$B$12</f>
        <v/>
      </c>
      <c r="R11" s="17">
        <f>R10*$B$12</f>
        <v/>
      </c>
      <c r="S11" s="17">
        <f>S10*$B$12</f>
        <v/>
      </c>
      <c r="T11" s="17">
        <f>T10*$B$12</f>
        <v/>
      </c>
      <c r="U11" s="17">
        <f>U10*$B$12</f>
        <v/>
      </c>
      <c r="V11" s="17">
        <f>V10*$B$12</f>
        <v/>
      </c>
      <c r="W11" s="17">
        <f>W10*$B$12</f>
        <v/>
      </c>
      <c r="X11" s="17">
        <f>X10*$B$12</f>
        <v/>
      </c>
      <c r="Y11" s="17">
        <f>Y10*$B$12</f>
        <v/>
      </c>
      <c r="Z11" s="17">
        <f>Z10*$B$12</f>
        <v/>
      </c>
      <c r="AA11" s="17">
        <f>AA10*$B$12</f>
        <v/>
      </c>
      <c r="AB11" s="17">
        <f>AB10*$B$12</f>
        <v/>
      </c>
      <c r="AC11" s="17">
        <f>AC10*$B$12</f>
        <v/>
      </c>
      <c r="AD11" s="17">
        <f>AD10*$B$12</f>
        <v/>
      </c>
      <c r="AE11" s="17">
        <f>AE10*$B$12</f>
        <v/>
      </c>
      <c r="AF11" s="17">
        <f>AF10*$B$12</f>
        <v/>
      </c>
      <c r="AG11" s="17">
        <f>AG10*$B$12</f>
        <v/>
      </c>
      <c r="AH11" s="17">
        <f>AH10*$B$12</f>
        <v/>
      </c>
      <c r="AI11" s="17">
        <f>AI10*$B$12</f>
        <v/>
      </c>
      <c r="AJ11" s="17">
        <f>AJ10*$B$12</f>
        <v/>
      </c>
      <c r="AK11" s="17">
        <f>AK10*$B$12</f>
        <v/>
      </c>
      <c r="AL11" s="17">
        <f>AL10*$B$12</f>
        <v/>
      </c>
      <c r="AM11" s="17">
        <f>AM10*$B$12</f>
        <v/>
      </c>
      <c r="AN11" s="17">
        <f>AN10*$B$12</f>
        <v/>
      </c>
    </row>
    <row r="12">
      <c r="A12" s="9" t="inlineStr">
        <is>
          <t>Subscription price (₹/month)</t>
        </is>
      </c>
      <c r="B12" s="16" t="n">
        <v>399</v>
      </c>
      <c r="D12" s="13" t="inlineStr">
        <is>
          <t>Total Revenue (₹)</t>
        </is>
      </c>
      <c r="E12" s="17">
        <f>E8+E11</f>
        <v/>
      </c>
      <c r="F12" s="17">
        <f>F8+F11</f>
        <v/>
      </c>
      <c r="G12" s="17">
        <f>G8+G11</f>
        <v/>
      </c>
      <c r="H12" s="17">
        <f>H8+H11</f>
        <v/>
      </c>
      <c r="I12" s="17">
        <f>I8+I11</f>
        <v/>
      </c>
      <c r="J12" s="17">
        <f>J8+J11</f>
        <v/>
      </c>
      <c r="K12" s="17">
        <f>K8+K11</f>
        <v/>
      </c>
      <c r="L12" s="17">
        <f>L8+L11</f>
        <v/>
      </c>
      <c r="M12" s="17">
        <f>M8+M11</f>
        <v/>
      </c>
      <c r="N12" s="17">
        <f>N8+N11</f>
        <v/>
      </c>
      <c r="O12" s="17">
        <f>O8+O11</f>
        <v/>
      </c>
      <c r="P12" s="17">
        <f>P8+P11</f>
        <v/>
      </c>
      <c r="Q12" s="17">
        <f>Q8+Q11</f>
        <v/>
      </c>
      <c r="R12" s="17">
        <f>R8+R11</f>
        <v/>
      </c>
      <c r="S12" s="17">
        <f>S8+S11</f>
        <v/>
      </c>
      <c r="T12" s="17">
        <f>T8+T11</f>
        <v/>
      </c>
      <c r="U12" s="17">
        <f>U8+U11</f>
        <v/>
      </c>
      <c r="V12" s="17">
        <f>V8+V11</f>
        <v/>
      </c>
      <c r="W12" s="17">
        <f>W8+W11</f>
        <v/>
      </c>
      <c r="X12" s="17">
        <f>X8+X11</f>
        <v/>
      </c>
      <c r="Y12" s="17">
        <f>Y8+Y11</f>
        <v/>
      </c>
      <c r="Z12" s="17">
        <f>Z8+Z11</f>
        <v/>
      </c>
      <c r="AA12" s="17">
        <f>AA8+AA11</f>
        <v/>
      </c>
      <c r="AB12" s="17">
        <f>AB8+AB11</f>
        <v/>
      </c>
      <c r="AC12" s="17">
        <f>AC8+AC11</f>
        <v/>
      </c>
      <c r="AD12" s="17">
        <f>AD8+AD11</f>
        <v/>
      </c>
      <c r="AE12" s="17">
        <f>AE8+AE11</f>
        <v/>
      </c>
      <c r="AF12" s="17">
        <f>AF8+AF11</f>
        <v/>
      </c>
      <c r="AG12" s="17">
        <f>AG8+AG11</f>
        <v/>
      </c>
      <c r="AH12" s="17">
        <f>AH8+AH11</f>
        <v/>
      </c>
      <c r="AI12" s="17">
        <f>AI8+AI11</f>
        <v/>
      </c>
      <c r="AJ12" s="17">
        <f>AJ8+AJ11</f>
        <v/>
      </c>
      <c r="AK12" s="17">
        <f>AK8+AK11</f>
        <v/>
      </c>
      <c r="AL12" s="17">
        <f>AL8+AL11</f>
        <v/>
      </c>
      <c r="AM12" s="17">
        <f>AM8+AM11</f>
        <v/>
      </c>
      <c r="AN12" s="17">
        <f>AN8+AN11</f>
        <v/>
      </c>
    </row>
    <row r="13">
      <c r="A13" s="9" t="inlineStr">
        <is>
          <t>Subscriber churn %/month</t>
        </is>
      </c>
      <c r="B13" s="12" t="n">
        <v>0.03</v>
      </c>
      <c r="D13" s="13" t="inlineStr">
        <is>
          <t>Subscription Share %</t>
        </is>
      </c>
      <c r="E13" s="24">
        <f>IF(E12=0,0,E11/E12)</f>
        <v/>
      </c>
      <c r="F13" s="24">
        <f>IF(F12=0,0,F11/F12)</f>
        <v/>
      </c>
      <c r="G13" s="24">
        <f>IF(G12=0,0,G11/G12)</f>
        <v/>
      </c>
      <c r="H13" s="24">
        <f>IF(H12=0,0,H11/H12)</f>
        <v/>
      </c>
      <c r="I13" s="24">
        <f>IF(I12=0,0,I11/I12)</f>
        <v/>
      </c>
      <c r="J13" s="24">
        <f>IF(J12=0,0,J11/J12)</f>
        <v/>
      </c>
      <c r="K13" s="24">
        <f>IF(K12=0,0,K11/K12)</f>
        <v/>
      </c>
      <c r="L13" s="24">
        <f>IF(L12=0,0,L11/L12)</f>
        <v/>
      </c>
      <c r="M13" s="24">
        <f>IF(M12=0,0,M11/M12)</f>
        <v/>
      </c>
      <c r="N13" s="24">
        <f>IF(N12=0,0,N11/N12)</f>
        <v/>
      </c>
      <c r="O13" s="24">
        <f>IF(O12=0,0,O11/O12)</f>
        <v/>
      </c>
      <c r="P13" s="24">
        <f>IF(P12=0,0,P11/P12)</f>
        <v/>
      </c>
      <c r="Q13" s="24">
        <f>IF(Q12=0,0,Q11/Q12)</f>
        <v/>
      </c>
      <c r="R13" s="24">
        <f>IF(R12=0,0,R11/R12)</f>
        <v/>
      </c>
      <c r="S13" s="24">
        <f>IF(S12=0,0,S11/S12)</f>
        <v/>
      </c>
      <c r="T13" s="24">
        <f>IF(T12=0,0,T11/T12)</f>
        <v/>
      </c>
      <c r="U13" s="24">
        <f>IF(U12=0,0,U11/U12)</f>
        <v/>
      </c>
      <c r="V13" s="24">
        <f>IF(V12=0,0,V11/V12)</f>
        <v/>
      </c>
      <c r="W13" s="24">
        <f>IF(W12=0,0,W11/W12)</f>
        <v/>
      </c>
      <c r="X13" s="24">
        <f>IF(X12=0,0,X11/X12)</f>
        <v/>
      </c>
      <c r="Y13" s="24">
        <f>IF(Y12=0,0,Y11/Y12)</f>
        <v/>
      </c>
      <c r="Z13" s="24">
        <f>IF(Z12=0,0,Z11/Z12)</f>
        <v/>
      </c>
      <c r="AA13" s="24">
        <f>IF(AA12=0,0,AA11/AA12)</f>
        <v/>
      </c>
      <c r="AB13" s="24">
        <f>IF(AB12=0,0,AB11/AB12)</f>
        <v/>
      </c>
      <c r="AC13" s="24">
        <f>IF(AC12=0,0,AC11/AC12)</f>
        <v/>
      </c>
      <c r="AD13" s="24">
        <f>IF(AD12=0,0,AD11/AD12)</f>
        <v/>
      </c>
      <c r="AE13" s="24">
        <f>IF(AE12=0,0,AE11/AE12)</f>
        <v/>
      </c>
      <c r="AF13" s="24">
        <f>IF(AF12=0,0,AF11/AF12)</f>
        <v/>
      </c>
      <c r="AG13" s="24">
        <f>IF(AG12=0,0,AG11/AG12)</f>
        <v/>
      </c>
      <c r="AH13" s="24">
        <f>IF(AH12=0,0,AH11/AH12)</f>
        <v/>
      </c>
      <c r="AI13" s="24">
        <f>IF(AI12=0,0,AI11/AI12)</f>
        <v/>
      </c>
      <c r="AJ13" s="24">
        <f>IF(AJ12=0,0,AJ11/AJ12)</f>
        <v/>
      </c>
      <c r="AK13" s="24">
        <f>IF(AK12=0,0,AK11/AK12)</f>
        <v/>
      </c>
      <c r="AL13" s="24">
        <f>IF(AL12=0,0,AL11/AL12)</f>
        <v/>
      </c>
      <c r="AM13" s="24">
        <f>IF(AM12=0,0,AM11/AM12)</f>
        <v/>
      </c>
      <c r="AN13" s="24">
        <f>IF(AN12=0,0,AN11/AN12)</f>
        <v/>
      </c>
    </row>
    <row r="14"/>
    <row r="15">
      <c r="A15" s="8" t="inlineStr">
        <is>
          <t>OUTPUTS (Green)</t>
        </is>
      </c>
      <c r="B15" s="42" t="n"/>
      <c r="C15" s="43" t="n"/>
    </row>
    <row r="16">
      <c r="A16" s="18" t="inlineStr">
        <is>
          <t>Year</t>
        </is>
      </c>
      <c r="B16" s="18" t="inlineStr">
        <is>
          <t>Ads (₹)</t>
        </is>
      </c>
      <c r="C16" s="18" t="inlineStr">
        <is>
          <t>Subs (₹)</t>
        </is>
      </c>
      <c r="D16" s="18" t="inlineStr">
        <is>
          <t>Total (₹)</t>
        </is>
      </c>
    </row>
    <row r="17">
      <c r="A17" s="19" t="n">
        <v>1</v>
      </c>
      <c r="B17" s="20">
        <f>SUM(E8:P8)</f>
        <v/>
      </c>
      <c r="C17" s="20">
        <f>SUM(E11:P11)</f>
        <v/>
      </c>
      <c r="D17" s="20">
        <f>B17+C17</f>
        <v/>
      </c>
    </row>
    <row r="18">
      <c r="A18" s="19" t="n">
        <v>2</v>
      </c>
      <c r="B18" s="20">
        <f>SUM(Q8:AB8)</f>
        <v/>
      </c>
      <c r="C18" s="20">
        <f>SUM(Q11:AB11)</f>
        <v/>
      </c>
      <c r="D18" s="20">
        <f>B18+C18</f>
        <v/>
      </c>
    </row>
    <row r="19">
      <c r="A19" s="19" t="n">
        <v>3</v>
      </c>
      <c r="B19" s="20">
        <f>SUM(AC8:AN8)</f>
        <v/>
      </c>
      <c r="C19" s="20">
        <f>SUM(AC11:AN11)</f>
        <v/>
      </c>
      <c r="D19" s="20">
        <f>B19+C19</f>
        <v/>
      </c>
    </row>
    <row r="20"/>
    <row r="21">
      <c r="A21" s="8" t="inlineStr">
        <is>
          <t>CHECKS (Red)</t>
        </is>
      </c>
      <c r="B21" s="42" t="n"/>
      <c r="C21" s="43" t="n"/>
    </row>
    <row r="22">
      <c r="A22" s="21" t="inlineStr">
        <is>
          <t>Conversion in [0,100%]</t>
        </is>
      </c>
      <c r="B22" s="22">
        <f>AND($B$11&gt;=0,$B$11&lt;=1)</f>
        <v/>
      </c>
      <c r="C22" s="23">
        <f>IF(B22,"OK","CHECK")</f>
        <v/>
      </c>
    </row>
    <row r="23">
      <c r="A23" s="21" t="inlineStr">
        <is>
          <t>Churn in [0,100%]</t>
        </is>
      </c>
      <c r="B23" s="22">
        <f>AND($B$13&gt;=0,$B$13&lt;=1)</f>
        <v/>
      </c>
      <c r="C23" s="23">
        <f>IF(B23,"OK","CHECK")</f>
        <v/>
      </c>
    </row>
    <row r="24">
      <c r="A24" s="21" t="inlineStr">
        <is>
          <t>Price &gt; 0</t>
        </is>
      </c>
      <c r="B24" s="22">
        <f>$B$12&gt;0</f>
        <v/>
      </c>
      <c r="C24" s="23">
        <f>IF(B24,"OK","CHECK")</f>
        <v/>
      </c>
    </row>
    <row r="25">
      <c r="A25" s="21" t="inlineStr">
        <is>
          <t>Total = Ads+Subs (Month 1)</t>
        </is>
      </c>
      <c r="B25" s="22">
        <f>ABS(E12-(E8+E11))&lt;0.01</f>
        <v/>
      </c>
      <c r="C25" s="23">
        <f>IF(B25,"OK","CHECK")</f>
        <v/>
      </c>
    </row>
  </sheetData>
  <sheetProtection selectLockedCells="0" selectUnlockedCells="0" sheet="1" objects="1" insertRows="0" insertHyperlinks="1" autoFilter="0" scenarios="1" formatColumns="0" deleteColumns="0" insertColumns="0" pivotTables="0" deleteRows="0" formatCells="0" formatRows="0" sort="0" password="AE3A"/>
  <mergeCells count="5">
    <mergeCell ref="E4:AN4"/>
    <mergeCell ref="A21:C21"/>
    <mergeCell ref="A15:C15"/>
    <mergeCell ref="A4:C4"/>
    <mergeCell ref="A1:AN1"/>
  </mergeCells>
  <hyperlinks>
    <hyperlink xmlns:r="http://schemas.openxmlformats.org/officeDocument/2006/relationships" ref="A1" r:id="rId1"/>
    <hyperlink xmlns:r="http://schemas.openxmlformats.org/officeDocument/2006/relationships" ref="A2" r:id="rId2"/>
  </hyperlink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0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2" customWidth="1" min="1" max="1"/>
    <col width="18" customWidth="1" min="2" max="2"/>
    <col width="2" customWidth="1" min="3" max="3"/>
    <col width="30" customWidth="1" min="4" max="4"/>
    <col width="18" customWidth="1" min="5" max="5"/>
  </cols>
  <sheetData>
    <row r="1" ht="26" customHeight="1">
      <c r="A1" s="6" t="inlineStr">
        <is>
          <t>FinEdHub – Caselet 3: Engagement Uplift → Monetization → ARPU</t>
        </is>
      </c>
    </row>
    <row r="2">
      <c r="A2" s="7" t="inlineStr">
        <is>
          <t>← Back to INDEX</t>
        </is>
      </c>
    </row>
    <row r="3"/>
    <row r="4">
      <c r="A4" s="8" t="inlineStr">
        <is>
          <t>INPUTS (Edit yellow cells)</t>
        </is>
      </c>
      <c r="B4" s="42" t="n"/>
      <c r="C4" s="43" t="n"/>
      <c r="D4" s="8" t="inlineStr">
        <is>
          <t>CALCULATIONS (Month 12 run-rate)</t>
        </is>
      </c>
      <c r="E4" s="43" t="n"/>
    </row>
    <row r="5">
      <c r="A5" s="9" t="inlineStr">
        <is>
          <t>Monthly users (Month 0)</t>
        </is>
      </c>
      <c r="B5" s="10" t="n">
        <v>600000</v>
      </c>
      <c r="D5" s="11" t="inlineStr">
        <is>
          <t>Metric</t>
        </is>
      </c>
      <c r="E5" s="11" t="inlineStr">
        <is>
          <t>Value</t>
        </is>
      </c>
    </row>
    <row r="6">
      <c r="A6" s="9" t="inlineStr">
        <is>
          <t>Monthly user growth %</t>
        </is>
      </c>
      <c r="B6" s="12" t="n">
        <v>0.06</v>
      </c>
      <c r="D6" s="13" t="inlineStr">
        <is>
          <t>Users (Month 12)</t>
        </is>
      </c>
      <c r="E6" s="14">
        <f>$B$5*(1+$B$6)^12</f>
        <v/>
      </c>
    </row>
    <row r="7">
      <c r="A7" s="9" t="inlineStr">
        <is>
          <t>Page views per user per month</t>
        </is>
      </c>
      <c r="B7" s="15" t="n">
        <v>4.5</v>
      </c>
      <c r="D7" s="13" t="inlineStr">
        <is>
          <t>Baseline Ad Revenue (Month 12)</t>
        </is>
      </c>
      <c r="E7" s="17">
        <f>((($E$6*$B$7)*$B$8)/1000)*$B$9</f>
        <v/>
      </c>
    </row>
    <row r="8">
      <c r="A8" s="9" t="inlineStr">
        <is>
          <t>Ad fill rate %</t>
        </is>
      </c>
      <c r="B8" s="12" t="n">
        <v>0.8</v>
      </c>
      <c r="D8" s="13" t="inlineStr">
        <is>
          <t>Baseline Conv %</t>
        </is>
      </c>
      <c r="E8" s="24">
        <f>$B$10</f>
        <v/>
      </c>
    </row>
    <row r="9">
      <c r="A9" s="9" t="inlineStr">
        <is>
          <t>Baseline CPM (₹)</t>
        </is>
      </c>
      <c r="B9" s="16" t="n">
        <v>180</v>
      </c>
      <c r="D9" s="13" t="inlineStr">
        <is>
          <t>Baseline Ending Subs (approx.)</t>
        </is>
      </c>
      <c r="E9" s="14">
        <f>($E$6*$E$8)/MAX($B$12,0.0001)</f>
        <v/>
      </c>
    </row>
    <row r="10">
      <c r="A10" s="9" t="inlineStr">
        <is>
          <t>Baseline subscription conversion %</t>
        </is>
      </c>
      <c r="B10" s="12" t="n">
        <v>0.018</v>
      </c>
      <c r="D10" s="13" t="inlineStr">
        <is>
          <t>Baseline Subscription Revenue (Month 12)</t>
        </is>
      </c>
      <c r="E10" s="17">
        <f>$E$9*$B$11</f>
        <v/>
      </c>
    </row>
    <row r="11">
      <c r="A11" s="9" t="inlineStr">
        <is>
          <t>Subscription price (₹/month)</t>
        </is>
      </c>
      <c r="B11" s="16" t="n">
        <v>399</v>
      </c>
      <c r="D11" s="13" t="inlineStr">
        <is>
          <t>Baseline Total Revenue (Month 12)</t>
        </is>
      </c>
      <c r="E11" s="17">
        <f>$E$7+$E$10</f>
        <v/>
      </c>
    </row>
    <row r="12">
      <c r="A12" s="9" t="inlineStr">
        <is>
          <t>Subscriber churn %/month</t>
        </is>
      </c>
      <c r="B12" s="12" t="n">
        <v>0.03</v>
      </c>
      <c r="D12" s="13" t="inlineStr">
        <is>
          <t>Baseline ARPU (₹/user/month)</t>
        </is>
      </c>
      <c r="E12" s="25">
        <f>IF($E$6=0,0,$E$11/$E$6)</f>
        <v/>
      </c>
    </row>
    <row r="13">
      <c r="A13" s="9" t="inlineStr">
        <is>
          <t>CPM uplift from engagement %</t>
        </is>
      </c>
      <c r="B13" s="12" t="n">
        <v>0.12</v>
      </c>
    </row>
    <row r="14">
      <c r="A14" s="9" t="inlineStr">
        <is>
          <t>Conversion uplift (absolute)</t>
        </is>
      </c>
      <c r="B14" s="12" t="n">
        <v>0.005</v>
      </c>
      <c r="D14" s="13" t="inlineStr">
        <is>
          <t>Improved CPM (₹)</t>
        </is>
      </c>
      <c r="E14" s="17">
        <f>$B$9*(1+$B$13)</f>
        <v/>
      </c>
    </row>
    <row r="15">
      <c r="D15" s="13" t="inlineStr">
        <is>
          <t>Improved Conv %</t>
        </is>
      </c>
      <c r="E15" s="24">
        <f>MIN(1,$B$10+$B$14)</f>
        <v/>
      </c>
    </row>
    <row r="16">
      <c r="D16" s="13" t="inlineStr">
        <is>
          <t>Improved Ad Revenue (Month 12)</t>
        </is>
      </c>
      <c r="E16" s="17">
        <f>((($E$6*$B$7)*$B$8)/1000)*$E$14</f>
        <v/>
      </c>
    </row>
    <row r="17">
      <c r="D17" s="13" t="inlineStr">
        <is>
          <t>Improved Ending Subs (approx.)</t>
        </is>
      </c>
      <c r="E17" s="14">
        <f>($E$6*$E$15)/MAX($B$12,0.0001)</f>
        <v/>
      </c>
    </row>
    <row r="18">
      <c r="D18" s="13" t="inlineStr">
        <is>
          <t>Improved Subscription Revenue (Month 12)</t>
        </is>
      </c>
      <c r="E18" s="17">
        <f>$E$17*$B$11</f>
        <v/>
      </c>
    </row>
    <row r="19">
      <c r="D19" s="13" t="inlineStr">
        <is>
          <t>Improved Total Revenue (Month 12)</t>
        </is>
      </c>
      <c r="E19" s="17">
        <f>$E$16+$E$18</f>
        <v/>
      </c>
    </row>
    <row r="20">
      <c r="D20" s="13" t="inlineStr">
        <is>
          <t>Improved ARPU (₹/user/month)</t>
        </is>
      </c>
      <c r="E20" s="25">
        <f>IF($E$6=0,0,$E$19/$E$6)</f>
        <v/>
      </c>
    </row>
    <row r="21"/>
    <row r="22">
      <c r="A22" s="8" t="inlineStr">
        <is>
          <t>OUTPUTS (Green)</t>
        </is>
      </c>
      <c r="B22" s="42" t="n"/>
      <c r="C22" s="43" t="n"/>
    </row>
    <row r="23">
      <c r="A23" s="26" t="inlineStr">
        <is>
          <t>ARPU uplift (₹)</t>
        </is>
      </c>
      <c r="B23" s="27">
        <f>$E$20-$E$12</f>
        <v/>
      </c>
    </row>
    <row r="24">
      <c r="A24" s="26" t="inlineStr">
        <is>
          <t>ARPU uplift (%)</t>
        </is>
      </c>
      <c r="B24" s="28">
        <f>IF($E$12=0,0,$B$23/$E$12)</f>
        <v/>
      </c>
    </row>
    <row r="25">
      <c r="A25" s="26" t="inlineStr">
        <is>
          <t>Incremental revenue (Month 12, ₹)</t>
        </is>
      </c>
      <c r="B25" s="20">
        <f>$E$19-$E$11</f>
        <v/>
      </c>
    </row>
    <row r="26"/>
    <row r="27">
      <c r="A27" s="8" t="inlineStr">
        <is>
          <t>CHECKS (Red)</t>
        </is>
      </c>
      <c r="B27" s="42" t="n"/>
      <c r="C27" s="43" t="n"/>
    </row>
    <row r="28">
      <c r="A28" s="21" t="inlineStr">
        <is>
          <t>Improved conversion ≤ 100%</t>
        </is>
      </c>
      <c r="B28" s="22">
        <f>$E$15&lt;=1</f>
        <v/>
      </c>
      <c r="C28" s="23">
        <f>IF(B28,"OK","CHECK")</f>
        <v/>
      </c>
    </row>
    <row r="29">
      <c r="A29" s="21" t="inlineStr">
        <is>
          <t>Churn in [0,100%]</t>
        </is>
      </c>
      <c r="B29" s="22">
        <f>AND($B$12&gt;=0,$B$12&lt;=1)</f>
        <v/>
      </c>
      <c r="C29" s="23">
        <f>IF(B29,"OK","CHECK")</f>
        <v/>
      </c>
    </row>
    <row r="30">
      <c r="A30" s="21" t="inlineStr">
        <is>
          <t>CPM &gt; 0</t>
        </is>
      </c>
      <c r="B30" s="22">
        <f>$B$9&gt;0</f>
        <v/>
      </c>
      <c r="C30" s="23">
        <f>IF(B30,"OK","CHECK")</f>
        <v/>
      </c>
    </row>
  </sheetData>
  <sheetProtection selectLockedCells="0" selectUnlockedCells="0" sheet="1" objects="1" insertRows="0" insertHyperlinks="1" autoFilter="0" scenarios="1" formatColumns="0" deleteColumns="0" insertColumns="0" pivotTables="0" deleteRows="0" formatCells="0" formatRows="0" sort="0" password="AE3A"/>
  <mergeCells count="5">
    <mergeCell ref="A22:C22"/>
    <mergeCell ref="A27:C27"/>
    <mergeCell ref="A1:E1"/>
    <mergeCell ref="D4:E4"/>
    <mergeCell ref="A4:C4"/>
  </mergeCells>
  <hyperlinks>
    <hyperlink xmlns:r="http://schemas.openxmlformats.org/officeDocument/2006/relationships" ref="A1" r:id="rId1"/>
    <hyperlink xmlns:r="http://schemas.openxmlformats.org/officeDocument/2006/relationships" ref="A2" r:id="rId2"/>
  </hyperlinks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3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  <col width="18" customWidth="1" min="2" max="2"/>
    <col width="2" customWidth="1" min="3" max="3"/>
    <col width="30" customWidth="1" min="4" max="4"/>
    <col width="18" customWidth="1" min="5" max="5"/>
  </cols>
  <sheetData>
    <row r="1" ht="26" customHeight="1">
      <c r="A1" s="6" t="inlineStr">
        <is>
          <t>FinEdHub – Caselet 4: Break-even Traffic (Fixed Costs &amp; Revenue per User)</t>
        </is>
      </c>
    </row>
    <row r="2">
      <c r="A2" s="7" t="inlineStr">
        <is>
          <t>← Back to INDEX</t>
        </is>
      </c>
    </row>
    <row r="3"/>
    <row r="4">
      <c r="A4" s="8" t="inlineStr">
        <is>
          <t>INPUTS (Edit yellow cells)</t>
        </is>
      </c>
      <c r="B4" s="42" t="n"/>
      <c r="C4" s="43" t="n"/>
      <c r="D4" s="8" t="inlineStr">
        <is>
          <t>CALCULATIONS</t>
        </is>
      </c>
      <c r="E4" s="43" t="n"/>
    </row>
    <row r="5">
      <c r="A5" s="9" t="inlineStr">
        <is>
          <t>Page views per user per month</t>
        </is>
      </c>
      <c r="B5" s="15" t="n">
        <v>4.5</v>
      </c>
      <c r="D5" s="11" t="inlineStr">
        <is>
          <t>Metric</t>
        </is>
      </c>
      <c r="E5" s="11" t="inlineStr">
        <is>
          <t>Value</t>
        </is>
      </c>
    </row>
    <row r="6">
      <c r="A6" s="9" t="inlineStr">
        <is>
          <t>Ad fill rate %</t>
        </is>
      </c>
      <c r="B6" s="12" t="n">
        <v>0.8</v>
      </c>
      <c r="D6" s="13" t="inlineStr">
        <is>
          <t>Ads revenue per user (₹/month)</t>
        </is>
      </c>
      <c r="E6" s="25">
        <f>(($B$5*$B$6)/1000)*$B$7</f>
        <v/>
      </c>
    </row>
    <row r="7">
      <c r="A7" s="9" t="inlineStr">
        <is>
          <t>Average CPM (₹)</t>
        </is>
      </c>
      <c r="B7" s="16" t="n">
        <v>180</v>
      </c>
      <c r="D7" s="13" t="inlineStr">
        <is>
          <t>Subscription revenue per user (₹/month)</t>
        </is>
      </c>
      <c r="E7" s="25">
        <f>$B$8*$B$9*$B$10</f>
        <v/>
      </c>
    </row>
    <row r="8">
      <c r="A8" s="9" t="inlineStr">
        <is>
          <t>Subscription conversion %</t>
        </is>
      </c>
      <c r="B8" s="12" t="n">
        <v>0.018</v>
      </c>
      <c r="D8" s="13" t="inlineStr">
        <is>
          <t>Total revenue per user (₹/month)</t>
        </is>
      </c>
      <c r="E8" s="25">
        <f>$E$6+$E$7</f>
        <v/>
      </c>
    </row>
    <row r="9">
      <c r="A9" s="9" t="inlineStr">
        <is>
          <t>Subscription price (₹/month)</t>
        </is>
      </c>
      <c r="B9" s="16" t="n">
        <v>399</v>
      </c>
      <c r="D9" s="13" t="inlineStr">
        <is>
          <t>Total fixed costs (₹/month)</t>
        </is>
      </c>
      <c r="E9" s="17">
        <f>SUM($B$11:$B$13)</f>
        <v/>
      </c>
    </row>
    <row r="10">
      <c r="A10" s="9" t="inlineStr">
        <is>
          <t>Include subscription? (1=Yes,0=No)</t>
        </is>
      </c>
      <c r="B10" s="10" t="n">
        <v>1</v>
      </c>
      <c r="D10" s="13" t="inlineStr">
        <is>
          <t>Break-even users / month</t>
        </is>
      </c>
      <c r="E10" s="14">
        <f>IF($E$8&lt;=0,0,$E$9/$E$8)</f>
        <v/>
      </c>
    </row>
    <row r="11">
      <c r="A11" s="9" t="inlineStr">
        <is>
          <t>Monthly fixed costs – Editorial (₹)</t>
        </is>
      </c>
      <c r="B11" s="16" t="n">
        <v>4500000</v>
      </c>
      <c r="D11" s="13" t="inlineStr">
        <is>
          <t>Break-even page views / month</t>
        </is>
      </c>
      <c r="E11" s="14">
        <f>$E$10*$B$5</f>
        <v/>
      </c>
    </row>
    <row r="12">
      <c r="A12" s="9" t="inlineStr">
        <is>
          <t>Monthly fixed costs – Tech/Hosting (₹)</t>
        </is>
      </c>
      <c r="B12" s="16" t="n">
        <v>1800000</v>
      </c>
    </row>
    <row r="13">
      <c r="A13" s="9" t="inlineStr">
        <is>
          <t>Monthly fixed costs – Marketing (₹)</t>
        </is>
      </c>
      <c r="B13" s="16" t="n">
        <v>2200000</v>
      </c>
    </row>
    <row r="14"/>
    <row r="15">
      <c r="A15" s="8" t="inlineStr">
        <is>
          <t>OUTPUTS (Green)</t>
        </is>
      </c>
      <c r="B15" s="42" t="n"/>
      <c r="C15" s="43" t="n"/>
    </row>
    <row r="16">
      <c r="A16" s="26" t="inlineStr">
        <is>
          <t>Break-even users/month</t>
        </is>
      </c>
      <c r="B16" s="29">
        <f>$E$10</f>
        <v/>
      </c>
    </row>
    <row r="17">
      <c r="A17" s="26" t="inlineStr">
        <is>
          <t>Break-even page views/month</t>
        </is>
      </c>
      <c r="B17" s="29">
        <f>$E$11</f>
        <v/>
      </c>
    </row>
    <row r="18">
      <c r="A18" s="26" t="inlineStr">
        <is>
          <t>Revenue per user (₹/month)</t>
        </is>
      </c>
      <c r="B18" s="27">
        <f>$E$8</f>
        <v/>
      </c>
    </row>
    <row r="19"/>
    <row r="20">
      <c r="A20" s="8" t="inlineStr">
        <is>
          <t>CHECKS (Red)</t>
        </is>
      </c>
      <c r="B20" s="42" t="n"/>
      <c r="C20" s="43" t="n"/>
    </row>
    <row r="21">
      <c r="A21" s="21" t="inlineStr">
        <is>
          <t>Fill rate in [0,100%]</t>
        </is>
      </c>
      <c r="B21" s="22">
        <f>AND($B$6&gt;=0,$B$6&lt;=1)</f>
        <v/>
      </c>
      <c r="C21" s="23">
        <f>IF(B21,"OK","CHECK")</f>
        <v/>
      </c>
    </row>
    <row r="22">
      <c r="A22" s="21" t="inlineStr">
        <is>
          <t>CPM &gt; 0</t>
        </is>
      </c>
      <c r="B22" s="22">
        <f>$B$7&gt;0</f>
        <v/>
      </c>
      <c r="C22" s="23">
        <f>IF(B22,"OK","CHECK")</f>
        <v/>
      </c>
    </row>
    <row r="23">
      <c r="A23" s="21" t="inlineStr">
        <is>
          <t>Toggle is 0 or 1</t>
        </is>
      </c>
      <c r="B23" s="22">
        <f>OR($B$10=0,$B$10=1)</f>
        <v/>
      </c>
      <c r="C23" s="23">
        <f>IF(B23,"OK","CHECK")</f>
        <v/>
      </c>
    </row>
  </sheetData>
  <sheetProtection selectLockedCells="0" selectUnlockedCells="0" sheet="1" objects="1" insertRows="0" insertHyperlinks="1" autoFilter="0" scenarios="1" formatColumns="0" deleteColumns="0" insertColumns="0" pivotTables="0" deleteRows="0" formatCells="0" formatRows="0" sort="0" password="AE3A"/>
  <mergeCells count="5">
    <mergeCell ref="A1:E1"/>
    <mergeCell ref="D4:E4"/>
    <mergeCell ref="A15:C15"/>
    <mergeCell ref="A4:C4"/>
    <mergeCell ref="A20:C20"/>
  </mergeCells>
  <hyperlinks>
    <hyperlink xmlns:r="http://schemas.openxmlformats.org/officeDocument/2006/relationships" ref="A1" r:id="rId1"/>
    <hyperlink xmlns:r="http://schemas.openxmlformats.org/officeDocument/2006/relationships" ref="A2" r:id="rId2"/>
  </hyperlinks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4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2" customWidth="1" min="1" max="1"/>
    <col width="18" customWidth="1" min="2" max="2"/>
    <col width="2" customWidth="1" min="3" max="3"/>
    <col width="22" customWidth="1" min="4" max="4"/>
    <col width="18" customWidth="1" min="5" max="5"/>
    <col width="18" customWidth="1" min="6" max="6"/>
    <col width="18" customWidth="1" min="7" max="7"/>
  </cols>
  <sheetData>
    <row r="1" ht="26" customHeight="1">
      <c r="A1" s="6" t="inlineStr">
        <is>
          <t>FinEdHub – Caselet 5: Scenario Forecasting + Revenue Multiple Valuation</t>
        </is>
      </c>
    </row>
    <row r="2">
      <c r="A2" s="7" t="inlineStr">
        <is>
          <t>← Back to INDEX</t>
        </is>
      </c>
    </row>
    <row r="3"/>
    <row r="4">
      <c r="A4" s="8" t="inlineStr">
        <is>
          <t>INPUTS (Edit yellow cells)</t>
        </is>
      </c>
      <c r="B4" s="42" t="n"/>
      <c r="C4" s="43" t="n"/>
      <c r="D4" s="8" t="inlineStr">
        <is>
          <t>SCENARIO INPUTS (Growth assumptions)</t>
        </is>
      </c>
      <c r="E4" s="42" t="n"/>
      <c r="F4" s="42" t="n"/>
      <c r="G4" s="43" t="n"/>
    </row>
    <row r="5">
      <c r="A5" s="9" t="inlineStr">
        <is>
          <t>Current monthly users (Month 0)</t>
        </is>
      </c>
      <c r="B5" s="10" t="n">
        <v>600000</v>
      </c>
      <c r="D5" s="30" t="inlineStr">
        <is>
          <t>Scenario</t>
        </is>
      </c>
      <c r="E5" s="30" t="inlineStr">
        <is>
          <t>User growth %/month</t>
        </is>
      </c>
      <c r="F5" s="30" t="inlineStr">
        <is>
          <t>ARPU growth %/month</t>
        </is>
      </c>
      <c r="G5" s="2" t="inlineStr">
        <is>
          <t>Notes</t>
        </is>
      </c>
    </row>
    <row r="6">
      <c r="A6" s="9" t="inlineStr">
        <is>
          <t>Current ARPU (₹/user/month)</t>
        </is>
      </c>
      <c r="B6" s="31" t="n">
        <v>2.1</v>
      </c>
      <c r="D6" s="32" t="inlineStr">
        <is>
          <t>Conservative</t>
        </is>
      </c>
      <c r="E6" s="12" t="n">
        <v>0.03</v>
      </c>
      <c r="F6" s="12" t="n">
        <v>0.02</v>
      </c>
      <c r="G6" s="32" t="inlineStr">
        <is>
          <t>Lower growth &amp; slower monetization uplift</t>
        </is>
      </c>
    </row>
    <row r="7">
      <c r="A7" s="9" t="inlineStr">
        <is>
          <t>Forward months for run-rate (default 12)</t>
        </is>
      </c>
      <c r="B7" s="10" t="n">
        <v>12</v>
      </c>
      <c r="D7" s="32" t="inlineStr">
        <is>
          <t>Base</t>
        </is>
      </c>
      <c r="E7" s="12" t="n">
        <v>0.06</v>
      </c>
      <c r="F7" s="12" t="n">
        <v>0.05</v>
      </c>
      <c r="G7" s="32" t="inlineStr">
        <is>
          <t>Matches current traction and improving monetization</t>
        </is>
      </c>
    </row>
    <row r="8">
      <c r="A8" s="9" t="inlineStr">
        <is>
          <t>Revenue multiple – Low</t>
        </is>
      </c>
      <c r="B8" s="15" t="n">
        <v>3</v>
      </c>
      <c r="D8" s="32" t="inlineStr">
        <is>
          <t>Aggressive</t>
        </is>
      </c>
      <c r="E8" s="12" t="n">
        <v>0.09</v>
      </c>
      <c r="F8" s="12" t="n">
        <v>0.08</v>
      </c>
      <c r="G8" s="32" t="inlineStr">
        <is>
          <t>Strong viral growth and monetization step-up</t>
        </is>
      </c>
    </row>
    <row r="9">
      <c r="A9" s="9" t="inlineStr">
        <is>
          <t>Revenue multiple – Base</t>
        </is>
      </c>
      <c r="B9" s="15" t="n">
        <v>4.5</v>
      </c>
    </row>
    <row r="10">
      <c r="A10" s="9" t="inlineStr">
        <is>
          <t>Revenue multiple – High</t>
        </is>
      </c>
      <c r="B10" s="15" t="n">
        <v>6</v>
      </c>
    </row>
    <row r="11">
      <c r="A11" s="8" t="inlineStr">
        <is>
          <t>CALCULATIONS (Forward 12M Revenue &amp; Valuation) – EV in ₹ crore</t>
        </is>
      </c>
      <c r="B11" s="42" t="n"/>
      <c r="C11" s="42" t="n"/>
      <c r="D11" s="42" t="n"/>
      <c r="E11" s="42" t="n"/>
      <c r="F11" s="42" t="n"/>
      <c r="G11" s="43" t="n"/>
    </row>
    <row r="12">
      <c r="A12" s="11" t="inlineStr">
        <is>
          <t>Scenario</t>
        </is>
      </c>
      <c r="B12" s="11" t="inlineStr">
        <is>
          <t>Users (Month 12)</t>
        </is>
      </c>
      <c r="C12" s="11" t="inlineStr">
        <is>
          <t>ARPU (Month 12)</t>
        </is>
      </c>
      <c r="D12" s="11" t="inlineStr">
        <is>
          <t>Forward 12M Revenue (₹)</t>
        </is>
      </c>
      <c r="E12" s="11" t="inlineStr">
        <is>
          <t>Forward 12M Revenue (₹ cr)</t>
        </is>
      </c>
      <c r="F12" s="11" t="inlineStr">
        <is>
          <t>EV Low (₹ cr)</t>
        </is>
      </c>
      <c r="G12" s="11" t="inlineStr">
        <is>
          <t>EV High (₹ cr)</t>
        </is>
      </c>
    </row>
    <row r="13">
      <c r="A13" s="33">
        <f>$D$6</f>
        <v/>
      </c>
      <c r="B13" s="14">
        <f>$B$5*(1+E6)^12</f>
        <v/>
      </c>
      <c r="C13" s="25">
        <f>$B$6*(1+F6)^12</f>
        <v/>
      </c>
      <c r="D13" s="17">
        <f>B13*C13*12</f>
        <v/>
      </c>
      <c r="E13" s="34">
        <f>D13/10000000</f>
        <v/>
      </c>
      <c r="F13" s="34">
        <f>E13*$B$8</f>
        <v/>
      </c>
      <c r="G13" s="34">
        <f>E13*$B$10</f>
        <v/>
      </c>
    </row>
    <row r="14">
      <c r="A14" s="33">
        <f>$D$7</f>
        <v/>
      </c>
      <c r="B14" s="14">
        <f>$B$5*(1+E7)^12</f>
        <v/>
      </c>
      <c r="C14" s="25">
        <f>$B$6*(1+F7)^12</f>
        <v/>
      </c>
      <c r="D14" s="17">
        <f>B14*C14*12</f>
        <v/>
      </c>
      <c r="E14" s="34">
        <f>D14/10000000</f>
        <v/>
      </c>
      <c r="F14" s="34">
        <f>E14*$B$8</f>
        <v/>
      </c>
      <c r="G14" s="34">
        <f>E14*$B$10</f>
        <v/>
      </c>
    </row>
    <row r="15">
      <c r="A15" s="33">
        <f>$D$8</f>
        <v/>
      </c>
      <c r="B15" s="14">
        <f>$B$5*(1+E8)^12</f>
        <v/>
      </c>
      <c r="C15" s="25">
        <f>$B$6*(1+F8)^12</f>
        <v/>
      </c>
      <c r="D15" s="17">
        <f>B15*C15*12</f>
        <v/>
      </c>
      <c r="E15" s="34">
        <f>D15/10000000</f>
        <v/>
      </c>
      <c r="F15" s="34">
        <f>E15*$B$8</f>
        <v/>
      </c>
      <c r="G15" s="34">
        <f>E15*$B$10</f>
        <v/>
      </c>
    </row>
    <row r="16"/>
    <row r="17">
      <c r="A17" s="8" t="inlineStr">
        <is>
          <t>OUTPUTS (Green)</t>
        </is>
      </c>
      <c r="B17" s="42" t="n"/>
      <c r="C17" s="43" t="n"/>
    </row>
    <row r="18">
      <c r="A18" s="26" t="inlineStr">
        <is>
          <t>Best scenario (max EV High)</t>
        </is>
      </c>
      <c r="B18" s="35">
        <f>INDEX($A$13:$A$15, MATCH(MAX($G$13:$G$15), $G$13:$G$15, 0))</f>
        <v/>
      </c>
    </row>
    <row r="19">
      <c r="A19" s="26" t="inlineStr">
        <is>
          <t>Max EV High (₹ cr)</t>
        </is>
      </c>
      <c r="B19" s="36">
        <f>MAX($G$13:$G$15)</f>
        <v/>
      </c>
    </row>
    <row r="20">
      <c r="A20" s="26" t="inlineStr">
        <is>
          <t>Min EV Low (₹ cr)</t>
        </is>
      </c>
      <c r="B20" s="36">
        <f>MIN($F$13:$F$15)</f>
        <v/>
      </c>
    </row>
    <row r="21"/>
    <row r="22">
      <c r="A22" s="8" t="inlineStr">
        <is>
          <t>CHECKS (Red)</t>
        </is>
      </c>
      <c r="B22" s="42" t="n"/>
      <c r="C22" s="43" t="n"/>
    </row>
    <row r="23">
      <c r="A23" s="21" t="inlineStr">
        <is>
          <t>Multiples &gt; 0</t>
        </is>
      </c>
      <c r="B23" s="22">
        <f>MIN($B$8:$B$10)&gt;0</f>
        <v/>
      </c>
      <c r="C23" s="23">
        <f>IF(B23,"OK","CHECK")</f>
        <v/>
      </c>
    </row>
    <row r="24">
      <c r="A24" s="21" t="inlineStr">
        <is>
          <t>Growth in [0,100%]</t>
        </is>
      </c>
      <c r="B24" s="22">
        <f>AND(MIN($E$6:$F$8)&gt;=0,MAX($E$6:$F$8)&lt;=1)</f>
        <v/>
      </c>
      <c r="C24" s="23">
        <f>IF(B24,"OK","CHECK")</f>
        <v/>
      </c>
    </row>
  </sheetData>
  <sheetProtection selectLockedCells="0" selectUnlockedCells="0" sheet="1" objects="1" insertRows="0" insertHyperlinks="1" autoFilter="0" scenarios="1" formatColumns="0" deleteColumns="0" insertColumns="0" pivotTables="0" deleteRows="0" formatCells="0" formatRows="0" sort="0" password="AE3A"/>
  <mergeCells count="6">
    <mergeCell ref="A1:G1"/>
    <mergeCell ref="A22:C22"/>
    <mergeCell ref="A17:C17"/>
    <mergeCell ref="A4:C4"/>
    <mergeCell ref="A11:G11"/>
    <mergeCell ref="D4:G4"/>
  </mergeCells>
  <hyperlinks>
    <hyperlink xmlns:r="http://schemas.openxmlformats.org/officeDocument/2006/relationships" ref="A1" r:id="rId1"/>
    <hyperlink xmlns:r="http://schemas.openxmlformats.org/officeDocument/2006/relationships" ref="A2" r:id="rId2"/>
  </hyperlink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2025-12-19T11:59:26Z</dcterms:created>
  <dcterms:modified xmlns:dcterms="http://purl.org/dc/terms/" xmlns:xsi="http://www.w3.org/2001/XMLSchema-instance" xsi:type="dcterms:W3CDTF">2026-01-02T07:10:17Z</dcterms:modified>
</cp:coreProperties>
</file>