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E3A" lockStructure="1"/>
  <bookViews>
    <workbookView visibility="visible" minimized="0" showHorizontalScroll="1" showVerticalScroll="1" showSheetTabs="1" xWindow="-120" yWindow="-120" windowWidth="20730" windowHeight="11160" tabRatio="600" firstSheet="3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1_SaaS_MRR_ARR_Forecast" sheetId="2" state="visible" r:id="rId2"/>
    <sheet xmlns:r="http://schemas.openxmlformats.org/officeDocument/2006/relationships" name="C2_SaaS_Cohort_Churn" sheetId="3" state="visible" r:id="rId3"/>
    <sheet xmlns:r="http://schemas.openxmlformats.org/officeDocument/2006/relationships" name="C3_SaaS_UnitEconomics_CAC_LTV" sheetId="4" state="visible" r:id="rId4"/>
    <sheet xmlns:r="http://schemas.openxmlformats.org/officeDocument/2006/relationships" name="C4_SaaS_Valuation_ARR_Multiple" sheetId="5" state="visible" r:id="rId5"/>
    <sheet xmlns:r="http://schemas.openxmlformats.org/officeDocument/2006/relationships" name="C5_SaaS_Valuation_Simple_DCF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;[Red]\(#,##0\);&quot;-&quot;"/>
    <numFmt numFmtId="165" formatCode="0.0%"/>
    <numFmt numFmtId="166" formatCode="\₹###,##0;[Red]\(\₹###,##0\);&quot;-&quot;"/>
    <numFmt numFmtId="167" formatCode=";;;"/>
    <numFmt numFmtId="168" formatCode="0.0&quot;x&quot;"/>
    <numFmt numFmtId="169" formatCode="0.0"/>
    <numFmt numFmtId="170" formatCode="0.000"/>
  </numFmts>
  <fonts count="12">
    <font>
      <name val="Calibri"/>
      <family val="2"/>
      <color theme="1"/>
      <sz val="11"/>
      <scheme val="minor"/>
    </font>
    <font>
      <name val="Calibri"/>
      <i val="1"/>
      <color rgb="FF1F4E79"/>
      <sz val="10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color rgb="FF0000FF"/>
      <sz val="10"/>
    </font>
    <font>
      <name val="Calibri"/>
      <color rgb="FF000000"/>
      <sz val="10"/>
    </font>
    <font>
      <name val="Calibri"/>
      <b val="1"/>
      <color rgb="FF9C0006"/>
      <sz val="10"/>
    </font>
    <font>
      <name val="Calibri"/>
      <b val="1"/>
      <color rgb="FFFFFFFF"/>
      <sz val="14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color rgb="FF0563C1"/>
      <sz val="11"/>
      <u val="single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F8CBAD"/>
      </patternFill>
    </fill>
  </fills>
  <borders count="1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A0A0A0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8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7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6" borderId="1" pivotButton="0" quotePrefix="0" xfId="0"/>
    <xf numFmtId="168" fontId="3" fillId="8" borderId="1" applyAlignment="1" pivotButton="0" quotePrefix="0" xfId="0">
      <alignment horizontal="right" vertical="center"/>
    </xf>
    <xf numFmtId="169" fontId="3" fillId="8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9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2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10" fillId="0" borderId="9" pivotButton="0" quotePrefix="0" xfId="0"/>
    <xf numFmtId="0" fontId="0" fillId="0" borderId="9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5" borderId="1" applyAlignment="1" pivotButton="0" quotePrefix="0" xfId="0">
      <alignment horizontal="left" vertical="center"/>
    </xf>
  </cellXfs>
  <cellStyles count="1">
    <cellStyle name="Normal" xfId="0" builtinId="0"/>
  </cellStyles>
  <dxfs count="10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FME Model</author>
    <author>Model</author>
  </authors>
  <commentList>
    <comment ref="B2" authorId="0" shapeId="0">
      <text>
        <t>Edit only yellow input cells.
Outputs are green and calculations are formula-driven.</t>
      </text>
    </comment>
    <comment ref="B8" authorId="1" shapeId="0">
      <text>
        <t>Churn is a key SaaS driver per the provided course deck (SaaS KPIs section).</t>
      </text>
    </comment>
  </commentList>
</comments>
</file>

<file path=xl/comments/comment2.xml><?xml version="1.0" encoding="utf-8"?>
<comments xmlns="http://schemas.openxmlformats.org/spreadsheetml/2006/main">
  <authors>
    <author>FME Model</author>
  </authors>
  <commentList>
    <comment ref="B2" authorId="0" shapeId="0">
      <text>
        <t>Cohort matrix: each row is an acquisition month.
Users decay by the churn curve over time.
Total active users each month = SUM across cohorts.</t>
      </text>
    </comment>
    <comment ref="B5" authorId="0" shapeId="0">
      <text>
        <t>Tip: If early churn is higher, value depends on improving activation/onboarding.
Use scenario switches to see MRR impact.</t>
      </text>
    </comment>
  </commentList>
</comments>
</file>

<file path=xl/comments/comment3.xml><?xml version="1.0" encoding="utf-8"?>
<comments xmlns="http://schemas.openxmlformats.org/spreadsheetml/2006/main">
  <authors>
    <author>FME Model</author>
  </authors>
  <commentList>
    <comment ref="B2" authorId="0" shapeId="0">
      <text>
        <t>Key formulas:
CAC = Marketing spend / New customers.
LTV ≈ (ARPU × GM%) / Churn%.
Payback = CAC / (ARPU × GM%).</t>
      </text>
    </comment>
    <comment ref="B5" authorId="0" shapeId="0">
      <text>
        <t>Rule-of-thumb flags:
LTV/CAC &gt; 3× and Payback &lt; 12–18 months are generally healthy.</t>
      </text>
    </comment>
  </commentList>
</comments>
</file>

<file path=xl/comments/comment4.xml><?xml version="1.0" encoding="utf-8"?>
<comments xmlns="http://schemas.openxmlformats.org/spreadsheetml/2006/main">
  <authors>
    <author>FME Model</author>
  </authors>
  <commentList>
    <comment ref="B2" authorId="0" shapeId="0">
      <text>
        <t>Multiple valuation:
EV = Forward ARR × ARR multiple.
Apply premium/discount for growth/churn.
Equity Value = EV − Net debt (+ cash).</t>
      </text>
    </comment>
    <comment ref="B5" authorId="0" shapeId="0">
      <text>
        <t>Sensitivity table shows negotiation range.
Use Base case for anchor; Low/High for downside/upside.</t>
      </text>
    </comment>
  </commentList>
</comments>
</file>

<file path=xl/comments/comment5.xml><?xml version="1.0" encoding="utf-8"?>
<comments xmlns="http://schemas.openxmlformats.org/spreadsheetml/2006/main">
  <authors>
    <author>FME Model</author>
  </authors>
  <commentList>
    <comment ref="B2" authorId="0" shapeId="0">
      <text>
        <t>DCF steps:
1) Forecast revenue &amp; margins → FCF.
2) Discount FCFs at WACC.
3) Terminal Value = FCF5×(1+g)/(WACC−g).
4) EV = PV(FCFs)+PV(TV).</t>
      </text>
    </comment>
    <comment ref="B5" authorId="0" shapeId="0">
      <text>
        <t>Critical check: WACC must be greater than terminal growth (g).
If WACC ≤ g, terminal value becomes unrealistic.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B16" sqref="B16"/>
    </sheetView>
  </sheetViews>
  <sheetFormatPr baseColWidth="8" defaultRowHeight="15"/>
  <cols>
    <col width="50.42578125" customWidth="1" style="37" min="1" max="1"/>
    <col width="48" customWidth="1" style="37" min="2" max="2"/>
    <col width="70" customWidth="1" style="37" min="3" max="3"/>
  </cols>
  <sheetData>
    <row r="1" ht="18.75" customHeight="1" s="37">
      <c r="A1" s="36" t="inlineStr">
        <is>
          <t>FME – SaaS Caselet Models (5 Sheets)</t>
        </is>
      </c>
    </row>
    <row r="2"/>
    <row r="3">
      <c r="A3" s="30" t="inlineStr">
        <is>
          <t>How to use</t>
        </is>
      </c>
    </row>
    <row r="4">
      <c r="A4" s="31" t="inlineStr">
        <is>
          <t>• Click a caselet name to jump to that sheet.</t>
        </is>
      </c>
    </row>
    <row r="5" ht="30" customHeight="1" s="37">
      <c r="A5" s="31" t="inlineStr">
        <is>
          <t>• On each caselet sheet, use the 'Back to Index' link at the top.</t>
        </is>
      </c>
    </row>
    <row r="6" ht="30" customHeight="1" s="37">
      <c r="A6" s="31" t="inlineStr">
        <is>
          <t>• Yellow cells are Inputs; Green cells are Outputs; checks are at the bottom.</t>
        </is>
      </c>
    </row>
    <row r="7"/>
    <row r="8">
      <c r="A8" s="32" t="inlineStr">
        <is>
          <t>No.</t>
        </is>
      </c>
      <c r="B8" s="32" t="inlineStr">
        <is>
          <t>Caselet Sheet</t>
        </is>
      </c>
      <c r="C8" s="32" t="inlineStr">
        <is>
          <t>Focus / What students build</t>
        </is>
      </c>
    </row>
    <row r="9">
      <c r="A9" s="33" t="n">
        <v>1</v>
      </c>
      <c r="B9" s="34" t="inlineStr">
        <is>
          <t>C1_SaaS_MRR_ARR_Forecast</t>
        </is>
      </c>
      <c r="C9" s="35" t="inlineStr">
        <is>
          <t>Paid users roll-forward → MRR → ARR (60 months) + dashboard + checks</t>
        </is>
      </c>
    </row>
    <row r="10" ht="30" customHeight="1" s="37">
      <c r="A10" s="33" t="n">
        <v>2</v>
      </c>
      <c r="B10" s="34" t="inlineStr">
        <is>
          <t>C2_SaaS_Cohort_Churn</t>
        </is>
      </c>
      <c r="C10" s="35" t="inlineStr">
        <is>
          <t>Cohort retention matrix + churn curve → total active users → MRR scenario view</t>
        </is>
      </c>
    </row>
    <row r="11">
      <c r="A11" s="33" t="n">
        <v>3</v>
      </c>
      <c r="B11" s="34" t="inlineStr">
        <is>
          <t>C3_SaaS_UnitEconomics_CAC_LTV</t>
        </is>
      </c>
      <c r="C11" s="35" t="inlineStr">
        <is>
          <t>CAC, LTV, LTV/CAC, Payback period (unit economics) + flags</t>
        </is>
      </c>
    </row>
    <row r="12">
      <c r="A12" s="33" t="n">
        <v>4</v>
      </c>
      <c r="B12" s="34" t="inlineStr">
        <is>
          <t>C4_SaaS_Valuation_ARR_Multiple</t>
        </is>
      </c>
      <c r="C12" s="35" t="inlineStr">
        <is>
          <t>Forward ARR multiple valuation + premium/discount + sensitivity table</t>
        </is>
      </c>
    </row>
    <row r="13" ht="30" customHeight="1" s="37">
      <c r="A13" s="33" t="n">
        <v>5</v>
      </c>
      <c r="B13" s="34" t="inlineStr">
        <is>
          <t>C5_SaaS_Valuation_Simple_DCF</t>
        </is>
      </c>
      <c r="C13" s="35" t="inlineStr">
        <is>
          <t>Simplified DCF from revenue/margins → FCF → EV incl. terminal value + sensitivity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1">
    <mergeCell ref="A1:C1"/>
  </mergeCells>
  <hyperlinks>
    <hyperlink ref="B9" location="'C1_SaaS_MRR_ARR_Forecast'!A1" display="C1_SaaS_MRR_ARR_Forecast"/>
    <hyperlink ref="B10" location="'C2_SaaS_Cohort_Churn'!A1" display="C2_SaaS_Cohort_Churn"/>
    <hyperlink ref="B11" location="'C3_SaaS_UnitEconomics_CAC_LTV'!A1" display="C3_SaaS_UnitEconomics_CAC_LTV"/>
    <hyperlink ref="B12" location="'C4_SaaS_Valuation_ARR_Multiple'!A1" display="C4_SaaS_Valuation_ARR_Multiple"/>
    <hyperlink ref="B13" location="'C5_SaaS_Valuation_Simple_DCF'!A1" display="C5_SaaS_Valuation_Simple_DCF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5" activePane="bottomLeft" state="frozen"/>
      <selection pane="bottomLeft" activeCell="A1" sqref="A1:N1"/>
    </sheetView>
  </sheetViews>
  <sheetFormatPr baseColWidth="8" defaultRowHeight="15"/>
  <cols>
    <col width="28" customWidth="1" style="37" min="1" max="1"/>
    <col width="16" customWidth="1" style="37" min="2" max="2"/>
    <col width="14" customWidth="1" style="37" min="3" max="3"/>
    <col width="26" customWidth="1" style="37" min="4" max="4"/>
    <col width="30" customWidth="1" style="37" min="5" max="5"/>
    <col width="14" customWidth="1" style="37" min="6" max="10"/>
    <col width="2" customWidth="1" style="37" min="11" max="11"/>
    <col width="18" customWidth="1" style="37" min="12" max="14"/>
  </cols>
  <sheetData>
    <row r="1" ht="18" customHeight="1" s="37">
      <c r="A1" s="47" t="inlineStr">
        <is>
          <t>Back to INDEX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</row>
    <row r="2">
      <c r="B2" t="n"/>
    </row>
    <row r="3">
      <c r="A3" s="41" t="inlineStr">
        <is>
          <t>CloudTrack is a B2B SaaS platform selling workflow automation to mid-sized firms. Management needs a 5-year forecast of paid users, MRR and ARR. Assume pricing is per user per month. Build a driver-based forecast using churn and new customer adds.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3" t="n"/>
    </row>
    <row r="4">
      <c r="A4" s="44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6" t="n"/>
    </row>
    <row r="5"/>
    <row r="6">
      <c r="A6" s="38" t="inlineStr">
        <is>
          <t>INPUTS (blue text) — Change only highlighted cells</t>
        </is>
      </c>
      <c r="B6" s="39" t="n"/>
      <c r="C6" s="39" t="n"/>
      <c r="D6" s="40" t="n"/>
      <c r="L6" s="38" t="inlineStr">
        <is>
          <t>OUTPUTS (green) — Key results</t>
        </is>
      </c>
      <c r="M6" s="39" t="n"/>
      <c r="N6" s="40" t="n"/>
    </row>
    <row r="7" ht="25.5" customHeight="1" s="37">
      <c r="A7" s="1" t="inlineStr">
        <is>
          <t>Start Paid Customers (end of last year)</t>
        </is>
      </c>
      <c r="B7" s="2" t="n">
        <v>250</v>
      </c>
      <c r="C7" s="3" t="n"/>
      <c r="D7" s="3" t="n"/>
      <c r="L7" s="1" t="inlineStr">
        <is>
          <t>Year 5 Ending Customers</t>
        </is>
      </c>
      <c r="M7" s="4">
        <f>J23</f>
        <v/>
      </c>
    </row>
    <row r="8">
      <c r="A8" s="1" t="inlineStr">
        <is>
          <t>Monthly churn rate</t>
        </is>
      </c>
      <c r="B8" s="5" t="n">
        <v>0.025</v>
      </c>
      <c r="C8" s="3" t="n"/>
      <c r="D8" s="3" t="n"/>
      <c r="L8" s="1" t="inlineStr">
        <is>
          <t>Year 5 MRR</t>
        </is>
      </c>
      <c r="M8" s="6">
        <f>J25</f>
        <v/>
      </c>
    </row>
    <row r="9" ht="25.5" customHeight="1" s="37">
      <c r="A9" s="1" t="inlineStr">
        <is>
          <t>Basic plan price (₹ / customer / month)</t>
        </is>
      </c>
      <c r="B9" s="7" t="n">
        <v>2500</v>
      </c>
      <c r="C9" s="3" t="n"/>
      <c r="D9" s="3" t="n"/>
      <c r="L9" s="1" t="inlineStr">
        <is>
          <t>Year 5 ARR</t>
        </is>
      </c>
      <c r="M9" s="6">
        <f>J26</f>
        <v/>
      </c>
    </row>
    <row r="10" ht="25.5" customHeight="1" s="37">
      <c r="A10" s="1" t="inlineStr">
        <is>
          <t>Pro plan price (₹ / customer / month)</t>
        </is>
      </c>
      <c r="B10" s="7" t="n">
        <v>6000</v>
      </c>
      <c r="C10" s="3" t="n"/>
      <c r="D10" s="3" t="n"/>
      <c r="L10" s="1" t="inlineStr">
        <is>
          <t>5-yr ARR CAGR</t>
        </is>
      </c>
      <c r="M10" s="8">
        <f>(J26/F26)^(1/4)-1</f>
        <v/>
      </c>
    </row>
    <row r="11">
      <c r="A11" s="1" t="inlineStr">
        <is>
          <t>Plan mix — Basic %</t>
        </is>
      </c>
      <c r="B11" s="5" t="n">
        <v>0.7</v>
      </c>
      <c r="C11" s="3" t="n"/>
      <c r="D11" s="3" t="n"/>
    </row>
    <row r="12">
      <c r="A12" s="1" t="inlineStr">
        <is>
          <t>Gross margin %</t>
        </is>
      </c>
      <c r="B12" s="5" t="n">
        <v>0.8</v>
      </c>
      <c r="C12" s="3" t="n"/>
      <c r="D12" s="3" t="n"/>
    </row>
    <row r="13">
      <c r="A13" s="1" t="inlineStr">
        <is>
          <t>Plan mix — Pro % (auto)</t>
        </is>
      </c>
      <c r="B13" s="9">
        <f>1-$B$11</f>
        <v/>
      </c>
      <c r="C13" s="3" t="n"/>
      <c r="D13" s="3" t="n"/>
    </row>
    <row r="14"/>
    <row r="15">
      <c r="A15" s="38" t="inlineStr">
        <is>
          <t>CALCULATIONS — Driver build (formulas)</t>
        </is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40" t="n"/>
    </row>
    <row r="16"/>
    <row r="17">
      <c r="E17" s="1" t="inlineStr">
        <is>
          <t>Year</t>
        </is>
      </c>
      <c r="F17" s="10" t="inlineStr">
        <is>
          <t>Y1</t>
        </is>
      </c>
      <c r="G17" s="10" t="inlineStr">
        <is>
          <t>Y2</t>
        </is>
      </c>
      <c r="H17" s="10" t="inlineStr">
        <is>
          <t>Y3</t>
        </is>
      </c>
      <c r="I17" s="10" t="inlineStr">
        <is>
          <t>Y4</t>
        </is>
      </c>
      <c r="J17" s="10" t="inlineStr">
        <is>
          <t>Y5</t>
        </is>
      </c>
    </row>
    <row r="18">
      <c r="E18" s="1" t="inlineStr">
        <is>
          <t>New customers added (annual)</t>
        </is>
      </c>
      <c r="F18" s="2" t="n">
        <v>220</v>
      </c>
      <c r="G18" s="2" t="n">
        <v>320</v>
      </c>
      <c r="H18" s="2" t="n">
        <v>430</v>
      </c>
      <c r="I18" s="2" t="n">
        <v>560</v>
      </c>
      <c r="J18" s="2" t="n">
        <v>720</v>
      </c>
    </row>
    <row r="19" ht="25.5" customHeight="1" s="37">
      <c r="E19" s="1" t="inlineStr">
        <is>
          <t>Annual churn rate (from monthly churn)</t>
        </is>
      </c>
      <c r="F19" s="9">
        <f>1-(1-$B$8)^12</f>
        <v/>
      </c>
      <c r="G19" s="9">
        <f>1-(1-$B$8)^12</f>
        <v/>
      </c>
      <c r="H19" s="9">
        <f>1-(1-$B$8)^12</f>
        <v/>
      </c>
      <c r="I19" s="9">
        <f>1-(1-$B$8)^12</f>
        <v/>
      </c>
      <c r="J19" s="9">
        <f>1-(1-$B$8)^12</f>
        <v/>
      </c>
    </row>
    <row r="20">
      <c r="E20" s="1" t="inlineStr">
        <is>
          <t>Starting customers</t>
        </is>
      </c>
      <c r="F20" s="11">
        <f>$B$7</f>
        <v/>
      </c>
      <c r="G20" s="11">
        <f>F23</f>
        <v/>
      </c>
      <c r="H20" s="11">
        <f>G23</f>
        <v/>
      </c>
      <c r="I20" s="11">
        <f>H23</f>
        <v/>
      </c>
      <c r="J20" s="11">
        <f>I23</f>
        <v/>
      </c>
    </row>
    <row r="21">
      <c r="E21" s="1" t="inlineStr">
        <is>
          <t>Churned customers</t>
        </is>
      </c>
      <c r="F21" s="11">
        <f>F20*F19</f>
        <v/>
      </c>
      <c r="G21" s="11">
        <f>G20*G19</f>
        <v/>
      </c>
      <c r="H21" s="11">
        <f>H20*H19</f>
        <v/>
      </c>
      <c r="I21" s="11">
        <f>I20*I19</f>
        <v/>
      </c>
      <c r="J21" s="11">
        <f>J20*J19</f>
        <v/>
      </c>
    </row>
    <row r="22"/>
    <row r="23">
      <c r="E23" s="1" t="inlineStr">
        <is>
          <t>Ending customers</t>
        </is>
      </c>
      <c r="F23" s="12">
        <f>F20+F18-F21</f>
        <v/>
      </c>
      <c r="G23" s="12">
        <f>G20+G18-G21</f>
        <v/>
      </c>
      <c r="H23" s="12">
        <f>H20+H18-H21</f>
        <v/>
      </c>
      <c r="I23" s="12">
        <f>I20+I18-I21</f>
        <v/>
      </c>
      <c r="J23" s="12">
        <f>J20+J18-J21</f>
        <v/>
      </c>
    </row>
    <row r="24">
      <c r="E24" s="1" t="inlineStr">
        <is>
          <t>ARPU (₹ / customer / month)</t>
        </is>
      </c>
      <c r="F24" s="13">
        <f>($B$11*$B$9)+($B$13*$B$10)</f>
        <v/>
      </c>
      <c r="G24" s="13">
        <f>($B$11*$B$9)+($B$13*$B$10)</f>
        <v/>
      </c>
      <c r="H24" s="13">
        <f>($B$11*$B$9)+($B$13*$B$10)</f>
        <v/>
      </c>
      <c r="I24" s="13">
        <f>($B$11*$B$9)+($B$13*$B$10)</f>
        <v/>
      </c>
      <c r="J24" s="13">
        <f>($B$11*$B$9)+($B$13*$B$10)</f>
        <v/>
      </c>
    </row>
    <row r="25">
      <c r="E25" s="1" t="inlineStr">
        <is>
          <t>MRR (₹)</t>
        </is>
      </c>
      <c r="F25" s="14">
        <f>F23*F24</f>
        <v/>
      </c>
      <c r="G25" s="14">
        <f>G23*G24</f>
        <v/>
      </c>
      <c r="H25" s="14">
        <f>H23*H24</f>
        <v/>
      </c>
      <c r="I25" s="14">
        <f>I23*I24</f>
        <v/>
      </c>
      <c r="J25" s="14">
        <f>J23*J24</f>
        <v/>
      </c>
    </row>
    <row r="26">
      <c r="E26" s="1" t="inlineStr">
        <is>
          <t>ARR (₹)</t>
        </is>
      </c>
      <c r="F26" s="15">
        <f>F25*12</f>
        <v/>
      </c>
      <c r="G26" s="15">
        <f>G25*12</f>
        <v/>
      </c>
      <c r="H26" s="15">
        <f>H25*12</f>
        <v/>
      </c>
      <c r="I26" s="15">
        <f>I25*12</f>
        <v/>
      </c>
      <c r="J26" s="15">
        <f>J25*12</f>
        <v/>
      </c>
    </row>
    <row r="27">
      <c r="E27" s="1" t="inlineStr">
        <is>
          <t>Annual gross profit (₹)</t>
        </is>
      </c>
      <c r="F27" s="14">
        <f>F26*$B$12</f>
        <v/>
      </c>
      <c r="G27" s="14">
        <f>G26*$B$12</f>
        <v/>
      </c>
      <c r="H27" s="14">
        <f>H26*$B$12</f>
        <v/>
      </c>
      <c r="I27" s="14">
        <f>I26*$B$12</f>
        <v/>
      </c>
      <c r="J27" s="14">
        <f>J26*$B$12</f>
        <v/>
      </c>
    </row>
    <row r="28"/>
    <row r="29"/>
    <row r="30">
      <c r="A30" s="38" t="inlineStr">
        <is>
          <t>CHECKS (flags) — should show OK</t>
        </is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40" t="n"/>
    </row>
    <row r="31">
      <c r="A31" s="1" t="inlineStr">
        <is>
          <t>Plan mix sums to 100%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16">
        <f>ABS(($B$11+$B$13)-1)&lt;0.0001</f>
        <v/>
      </c>
      <c r="M31" s="17">
        <f>IF(L31,"OK","CHECK")</f>
        <v/>
      </c>
      <c r="N31" s="3" t="n"/>
    </row>
    <row r="32" ht="25.5" customHeight="1" s="37">
      <c r="A32" s="1" t="inlineStr">
        <is>
          <t>Churn between 0% and 20% monthly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16">
        <f>AND($B$8&gt;=0,$B$8&lt;=0.2)</f>
        <v/>
      </c>
      <c r="M32" s="17">
        <f>IF(L32,"OK","CHECK")</f>
        <v/>
      </c>
      <c r="N32" s="3" t="n"/>
    </row>
    <row r="33" ht="25.5" customHeight="1" s="37">
      <c r="A33" s="1" t="inlineStr">
        <is>
          <t>Ending customers non-negative (all years)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16">
        <f>MIN(F23:J23)&gt;=0</f>
        <v/>
      </c>
      <c r="M33" s="17">
        <f>IF(L33,"OK","CHECK")</f>
        <v/>
      </c>
      <c r="N33" s="3" t="n"/>
    </row>
    <row r="34">
      <c r="A34" s="1" t="inlineStr">
        <is>
          <t>ARR equals MRR*12 (Year 3)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16">
        <f>ABS(H26-(H25*12))&lt;1</f>
        <v/>
      </c>
      <c r="M34" s="17">
        <f>IF(L34,"OK","CHECK")</f>
        <v/>
      </c>
      <c r="N34" s="3" t="n"/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3:N4"/>
    <mergeCell ref="A6:D6"/>
    <mergeCell ref="A30:N30"/>
    <mergeCell ref="A15:N15"/>
    <mergeCell ref="L6:N6"/>
    <mergeCell ref="A1:N1"/>
  </mergeCells>
  <conditionalFormatting sqref="M31:M34">
    <cfRule type="cellIs" priority="1" operator="equal" dxfId="1">
      <formula>"CHECK"</formula>
    </cfRule>
    <cfRule type="cellIs" priority="2" operator="equal" dxfId="0">
      <formula>"OK"</formula>
    </cfRule>
  </conditionalFormatting>
  <hyperlinks>
    <hyperlink ref="A1" location="'INDEX'!A1" display="Back to INDEX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1" topLeftCell="A16" activePane="bottomLeft" state="frozen"/>
      <selection pane="bottomLeft" activeCell="A1" sqref="A1:N1"/>
    </sheetView>
  </sheetViews>
  <sheetFormatPr baseColWidth="8" defaultRowHeight="15"/>
  <cols>
    <col width="28" customWidth="1" style="37" min="1" max="1"/>
    <col width="16" customWidth="1" style="37" min="2" max="2"/>
    <col width="14" customWidth="1" style="37" min="3" max="3"/>
    <col width="26" customWidth="1" style="37" min="4" max="4"/>
    <col width="30" customWidth="1" style="37" min="5" max="5"/>
    <col width="14" customWidth="1" style="37" min="6" max="10"/>
    <col width="2" customWidth="1" style="37" min="11" max="11"/>
    <col width="18" customWidth="1" style="37" min="12" max="14"/>
  </cols>
  <sheetData>
    <row r="1" ht="18" customHeight="1" s="37">
      <c r="A1" s="47" t="inlineStr">
        <is>
          <t>Back to INDEX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</row>
    <row r="2">
      <c r="B2" t="n"/>
    </row>
    <row r="3">
      <c r="A3" s="41" t="inlineStr">
        <is>
          <t>CloudTrack observes different churn patterns for newly acquired customers vs mature customers. Build a cohort-based customer model (by acquisition year) and forecast active customers, MRR and ARR. Evaluate impact of churn on long-run revenue.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3" t="n"/>
    </row>
    <row r="4">
      <c r="A4" s="44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6" t="n"/>
    </row>
    <row r="5">
      <c r="B5" t="n"/>
    </row>
    <row r="6">
      <c r="A6" s="38" t="inlineStr">
        <is>
          <t>INPUTS (blue text)</t>
        </is>
      </c>
      <c r="B6" s="39" t="n"/>
      <c r="C6" s="39" t="n"/>
      <c r="D6" s="40" t="n"/>
      <c r="L6" s="38" t="inlineStr">
        <is>
          <t>OUTPUTS (green)</t>
        </is>
      </c>
      <c r="M6" s="39" t="n"/>
      <c r="N6" s="40" t="n"/>
    </row>
    <row r="7" ht="25.5" customHeight="1" s="37">
      <c r="A7" s="1" t="inlineStr">
        <is>
          <t>Monthly churn (new customers, months 1–3)</t>
        </is>
      </c>
      <c r="B7" s="5" t="n">
        <v>0.04</v>
      </c>
      <c r="L7" s="1" t="inlineStr">
        <is>
          <t>Year 5 Active Customers</t>
        </is>
      </c>
      <c r="M7" s="4">
        <f>J26</f>
        <v/>
      </c>
    </row>
    <row r="8" ht="25.5" customHeight="1" s="37">
      <c r="A8" s="1" t="inlineStr">
        <is>
          <t>Monthly churn (mature customers, month 4+)</t>
        </is>
      </c>
      <c r="B8" s="5" t="n">
        <v>0.02</v>
      </c>
      <c r="L8" s="1" t="inlineStr">
        <is>
          <t>Year 5 ARR</t>
        </is>
      </c>
      <c r="M8" s="6">
        <f>J28</f>
        <v/>
      </c>
    </row>
    <row r="9" ht="25.5" customHeight="1" s="37">
      <c r="A9" s="1" t="inlineStr">
        <is>
          <t>ARPU (₹ / customer / month)</t>
        </is>
      </c>
      <c r="B9" s="7" t="n">
        <v>3800</v>
      </c>
      <c r="L9" s="1" t="inlineStr">
        <is>
          <t>Cohort Y1 retention to Year 3</t>
        </is>
      </c>
      <c r="M9" s="8">
        <f>H20/F20</f>
        <v/>
      </c>
    </row>
    <row r="10" ht="25.5" customHeight="1" s="37">
      <c r="A10" s="1" t="inlineStr">
        <is>
          <t>Plan assumption: Use ARPU only (simplified)</t>
        </is>
      </c>
      <c r="B10" s="18" t="inlineStr">
        <is>
          <t>Yes</t>
        </is>
      </c>
    </row>
    <row r="11"/>
    <row r="12" ht="25.5" customHeight="1" s="37">
      <c r="A12" s="19" t="inlineStr">
        <is>
          <t>New customers acquired each year</t>
        </is>
      </c>
      <c r="E12" s="20" t="n"/>
      <c r="F12" s="10" t="inlineStr">
        <is>
          <t>Y1</t>
        </is>
      </c>
      <c r="G12" s="10" t="inlineStr">
        <is>
          <t>Y2</t>
        </is>
      </c>
      <c r="H12" s="10" t="inlineStr">
        <is>
          <t>Y3</t>
        </is>
      </c>
      <c r="I12" s="10" t="inlineStr">
        <is>
          <t>Y4</t>
        </is>
      </c>
      <c r="J12" s="10" t="inlineStr">
        <is>
          <t>Y5</t>
        </is>
      </c>
    </row>
    <row r="13">
      <c r="E13" s="1" t="inlineStr">
        <is>
          <t>Acquired</t>
        </is>
      </c>
      <c r="F13" s="2" t="n">
        <v>500</v>
      </c>
      <c r="G13" s="2" t="n">
        <v>700</v>
      </c>
      <c r="H13" s="2" t="n">
        <v>900</v>
      </c>
      <c r="I13" s="2" t="n">
        <v>1150</v>
      </c>
      <c r="J13" s="2" t="n">
        <v>1450</v>
      </c>
    </row>
    <row r="14"/>
    <row r="15">
      <c r="A15" s="38" t="inlineStr">
        <is>
          <t>CALCULATIONS — Cohort matrix (end-of-year customers)</t>
        </is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40" t="n"/>
    </row>
    <row r="16" ht="25.5" customHeight="1" s="37">
      <c r="A16" s="1" t="inlineStr">
        <is>
          <t>Helper: annual retention factor (new customers)</t>
        </is>
      </c>
      <c r="B16" s="9">
        <f>(1-$B$7)^12</f>
        <v/>
      </c>
    </row>
    <row r="17" ht="25.5" customHeight="1" s="37">
      <c r="A17" s="1" t="inlineStr">
        <is>
          <t>Helper: annual retention factor (mature customers)</t>
        </is>
      </c>
      <c r="B17" s="9">
        <f>(1-$B$8)^12</f>
        <v/>
      </c>
    </row>
    <row r="18"/>
    <row r="19">
      <c r="E19" s="10" t="inlineStr">
        <is>
          <t>Cohort \ Year</t>
        </is>
      </c>
      <c r="F19" s="10" t="inlineStr">
        <is>
          <t>Y1</t>
        </is>
      </c>
      <c r="G19" s="10" t="inlineStr">
        <is>
          <t>Y2</t>
        </is>
      </c>
      <c r="H19" s="10" t="inlineStr">
        <is>
          <t>Y3</t>
        </is>
      </c>
      <c r="I19" s="10" t="inlineStr">
        <is>
          <t>Y4</t>
        </is>
      </c>
      <c r="J19" s="10" t="inlineStr">
        <is>
          <t>Y5</t>
        </is>
      </c>
    </row>
    <row r="20">
      <c r="E20" s="1" t="inlineStr">
        <is>
          <t>Cohort Y1</t>
        </is>
      </c>
      <c r="F20" s="11">
        <f>F13</f>
        <v/>
      </c>
      <c r="G20" s="11">
        <f>F20*$B$16</f>
        <v/>
      </c>
      <c r="H20" s="11">
        <f>G20*$B$17</f>
        <v/>
      </c>
      <c r="I20" s="11">
        <f>H20*$B$17</f>
        <v/>
      </c>
      <c r="J20" s="11">
        <f>I20*$B$17</f>
        <v/>
      </c>
    </row>
    <row r="21">
      <c r="E21" s="1" t="inlineStr">
        <is>
          <t>Cohort Y2</t>
        </is>
      </c>
      <c r="F21" s="11" t="n">
        <v>0</v>
      </c>
      <c r="G21" s="11">
        <f>G13</f>
        <v/>
      </c>
      <c r="H21" s="11">
        <f>G21*$B$16</f>
        <v/>
      </c>
      <c r="I21" s="11">
        <f>H21*$B$17</f>
        <v/>
      </c>
      <c r="J21" s="11">
        <f>I21*$B$17</f>
        <v/>
      </c>
    </row>
    <row r="22">
      <c r="E22" s="1" t="inlineStr">
        <is>
          <t>Cohort Y3</t>
        </is>
      </c>
      <c r="F22" s="11" t="n">
        <v>0</v>
      </c>
      <c r="G22" s="11" t="n">
        <v>0</v>
      </c>
      <c r="H22" s="11">
        <f>H13</f>
        <v/>
      </c>
      <c r="I22" s="11">
        <f>H22*$B$16</f>
        <v/>
      </c>
      <c r="J22" s="11">
        <f>I22*$B$17</f>
        <v/>
      </c>
    </row>
    <row r="23">
      <c r="E23" s="1" t="inlineStr">
        <is>
          <t>Cohort Y4</t>
        </is>
      </c>
      <c r="F23" s="11" t="n">
        <v>0</v>
      </c>
      <c r="G23" s="11" t="n">
        <v>0</v>
      </c>
      <c r="H23" s="11" t="n">
        <v>0</v>
      </c>
      <c r="I23" s="11">
        <f>I13</f>
        <v/>
      </c>
      <c r="J23" s="11">
        <f>I23*$B$16</f>
        <v/>
      </c>
    </row>
    <row r="24">
      <c r="E24" s="1" t="inlineStr">
        <is>
          <t>Cohort Y5</t>
        </is>
      </c>
      <c r="F24" s="11" t="n">
        <v>0</v>
      </c>
      <c r="G24" s="11" t="n">
        <v>0</v>
      </c>
      <c r="H24" s="11" t="n">
        <v>0</v>
      </c>
      <c r="I24" s="11" t="n">
        <v>0</v>
      </c>
      <c r="J24" s="11">
        <f>J13</f>
        <v/>
      </c>
    </row>
    <row r="25"/>
    <row r="26">
      <c r="E26" s="1" t="inlineStr">
        <is>
          <t>Total active customers</t>
        </is>
      </c>
      <c r="F26" s="12">
        <f>SUM(F20:F24)</f>
        <v/>
      </c>
      <c r="G26" s="12">
        <f>SUM(G20:G24)</f>
        <v/>
      </c>
      <c r="H26" s="12">
        <f>SUM(H20:H24)</f>
        <v/>
      </c>
      <c r="I26" s="12">
        <f>SUM(I20:I24)</f>
        <v/>
      </c>
      <c r="J26" s="12">
        <f>SUM(J20:J24)</f>
        <v/>
      </c>
    </row>
    <row r="27">
      <c r="E27" s="1" t="inlineStr">
        <is>
          <t>MRR (₹)</t>
        </is>
      </c>
      <c r="F27" s="14">
        <f>F26*$B$9</f>
        <v/>
      </c>
      <c r="G27" s="14">
        <f>G26*$B$9</f>
        <v/>
      </c>
      <c r="H27" s="14">
        <f>H26*$B$9</f>
        <v/>
      </c>
      <c r="I27" s="14">
        <f>I26*$B$9</f>
        <v/>
      </c>
      <c r="J27" s="14">
        <f>J26*$B$9</f>
        <v/>
      </c>
    </row>
    <row r="28">
      <c r="E28" s="1" t="inlineStr">
        <is>
          <t>ARR (₹)</t>
        </is>
      </c>
      <c r="F28" s="15">
        <f>F27*12</f>
        <v/>
      </c>
      <c r="G28" s="15">
        <f>G27*12</f>
        <v/>
      </c>
      <c r="H28" s="15">
        <f>H27*12</f>
        <v/>
      </c>
      <c r="I28" s="15">
        <f>I27*12</f>
        <v/>
      </c>
      <c r="J28" s="15">
        <f>J27*12</f>
        <v/>
      </c>
    </row>
    <row r="29"/>
    <row r="30"/>
    <row r="31">
      <c r="A31" s="38" t="inlineStr">
        <is>
          <t>CHECKS</t>
        </is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40" t="n"/>
    </row>
    <row r="32" ht="25.5" customHeight="1" s="37">
      <c r="A32" s="1" t="inlineStr">
        <is>
          <t>Retention factors in range (0–100%)</t>
        </is>
      </c>
      <c r="L32" s="17">
        <f>AND($B$16&gt;=0,$B$16&lt;=1,$B$17&gt;=0,$B$17&lt;=1)</f>
        <v/>
      </c>
      <c r="M32" s="17">
        <f>IF(L32,"OK","CHECK")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31:N31"/>
    <mergeCell ref="A3:N4"/>
    <mergeCell ref="A6:D6"/>
    <mergeCell ref="A15:N15"/>
    <mergeCell ref="L6:N6"/>
    <mergeCell ref="A1:N1"/>
  </mergeCells>
  <conditionalFormatting sqref="M32">
    <cfRule type="cellIs" priority="1" operator="equal" dxfId="1">
      <formula>"CHECK"</formula>
    </cfRule>
    <cfRule type="cellIs" priority="2" operator="equal" dxfId="0">
      <formula>"OK"</formula>
    </cfRule>
  </conditionalFormatting>
  <hyperlinks>
    <hyperlink ref="A1" location="'INDEX'!A1" display="Back to INDEX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1" topLeftCell="A20" activePane="bottomLeft" state="frozen"/>
      <selection pane="bottomLeft" activeCell="B16" sqref="B16"/>
    </sheetView>
  </sheetViews>
  <sheetFormatPr baseColWidth="8" defaultRowHeight="15"/>
  <cols>
    <col width="28" customWidth="1" style="37" min="1" max="1"/>
    <col width="16" customWidth="1" style="37" min="2" max="2"/>
    <col width="14" customWidth="1" style="37" min="3" max="3"/>
    <col width="26" customWidth="1" style="37" min="4" max="4"/>
    <col width="30" customWidth="1" style="37" min="5" max="5"/>
    <col width="14" customWidth="1" style="37" min="6" max="10"/>
    <col width="2" customWidth="1" style="37" min="11" max="11"/>
    <col width="18" customWidth="1" style="37" min="12" max="14"/>
  </cols>
  <sheetData>
    <row r="1" ht="18" customHeight="1" s="37">
      <c r="A1" s="47" t="inlineStr">
        <is>
          <t>Back to INDEX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</row>
    <row r="2">
      <c r="B2" t="n"/>
    </row>
    <row r="3">
      <c r="A3" s="41" t="inlineStr">
        <is>
          <t>CloudTrack plans to scale marketing spend. The CFO wants to assess customer economics: CAC, LTV, LTV/CAC, and payback period. Use simple SaaS unit economics formulas and provide a decision-ready dashboard.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3" t="n"/>
    </row>
    <row r="4">
      <c r="A4" s="44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6" t="n"/>
    </row>
    <row r="5">
      <c r="B5" t="n"/>
    </row>
    <row r="6">
      <c r="A6" s="38" t="inlineStr">
        <is>
          <t>INPUTS (blue text)</t>
        </is>
      </c>
      <c r="B6" s="39" t="n"/>
      <c r="C6" s="39" t="n"/>
      <c r="D6" s="40" t="n"/>
      <c r="L6" s="38" t="inlineStr">
        <is>
          <t>OUTPUTS (green)</t>
        </is>
      </c>
      <c r="M6" s="39" t="n"/>
      <c r="N6" s="40" t="n"/>
    </row>
    <row r="7">
      <c r="A7" s="1" t="inlineStr">
        <is>
          <t>Annual marketing spend (₹)</t>
        </is>
      </c>
      <c r="B7" s="7" t="n">
        <v>12000000</v>
      </c>
      <c r="C7" s="3" t="n"/>
      <c r="D7" s="3" t="n"/>
      <c r="L7" s="1" t="inlineStr">
        <is>
          <t>CAC</t>
        </is>
      </c>
      <c r="M7" s="6">
        <f>B15</f>
        <v/>
      </c>
    </row>
    <row r="8" ht="25.5" customHeight="1" s="37">
      <c r="A8" s="1" t="inlineStr">
        <is>
          <t>New customers acquired in the year</t>
        </is>
      </c>
      <c r="B8" s="2" t="n">
        <v>800</v>
      </c>
      <c r="C8" s="3" t="n"/>
      <c r="D8" s="3" t="n"/>
      <c r="L8" s="1" t="inlineStr">
        <is>
          <t>LTV</t>
        </is>
      </c>
      <c r="M8" s="6">
        <f>B17</f>
        <v/>
      </c>
    </row>
    <row r="9">
      <c r="A9" s="1" t="inlineStr">
        <is>
          <t>ARPU (₹ / customer / month)</t>
        </is>
      </c>
      <c r="B9" s="7" t="n">
        <v>3800</v>
      </c>
      <c r="C9" s="3" t="n"/>
      <c r="D9" s="3" t="n"/>
      <c r="L9" s="1" t="inlineStr">
        <is>
          <t>LTV/CAC</t>
        </is>
      </c>
      <c r="M9" s="21">
        <f>B18</f>
        <v/>
      </c>
    </row>
    <row r="10">
      <c r="A10" s="1" t="inlineStr">
        <is>
          <t>Gross margin %</t>
        </is>
      </c>
      <c r="B10" s="5" t="n">
        <v>0.8</v>
      </c>
      <c r="C10" s="3" t="n"/>
      <c r="D10" s="3" t="n"/>
      <c r="L10" s="1" t="inlineStr">
        <is>
          <t>Payback (months)</t>
        </is>
      </c>
      <c r="M10" s="22">
        <f>B19</f>
        <v/>
      </c>
    </row>
    <row r="11">
      <c r="A11" s="1" t="inlineStr">
        <is>
          <t>Monthly churn rate</t>
        </is>
      </c>
      <c r="B11" s="5" t="n">
        <v>0.025</v>
      </c>
      <c r="C11" s="3" t="n"/>
      <c r="D11" s="3" t="n"/>
    </row>
    <row r="12"/>
    <row r="13"/>
    <row r="14">
      <c r="A14" s="38" t="inlineStr">
        <is>
          <t>CALCULATIONS (formulas)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40" t="n"/>
    </row>
    <row r="15">
      <c r="A15" s="1" t="inlineStr">
        <is>
          <t>CAC (₹ per new customer)</t>
        </is>
      </c>
      <c r="B15" s="13">
        <f>$B$7/$B$8</f>
        <v/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5.5" customHeight="1" s="37">
      <c r="A16" s="1" t="inlineStr">
        <is>
          <t>Gross profit per customer per month (₹)</t>
        </is>
      </c>
      <c r="B16" s="13">
        <f>$B$9*$B$10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25.5" customHeight="1" s="37">
      <c r="A17" s="1" t="inlineStr">
        <is>
          <t>LTV (₹) = ARPU*GM% / monthly churn</t>
        </is>
      </c>
      <c r="B17" s="13">
        <f>IF($B$11&gt;0,($B$9*$B$10)/$B$11,0)</f>
        <v/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1" t="inlineStr">
        <is>
          <t>LTV / CAC (x)</t>
        </is>
      </c>
      <c r="B18" s="23">
        <f>IF(B15&gt;0,B17/B15,0)</f>
        <v/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25.5" customHeight="1" s="37">
      <c r="A19" s="1" t="inlineStr">
        <is>
          <t>Payback period (months) = CAC / (ARPU*GM%)</t>
        </is>
      </c>
      <c r="B19" s="24">
        <f>IF(B16&gt;0,B15/B16,0)</f>
        <v/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/>
    <row r="21"/>
    <row r="22">
      <c r="A22" s="38" t="inlineStr">
        <is>
          <t>CHECKS</t>
        </is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40" t="n"/>
    </row>
    <row r="23" ht="25.5" customHeight="1" s="37">
      <c r="A23" s="1" t="inlineStr">
        <is>
          <t>Monthly churn &gt; 0 to avoid divide-by-zero</t>
        </is>
      </c>
      <c r="L23" s="17">
        <f>$B$11&gt;0</f>
        <v/>
      </c>
      <c r="M23" s="17">
        <f>IF(L23,"OK","CHECK")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22:N22"/>
    <mergeCell ref="A3:N4"/>
    <mergeCell ref="A6:D6"/>
    <mergeCell ref="L6:N6"/>
    <mergeCell ref="A14:N14"/>
    <mergeCell ref="A1:N1"/>
  </mergeCells>
  <conditionalFormatting sqref="M23">
    <cfRule type="cellIs" priority="1" operator="equal" dxfId="1">
      <formula>"CHECK"</formula>
    </cfRule>
    <cfRule type="cellIs" priority="2" operator="equal" dxfId="0">
      <formula>"OK"</formula>
    </cfRule>
  </conditionalFormatting>
  <hyperlinks>
    <hyperlink ref="A1" location="'INDEX'!A1" display="Back to INDEX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tabSelected="1" workbookViewId="0">
      <pane ySplit="1" topLeftCell="A2" activePane="bottomLeft" state="frozen"/>
      <selection pane="bottomLeft" activeCell="A1" sqref="A1:N1"/>
    </sheetView>
  </sheetViews>
  <sheetFormatPr baseColWidth="8" defaultRowHeight="15"/>
  <cols>
    <col width="28" customWidth="1" style="37" min="1" max="1"/>
    <col width="16" customWidth="1" style="37" min="2" max="2"/>
    <col width="14" customWidth="1" style="37" min="3" max="3"/>
    <col width="26" customWidth="1" style="37" min="4" max="4"/>
    <col width="30" customWidth="1" style="37" min="5" max="5"/>
    <col width="14" customWidth="1" style="37" min="6" max="10"/>
    <col width="2" customWidth="1" style="37" min="11" max="11"/>
    <col width="18" customWidth="1" style="37" min="12" max="14"/>
  </cols>
  <sheetData>
    <row r="1" ht="18" customHeight="1" s="37">
      <c r="A1" s="47" t="inlineStr">
        <is>
          <t>Back to INDEX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</row>
    <row r="2">
      <c r="B2" t="n"/>
    </row>
    <row r="3">
      <c r="A3" s="41" t="inlineStr">
        <is>
          <t>A strategic buyer is considering acquiring CloudTrack. Value the startup using forward ARR multiples and a premium/discount adjustment. Provide a valuation range and sensitivity table.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3" t="n"/>
    </row>
    <row r="4">
      <c r="A4" s="44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6" t="n"/>
    </row>
    <row r="5">
      <c r="B5" t="n"/>
    </row>
    <row r="6">
      <c r="A6" s="38" t="inlineStr">
        <is>
          <t>INPUTS (blue text)</t>
        </is>
      </c>
      <c r="B6" s="39" t="n"/>
      <c r="C6" s="39" t="n"/>
      <c r="D6" s="40" t="n"/>
      <c r="L6" s="38" t="inlineStr">
        <is>
          <t>OUTPUTS (green)</t>
        </is>
      </c>
      <c r="M6" s="39" t="n"/>
      <c r="N6" s="40" t="n"/>
    </row>
    <row r="7" ht="25.5" customHeight="1" s="37">
      <c r="A7" s="1" t="inlineStr">
        <is>
          <t>Forward ARR (next 12 months) (₹)</t>
        </is>
      </c>
      <c r="B7" s="7" t="n">
        <v>150000000</v>
      </c>
      <c r="C7" s="3" t="n"/>
      <c r="D7" s="3" t="n"/>
      <c r="L7" s="1" t="inlineStr">
        <is>
          <t>Equity Value (Base)</t>
        </is>
      </c>
      <c r="M7" s="6">
        <f>I17</f>
        <v/>
      </c>
    </row>
    <row r="8" ht="25.5" customHeight="1" s="37">
      <c r="A8" s="1" t="inlineStr">
        <is>
          <t>ARR multiple — Low (x)</t>
        </is>
      </c>
      <c r="B8" s="25" t="n">
        <v>6</v>
      </c>
      <c r="C8" s="3" t="n"/>
      <c r="D8" s="3" t="n"/>
      <c r="L8" s="1" t="inlineStr">
        <is>
          <t>Valuation Range (Low–High)</t>
        </is>
      </c>
      <c r="M8" s="6">
        <f>I16</f>
        <v/>
      </c>
      <c r="N8" s="6">
        <f>I18</f>
        <v/>
      </c>
    </row>
    <row r="9">
      <c r="A9" s="1" t="inlineStr">
        <is>
          <t>ARR multiple — Base (x)</t>
        </is>
      </c>
      <c r="B9" s="25" t="n">
        <v>8</v>
      </c>
      <c r="C9" s="3" t="n"/>
      <c r="D9" s="3" t="n"/>
    </row>
    <row r="10">
      <c r="A10" s="1" t="inlineStr">
        <is>
          <t>ARR multiple — High (x)</t>
        </is>
      </c>
      <c r="B10" s="25" t="n">
        <v>10</v>
      </c>
      <c r="C10" s="3" t="n"/>
      <c r="D10" s="3" t="n"/>
    </row>
    <row r="11">
      <c r="A11" s="1" t="inlineStr">
        <is>
          <t>Premium / discount (%)</t>
        </is>
      </c>
      <c r="B11" s="5" t="n">
        <v>0</v>
      </c>
      <c r="C11" s="3" t="n"/>
      <c r="D11" s="3" t="n"/>
    </row>
    <row r="12" ht="25.5" customHeight="1" s="37">
      <c r="A12" s="1" t="inlineStr">
        <is>
          <t>Net cash (+) / net debt (−) (₹) (optional)</t>
        </is>
      </c>
      <c r="B12" s="7" t="n">
        <v>0</v>
      </c>
      <c r="C12" s="3" t="n"/>
      <c r="D12" s="3" t="n"/>
    </row>
    <row r="13"/>
    <row r="14">
      <c r="A14" s="38" t="inlineStr">
        <is>
          <t>CALCULATIONS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40" t="n"/>
    </row>
    <row r="15" ht="25.5" customHeight="1" s="37">
      <c r="A15" s="1" t="inlineStr">
        <is>
          <t>Enterprise Value (EV) = Forward ARR × Multiple</t>
        </is>
      </c>
      <c r="E15" s="10" t="inlineStr">
        <is>
          <t>Scenario</t>
        </is>
      </c>
      <c r="F15" s="10" t="inlineStr">
        <is>
          <t>Multiple (x)</t>
        </is>
      </c>
      <c r="G15" s="10" t="inlineStr">
        <is>
          <t>EV (₹)</t>
        </is>
      </c>
      <c r="H15" s="10" t="inlineStr">
        <is>
          <t>Adj. EV (₹)</t>
        </is>
      </c>
      <c r="I15" s="10" t="inlineStr">
        <is>
          <t>Equity Value (₹)</t>
        </is>
      </c>
    </row>
    <row r="16" ht="25.5" customHeight="1" s="37">
      <c r="A16" s="1" t="inlineStr">
        <is>
          <t>Adjusted EV = EV × (1 + premium/discount)</t>
        </is>
      </c>
      <c r="E16" s="26" t="inlineStr">
        <is>
          <t>Low</t>
        </is>
      </c>
      <c r="F16" s="27">
        <f>$B$8</f>
        <v/>
      </c>
      <c r="G16" s="14">
        <f>$B$7*F16</f>
        <v/>
      </c>
      <c r="H16" s="14">
        <f>G16*(1+$B$11)</f>
        <v/>
      </c>
      <c r="I16" s="14">
        <f>H16+$B$12</f>
        <v/>
      </c>
    </row>
    <row r="17" ht="25.5" customHeight="1" s="37">
      <c r="A17" s="1" t="inlineStr">
        <is>
          <t>Equity Value = Adjusted EV + Net Cash</t>
        </is>
      </c>
      <c r="E17" s="26" t="inlineStr">
        <is>
          <t>Base</t>
        </is>
      </c>
      <c r="F17" s="27">
        <f>$B$9</f>
        <v/>
      </c>
      <c r="G17" s="14">
        <f>$B$7*F17</f>
        <v/>
      </c>
      <c r="H17" s="14">
        <f>G17*(1+$B$11)</f>
        <v/>
      </c>
      <c r="I17" s="14">
        <f>H17+$B$12</f>
        <v/>
      </c>
    </row>
    <row r="18">
      <c r="E18" s="26" t="inlineStr">
        <is>
          <t>High</t>
        </is>
      </c>
      <c r="F18" s="27">
        <f>$B$10</f>
        <v/>
      </c>
      <c r="G18" s="14">
        <f>$B$7*F18</f>
        <v/>
      </c>
      <c r="H18" s="14">
        <f>G18*(1+$B$11)</f>
        <v/>
      </c>
      <c r="I18" s="14">
        <f>H18+$B$12</f>
        <v/>
      </c>
    </row>
    <row r="19"/>
    <row r="20"/>
    <row r="21"/>
    <row r="22">
      <c r="A22" s="38" t="inlineStr">
        <is>
          <t>CHECKS</t>
        </is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40" t="n"/>
    </row>
    <row r="23">
      <c r="A23" s="1" t="inlineStr">
        <is>
          <t>Multiples are positive</t>
        </is>
      </c>
      <c r="L23" s="17">
        <f>AND($B$8&gt;0,$B$9&gt;0,$B$10&gt;0)</f>
        <v/>
      </c>
      <c r="M23" s="17">
        <f>IF(L23,"OK","CHECK")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22:N22"/>
    <mergeCell ref="A3:N4"/>
    <mergeCell ref="A6:D6"/>
    <mergeCell ref="L6:N6"/>
    <mergeCell ref="A14:N14"/>
    <mergeCell ref="A1:N1"/>
  </mergeCells>
  <conditionalFormatting sqref="M23">
    <cfRule type="cellIs" priority="1" operator="equal" dxfId="1">
      <formula>"CHECK"</formula>
    </cfRule>
    <cfRule type="cellIs" priority="2" operator="equal" dxfId="0">
      <formula>"OK"</formula>
    </cfRule>
  </conditionalFormatting>
  <hyperlinks>
    <hyperlink ref="A1" location="'INDEX'!A1" display="Back to INDEX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zoomScaleNormal="100" workbookViewId="0">
      <pane ySplit="1" topLeftCell="A27" activePane="bottomLeft" state="frozen"/>
      <selection pane="bottomLeft" activeCell="A37" sqref="A37"/>
    </sheetView>
  </sheetViews>
  <sheetFormatPr baseColWidth="8" defaultRowHeight="15"/>
  <cols>
    <col width="28" customWidth="1" style="37" min="1" max="1"/>
    <col width="16" customWidth="1" style="37" min="2" max="2"/>
    <col width="14" customWidth="1" style="37" min="3" max="3"/>
    <col width="26" customWidth="1" style="37" min="4" max="4"/>
    <col width="30" customWidth="1" style="37" min="5" max="5"/>
    <col width="14" customWidth="1" style="37" min="6" max="10"/>
    <col width="2" customWidth="1" style="37" min="11" max="11"/>
    <col width="18" customWidth="1" style="37" min="12" max="14"/>
  </cols>
  <sheetData>
    <row r="1" ht="18" customHeight="1" s="37">
      <c r="A1" s="47" t="inlineStr">
        <is>
          <t>Back to INDEX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</row>
    <row r="2">
      <c r="B2" t="n"/>
    </row>
    <row r="3">
      <c r="A3" s="41" t="inlineStr">
        <is>
          <t>Build a simplified DCF valuation for CloudTrack using a 5-year forecast. Forecast revenues, EBITDA, free cash flows, discount them, and compute terminal value. Compare PV of explicit period vs PV of terminal value.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3" t="n"/>
    </row>
    <row r="4">
      <c r="A4" s="44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6" t="n"/>
    </row>
    <row r="5">
      <c r="B5" t="n"/>
    </row>
    <row r="6">
      <c r="A6" s="38" t="inlineStr">
        <is>
          <t>INPUTS (blue text)</t>
        </is>
      </c>
      <c r="B6" s="39" t="n"/>
      <c r="C6" s="39" t="n"/>
      <c r="D6" s="40" t="n"/>
    </row>
    <row r="7">
      <c r="A7" s="1" t="inlineStr">
        <is>
          <t>Year 1 ARR (₹)</t>
        </is>
      </c>
      <c r="B7" s="7" t="n">
        <v>150000000</v>
      </c>
      <c r="C7" s="3" t="n"/>
      <c r="D7" s="3" t="n"/>
      <c r="F7" s="38" t="inlineStr">
        <is>
          <t>OUTPUTS (green)</t>
        </is>
      </c>
      <c r="G7" s="39" t="n"/>
      <c r="H7" s="40" t="n"/>
    </row>
    <row r="8" ht="25.5" customHeight="1" s="37">
      <c r="A8" s="1" t="inlineStr">
        <is>
          <t>Revenue growth Y2</t>
        </is>
      </c>
      <c r="B8" s="5" t="n">
        <v>0.45</v>
      </c>
      <c r="C8" s="3" t="n"/>
      <c r="D8" s="3" t="n"/>
      <c r="F8" s="1" t="inlineStr">
        <is>
          <t>Enterprise Value (DCF)</t>
        </is>
      </c>
      <c r="G8" s="6">
        <f>F34</f>
        <v/>
      </c>
    </row>
    <row r="9" ht="25.5" customHeight="1" s="37">
      <c r="A9" s="1" t="inlineStr">
        <is>
          <t>Revenue growth Y3</t>
        </is>
      </c>
      <c r="B9" s="5" t="n">
        <v>0.35</v>
      </c>
      <c r="C9" s="3" t="n"/>
      <c r="D9" s="3" t="n"/>
      <c r="F9" s="1" t="inlineStr">
        <is>
          <t>PV(Terminal) as % of EV</t>
        </is>
      </c>
      <c r="G9" s="8">
        <f>IF(F34&gt;0, F32/F34, 0)</f>
        <v/>
      </c>
    </row>
    <row r="10">
      <c r="A10" s="1" t="inlineStr">
        <is>
          <t>Revenue growth Y4</t>
        </is>
      </c>
      <c r="B10" s="5" t="n">
        <v>0.25</v>
      </c>
      <c r="C10" s="3" t="n"/>
      <c r="D10" s="3" t="n"/>
    </row>
    <row r="11">
      <c r="A11" s="1" t="inlineStr">
        <is>
          <t>Revenue growth Y5</t>
        </is>
      </c>
      <c r="B11" s="5" t="n">
        <v>0.18</v>
      </c>
      <c r="C11" s="3" t="n"/>
      <c r="D11" s="3" t="n"/>
    </row>
    <row r="12">
      <c r="A12" s="1" t="inlineStr">
        <is>
          <t>Gross margin %</t>
        </is>
      </c>
      <c r="B12" s="5" t="n">
        <v>0.8</v>
      </c>
      <c r="C12" s="3" t="n"/>
      <c r="D12" s="3" t="n"/>
    </row>
    <row r="13">
      <c r="A13" s="1" t="inlineStr">
        <is>
          <t>Opex % of revenue</t>
        </is>
      </c>
      <c r="B13" s="5" t="n">
        <v>0.45</v>
      </c>
      <c r="C13" s="3" t="n"/>
      <c r="D13" s="3" t="n"/>
    </row>
    <row r="14">
      <c r="A14" s="1" t="inlineStr">
        <is>
          <t>Capex % of revenue</t>
        </is>
      </c>
      <c r="B14" s="5" t="n">
        <v>0.05</v>
      </c>
      <c r="C14" s="3" t="n"/>
      <c r="D14" s="3" t="n"/>
    </row>
    <row r="15">
      <c r="A15" s="1" t="inlineStr">
        <is>
          <t>Discount rate (WACC)</t>
        </is>
      </c>
      <c r="B15" s="5" t="n">
        <v>0.18</v>
      </c>
      <c r="C15" s="3" t="n"/>
      <c r="D15" s="3" t="n"/>
    </row>
    <row r="16">
      <c r="A16" s="1" t="inlineStr">
        <is>
          <t>Terminal growth rate</t>
        </is>
      </c>
      <c r="B16" s="5" t="n">
        <v>0.04</v>
      </c>
      <c r="C16" s="3" t="n"/>
      <c r="D16" s="3" t="n"/>
    </row>
    <row r="17"/>
    <row r="18">
      <c r="A18" s="38" t="inlineStr">
        <is>
          <t>CALCULATIONS — 5-Year DCF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40" t="n"/>
    </row>
    <row r="19"/>
    <row r="20">
      <c r="A20" s="10" t="inlineStr">
        <is>
          <t>Year</t>
        </is>
      </c>
      <c r="B20" s="10" t="inlineStr">
        <is>
          <t>Y1</t>
        </is>
      </c>
      <c r="C20" s="10" t="inlineStr">
        <is>
          <t>Y2</t>
        </is>
      </c>
      <c r="D20" s="10" t="inlineStr">
        <is>
          <t>Y3</t>
        </is>
      </c>
      <c r="E20" s="10" t="inlineStr">
        <is>
          <t>Y4</t>
        </is>
      </c>
      <c r="F20" s="10" t="inlineStr">
        <is>
          <t>Y5</t>
        </is>
      </c>
    </row>
    <row r="21">
      <c r="A21" s="1" t="inlineStr">
        <is>
          <t>Revenue (₹)</t>
        </is>
      </c>
      <c r="B21" s="14">
        <f>$B$7</f>
        <v/>
      </c>
      <c r="C21" s="14">
        <f>B21*(1+$B$8)</f>
        <v/>
      </c>
      <c r="D21" s="14">
        <f>C21*(1+$B$9)</f>
        <v/>
      </c>
      <c r="E21" s="14">
        <f>D21*(1+$B$10)</f>
        <v/>
      </c>
      <c r="F21" s="14">
        <f>E21*(1+$B$11)</f>
        <v/>
      </c>
    </row>
    <row r="22">
      <c r="A22" s="1" t="inlineStr">
        <is>
          <t>Gross profit (₹)</t>
        </is>
      </c>
      <c r="B22" s="14">
        <f>B21*$B$12</f>
        <v/>
      </c>
      <c r="C22" s="14">
        <f>C21*$B$12</f>
        <v/>
      </c>
      <c r="D22" s="14">
        <f>D21*$B$12</f>
        <v/>
      </c>
      <c r="E22" s="14">
        <f>E21*$B$12</f>
        <v/>
      </c>
      <c r="F22" s="14">
        <f>F21*$B$12</f>
        <v/>
      </c>
    </row>
    <row r="23">
      <c r="A23" s="1" t="inlineStr">
        <is>
          <t>Operating expenses (₹)</t>
        </is>
      </c>
      <c r="B23" s="14">
        <f>B21*$B$13</f>
        <v/>
      </c>
      <c r="C23" s="14">
        <f>C21*$B$13</f>
        <v/>
      </c>
      <c r="D23" s="14">
        <f>D21*$B$13</f>
        <v/>
      </c>
      <c r="E23" s="14">
        <f>E21*$B$13</f>
        <v/>
      </c>
      <c r="F23" s="14">
        <f>F21*$B$13</f>
        <v/>
      </c>
    </row>
    <row r="24">
      <c r="A24" s="1" t="inlineStr">
        <is>
          <t>EBITDA (₹)</t>
        </is>
      </c>
      <c r="B24" s="15">
        <f>B22-B23</f>
        <v/>
      </c>
      <c r="C24" s="15">
        <f>C22-C23</f>
        <v/>
      </c>
      <c r="D24" s="15">
        <f>D22-D23</f>
        <v/>
      </c>
      <c r="E24" s="15">
        <f>E22-E23</f>
        <v/>
      </c>
      <c r="F24" s="15">
        <f>F22-F23</f>
        <v/>
      </c>
    </row>
    <row r="25">
      <c r="A25" s="1" t="inlineStr">
        <is>
          <t>Capex (₹)</t>
        </is>
      </c>
      <c r="B25" s="14">
        <f>B21*$B$14</f>
        <v/>
      </c>
      <c r="C25" s="14">
        <f>C21*$B$14</f>
        <v/>
      </c>
      <c r="D25" s="14">
        <f>D21*$B$14</f>
        <v/>
      </c>
      <c r="E25" s="14">
        <f>E21*$B$14</f>
        <v/>
      </c>
      <c r="F25" s="14">
        <f>F21*$B$14</f>
        <v/>
      </c>
    </row>
    <row r="26">
      <c r="A26" s="1" t="inlineStr">
        <is>
          <t>Free Cash Flow (₹)</t>
        </is>
      </c>
      <c r="B26" s="28">
        <f>B24-B25</f>
        <v/>
      </c>
      <c r="C26" s="28">
        <f>C24-C25</f>
        <v/>
      </c>
      <c r="D26" s="28">
        <f>D24-D25</f>
        <v/>
      </c>
      <c r="E26" s="28">
        <f>E24-E25</f>
        <v/>
      </c>
      <c r="F26" s="28">
        <f>F24-F25</f>
        <v/>
      </c>
    </row>
    <row r="27"/>
    <row r="28">
      <c r="A28" s="1" t="inlineStr">
        <is>
          <t>Discount factor</t>
        </is>
      </c>
      <c r="B28" s="29">
        <f>1/(1+$B$15)^1</f>
        <v/>
      </c>
      <c r="C28" s="29">
        <f>1/(1+$B$15)^2</f>
        <v/>
      </c>
      <c r="D28" s="29">
        <f>1/(1+$B$15)^3</f>
        <v/>
      </c>
      <c r="E28" s="29">
        <f>1/(1+$B$15)^4</f>
        <v/>
      </c>
      <c r="F28" s="29">
        <f>1/(1+$B$15)^5</f>
        <v/>
      </c>
    </row>
    <row r="29">
      <c r="A29" s="1" t="inlineStr">
        <is>
          <t>PV of FCF (₹)</t>
        </is>
      </c>
      <c r="B29" s="14">
        <f>B26*B28</f>
        <v/>
      </c>
      <c r="C29" s="14">
        <f>C26*C28</f>
        <v/>
      </c>
      <c r="D29" s="14">
        <f>D26*D28</f>
        <v/>
      </c>
      <c r="E29" s="14">
        <f>E26*E28</f>
        <v/>
      </c>
      <c r="F29" s="14">
        <f>F26*F28</f>
        <v/>
      </c>
    </row>
    <row r="30"/>
    <row r="31">
      <c r="A31" s="1" t="inlineStr">
        <is>
          <t>Terminal value (end of Y5) (₹)</t>
        </is>
      </c>
      <c r="F31" s="15">
        <f>IF($B$15&gt;$B$16, F26*(1+$B$16)/($B$15-$B$16), 0)</f>
        <v/>
      </c>
    </row>
    <row r="32">
      <c r="A32" s="1" t="inlineStr">
        <is>
          <t>PV of terminal value (₹)</t>
        </is>
      </c>
      <c r="F32" s="15">
        <f>F31*F28</f>
        <v/>
      </c>
    </row>
    <row r="33"/>
    <row r="34">
      <c r="A34" s="1" t="inlineStr">
        <is>
          <t>Enterprise Value (EV) (₹)</t>
        </is>
      </c>
      <c r="F34" s="6">
        <f>SUM(B29:F29)+F32</f>
        <v/>
      </c>
    </row>
    <row r="35"/>
    <row r="36">
      <c r="A36" s="38" t="inlineStr">
        <is>
          <t>CHECKS</t>
        </is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40" t="n"/>
    </row>
    <row r="37" ht="25.5" customHeight="1" s="37">
      <c r="A37" s="1" t="inlineStr">
        <is>
          <t>WACC must be greater than terminal growth</t>
        </is>
      </c>
      <c r="L37" s="17">
        <f>$B$15&gt;$B$16</f>
        <v/>
      </c>
      <c r="M37" s="17">
        <f>IF(L37,"OK","CHECK")</f>
        <v/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6">
    <mergeCell ref="A18:N18"/>
    <mergeCell ref="A3:N4"/>
    <mergeCell ref="A6:D6"/>
    <mergeCell ref="F7:H7"/>
    <mergeCell ref="A36:N36"/>
    <mergeCell ref="A1:N1"/>
  </mergeCells>
  <conditionalFormatting sqref="M37">
    <cfRule type="cellIs" priority="1" operator="equal" dxfId="1">
      <formula>"CHECK"</formula>
    </cfRule>
    <cfRule type="cellIs" priority="2" operator="equal" dxfId="0">
      <formula>"OK"</formula>
    </cfRule>
  </conditionalFormatting>
  <hyperlinks>
    <hyperlink ref="A1" location="'INDEX'!A1" display="Back to INDEX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2025-12-19T08:26:10Z</dcterms:created>
  <dcterms:modified xmlns:dcterms="http://purl.org/dc/terms/" xmlns:xsi="http://www.w3.org/2001/XMLSchema-instance" xsi:type="dcterms:W3CDTF">2026-01-02T07:10:19Z</dcterms:modified>
  <cp:lastModifiedBy>Office</cp:lastModifiedBy>
</cp:coreProperties>
</file>