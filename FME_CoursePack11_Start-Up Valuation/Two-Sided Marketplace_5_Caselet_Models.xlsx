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M1_Transactions_Revenue_GMV" sheetId="2" state="visible" r:id="rId2"/>
    <sheet xmlns:r="http://schemas.openxmlformats.org/officeDocument/2006/relationships" name="M2_Liquidity_Capacity_Bottlenecks" sheetId="3" state="visible" r:id="rId3"/>
    <sheet xmlns:r="http://schemas.openxmlformats.org/officeDocument/2006/relationships" name="M3_UnitEconomics_CAC_SAC_Breakeven" sheetId="4" state="visible" r:id="rId4"/>
    <sheet xmlns:r="http://schemas.openxmlformats.org/officeDocument/2006/relationships" name="M4_TakeRate_Competition_Scenarios" sheetId="5" state="visible" r:id="rId5"/>
    <sheet xmlns:r="http://schemas.openxmlformats.org/officeDocument/2006/relationships" name="M5_Valuation_GMV_vs_NetRe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,##0"/>
    <numFmt numFmtId="165" formatCode="₹#,#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</font>
    <font>
      <b val="1"/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8CBAD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top" wrapText="1"/>
    </xf>
    <xf numFmtId="3" fontId="0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3" fontId="0" fillId="5" borderId="1" applyAlignment="1" pivotButton="0" quotePrefix="0" xfId="0">
      <alignment horizontal="right" vertical="center" wrapText="1"/>
    </xf>
    <xf numFmtId="10" fontId="0" fillId="4" borderId="1" applyAlignment="1" pivotButton="0" quotePrefix="0" xfId="0">
      <alignment horizontal="right" vertical="center" wrapText="1"/>
    </xf>
    <xf numFmtId="164" fontId="0" fillId="5" borderId="1" applyAlignment="1" pivotButton="0" quotePrefix="0" xfId="0">
      <alignment horizontal="right" vertical="center" wrapText="1"/>
    </xf>
    <xf numFmtId="164" fontId="0" fillId="4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right" vertical="center" wrapText="1"/>
    </xf>
    <xf numFmtId="164" fontId="0" fillId="6" borderId="1" applyAlignment="1" pivotButton="0" quotePrefix="0" xfId="0">
      <alignment horizontal="right" vertical="center" wrapText="1"/>
    </xf>
    <xf numFmtId="0" fontId="0" fillId="7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top" wrapText="1"/>
    </xf>
    <xf numFmtId="10" fontId="0" fillId="6" borderId="1" applyAlignment="1" pivotButton="0" quotePrefix="0" xfId="0">
      <alignment horizontal="right" vertical="center" wrapText="1"/>
    </xf>
    <xf numFmtId="165" fontId="0" fillId="5" borderId="1" applyAlignment="1" pivotButton="0" quotePrefix="0" xfId="0">
      <alignment horizontal="right" vertical="center" wrapText="1"/>
    </xf>
    <xf numFmtId="165" fontId="0" fillId="6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left" vertical="top" wrapText="1"/>
    </xf>
    <xf numFmtId="10" fontId="0" fillId="5" borderId="1" applyAlignment="1" pivotButton="0" quotePrefix="0" xfId="0">
      <alignment horizontal="right" vertical="center" wrapText="1"/>
    </xf>
    <xf numFmtId="0" fontId="0" fillId="6" borderId="1" applyAlignment="1" pivotButton="0" quotePrefix="0" xfId="0">
      <alignment horizontal="right" vertical="center" wrapText="1"/>
    </xf>
    <xf numFmtId="4" fontId="0" fillId="5" borderId="1" applyAlignment="1" pivotButton="0" quotePrefix="0" xfId="0">
      <alignment horizontal="right" vertical="center" wrapText="1"/>
    </xf>
    <xf numFmtId="4" fontId="0" fillId="4" borderId="1" applyAlignment="1" pivotButton="0" quotePrefix="0" xfId="0">
      <alignment horizontal="right" vertical="center" wrapText="1"/>
    </xf>
    <xf numFmtId="3" fontId="0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FME Notes</author>
    <author>FME Model</author>
  </authors>
  <commentList>
    <comment ref="B4" authorId="0" shapeId="0">
      <text>
        <t>Forecast horizon in months (default 60). Timeline columns use this length.</t>
      </text>
    </comment>
    <comment ref="B7" authorId="0" shapeId="0">
      <text>
        <t>Monthly compounding: Patients_t = Patients_(t-1)×(1+g).</t>
      </text>
    </comment>
    <comment ref="E8" authorId="0" shapeId="0">
      <text>
        <t>Transactions = Patients × Conversion%. Demand-driven; capacity constraints in Caselet 2.</t>
      </text>
    </comment>
    <comment ref="B9" authorId="1" shapeId="0">
      <text>
        <t>Demand-driven baseline:
Transactions = Active Patients × Conversion%.
Supply constraints are modelled in Caselet 2.</t>
      </text>
    </comment>
    <comment ref="E10" authorId="0" shapeId="0">
      <text>
        <t>Net Revenue = GMV × Take Rate (Commission%).</t>
      </text>
    </comment>
    <comment ref="E11" authorId="1" shapeId="0">
      <text>
        <t>GMV = Transactions × Avg Fee.
Net Revenue = GMV × Take Rate.</t>
      </text>
    </comment>
    <comment ref="B23" authorId="0" shapeId="0">
      <text>
        <t>If CHECK appears, review inputs (rates must be between 0% and 100%).</t>
      </text>
    </comment>
  </commentList>
</comments>
</file>

<file path=xl/comments/comment2.xml><?xml version="1.0" encoding="utf-8"?>
<comments xmlns="http://schemas.openxmlformats.org/spreadsheetml/2006/main">
  <authors>
    <author>FME Model</author>
    <author>FME Notes</author>
  </authors>
  <commentList>
    <comment ref="C5" authorId="0" shapeId="0">
      <text>
        <t>Demand = Active Patients × Booking Intent %.
Supply = Active Doctors × Capacity/Doctor.
Realized = MIN(Demand, Supply).</t>
      </text>
    </comment>
    <comment ref="G5" authorId="1" shapeId="0">
      <text>
        <t>Demand bookings = Active Patients × Booking Intent%.</t>
      </text>
    </comment>
    <comment ref="H5" authorId="1" shapeId="0">
      <text>
        <t>Supply capacity = Active Doctors × Capacity/Doctor.</t>
      </text>
    </comment>
    <comment ref="I5" authorId="1" shapeId="0">
      <text>
        <t>Realized = MIN(Demand, Supply) (bottleneck).</t>
      </text>
    </comment>
    <comment ref="J5" authorId="1" shapeId="0">
      <text>
        <t>Lost = MAX(Demand − Supply, 0).</t>
      </text>
    </comment>
    <comment ref="K5" authorId="1" shapeId="0">
      <text>
        <t>Lost GMV = Lost × Avg Fee.</t>
      </text>
    </comment>
  </commentList>
</comments>
</file>

<file path=xl/comments/comment3.xml><?xml version="1.0" encoding="utf-8"?>
<comments xmlns="http://schemas.openxmlformats.org/spreadsheetml/2006/main">
  <authors>
    <author>FME Notes</author>
  </authors>
  <commentList>
    <comment ref="B4" authorId="0" shapeId="0">
      <text>
        <t>CAC = Patient marketing spend / New patients acquired.</t>
      </text>
    </comment>
    <comment ref="B6" authorId="0" shapeId="0">
      <text>
        <t>SAC = Doctor onboarding spend / New doctors onboarded.</t>
      </text>
    </comment>
    <comment ref="E6" authorId="0" shapeId="0">
      <text>
        <t>Revenue/Txn = Avg fee × Take rate.</t>
      </text>
    </comment>
    <comment ref="E7" authorId="0" shapeId="0">
      <text>
        <t>Contribution/Txn = Revenue/Txn − Variable cost/booking.</t>
      </text>
    </comment>
    <comment ref="E9" authorId="0" shapeId="0">
      <text>
        <t>Break-even txns = (Marketing + Onboarding) / Contribution per txn (only if contribution &gt; 0).</t>
      </text>
    </comment>
  </commentList>
</comments>
</file>

<file path=xl/comments/comment4.xml><?xml version="1.0" encoding="utf-8"?>
<comments xmlns="http://schemas.openxmlformats.org/spreadsheetml/2006/main">
  <authors>
    <author>FME Notes</author>
    <author>FME Model</author>
  </authors>
  <commentList>
    <comment ref="E5" authorId="0" shapeId="0">
      <text>
        <t>Take rate scenarios. Keep within 0–100%.</t>
      </text>
    </comment>
    <comment ref="F5" authorId="0" shapeId="0">
      <text>
        <t>Adj churn = Base churn × (1 − churn reduction).</t>
      </text>
    </comment>
    <comment ref="G5" authorId="0" shapeId="0">
      <text>
        <t>Transactions proxy: Demand × (1−AdjChurn)/(1−BaseChurn).</t>
      </text>
    </comment>
    <comment ref="H5" authorId="0" shapeId="0">
      <text>
        <t>Net Revenue = Transactions × Fee × Take rate.</t>
      </text>
    </comment>
    <comment ref="I5" authorId="0" shapeId="0">
      <text>
        <t>Contribution = Net Revenue − Variable cost × Transactions.</t>
      </text>
    </comment>
    <comment ref="B7" authorId="1" shapeId="0">
      <text>
        <t>Transactions proxy:
Base demand = Patients × Conversion.
Adjusted by retention factor: (1−AdjChurn)/(1−BaseChurn).</t>
      </text>
    </comment>
  </commentList>
</comments>
</file>

<file path=xl/comments/comment5.xml><?xml version="1.0" encoding="utf-8"?>
<comments xmlns="http://schemas.openxmlformats.org/spreadsheetml/2006/main">
  <authors>
    <author>FME Notes</author>
  </authors>
  <commentList>
    <comment ref="B4" authorId="0" shapeId="0">
      <text>
        <t>Inputs are in ₹ crore. Keep units consistent.</t>
      </text>
    </comment>
    <comment ref="G5" authorId="0" shapeId="0">
      <text>
        <t>EV = Forward metric × Multiple.</t>
      </text>
    </comment>
    <comment ref="B14" authorId="0" shapeId="0">
      <text>
        <t>Valuation range uses low-to-high multiples.</t>
      </text>
    </comment>
    <comment ref="B16" authorId="0" shapeId="0">
      <text>
        <t>Write a short justification: when GMV vs Net Revenue is more appropriate.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M1_Transactions_Revenue_GMV!A1" TargetMode="External" Id="rId1"/><Relationship Type="http://schemas.openxmlformats.org/officeDocument/2006/relationships/hyperlink" Target="#M2_Liquidity_Capacity_Bottlenecks!A1" TargetMode="External" Id="rId2"/><Relationship Type="http://schemas.openxmlformats.org/officeDocument/2006/relationships/hyperlink" Target="#M3_UnitEconomics_CAC_SAC_Breakeven!A1" TargetMode="External" Id="rId3"/><Relationship Type="http://schemas.openxmlformats.org/officeDocument/2006/relationships/hyperlink" Target="#M4_TakeRate_Competition_Scenarios!A1" TargetMode="External" Id="rId4"/><Relationship Type="http://schemas.openxmlformats.org/officeDocument/2006/relationships/hyperlink" Target="#M5_Valuation_GMV_vs_NetRev!A1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INDEX!A1" TargetMode="External" Id="rId1"/><Relationship Type="http://schemas.openxmlformats.org/officeDocument/2006/relationships/hyperlink" Target="#INDEX!A1" TargetMode="External" Id="rId2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70" customWidth="1" min="3" max="3"/>
  </cols>
  <sheetData>
    <row r="1" ht="26" customHeight="1">
      <c r="A1" s="1" t="inlineStr">
        <is>
          <t>Two-Sided Marketplace (MediLink) – INDEX</t>
        </is>
      </c>
    </row>
    <row r="3">
      <c r="A3" s="33" t="inlineStr">
        <is>
          <t>Caselet</t>
        </is>
      </c>
      <c r="B3" s="33" t="inlineStr">
        <is>
          <t>Sheet</t>
        </is>
      </c>
      <c r="C3" s="33" t="inlineStr">
        <is>
          <t>Purpose (what students build)</t>
        </is>
      </c>
    </row>
    <row r="4">
      <c r="A4" s="34" t="inlineStr">
        <is>
          <t>Caselet 1</t>
        </is>
      </c>
      <c r="B4" s="35" t="inlineStr">
        <is>
          <t>M1_Transactions_Revenue_GMV</t>
        </is>
      </c>
      <c r="C4" s="34" t="inlineStr">
        <is>
          <t>Forecast monthly transactions, GMV and net revenue using driver-based growth (patients, conversion, fee, take rate).</t>
        </is>
      </c>
    </row>
    <row r="5">
      <c r="A5" s="34" t="inlineStr">
        <is>
          <t>Caselet 2</t>
        </is>
      </c>
      <c r="B5" s="35" t="inlineStr">
        <is>
          <t>M2_Liquidity_Capacity_Bottlenecks</t>
        </is>
      </c>
      <c r="C5" s="34" t="inlineStr">
        <is>
          <t>Model supply–demand balance by specialty; compute realized vs lost transactions using MIN/MAX bottleneck logic and lost GMV.</t>
        </is>
      </c>
    </row>
    <row r="6">
      <c r="A6" s="34" t="inlineStr">
        <is>
          <t>Caselet 3</t>
        </is>
      </c>
      <c r="B6" s="35" t="inlineStr">
        <is>
          <t>M3_UnitEconomics_CAC_SAC_Breakeven</t>
        </is>
      </c>
      <c r="C6" s="34" t="inlineStr">
        <is>
          <t>Compute CAC, SAC, contribution per transaction and break-even transactions; evaluate sustainability of scaling.</t>
        </is>
      </c>
    </row>
    <row r="7">
      <c r="A7" s="34" t="inlineStr">
        <is>
          <t>Caselet 4</t>
        </is>
      </c>
      <c r="B7" s="35" t="inlineStr">
        <is>
          <t>M4_TakeRate_Competition_Scenarios</t>
        </is>
      </c>
      <c r="C7" s="34" t="inlineStr">
        <is>
          <t>Scenario analysis of take-rate cuts; model churn reduction effect via retention proxy and compare contribution across scenarios.</t>
        </is>
      </c>
    </row>
    <row r="8">
      <c r="A8" s="34" t="inlineStr">
        <is>
          <t>Caselet 5</t>
        </is>
      </c>
      <c r="B8" s="35" t="inlineStr">
        <is>
          <t>M5_Valuation_GMV_vs_NetRev</t>
        </is>
      </c>
      <c r="C8" s="34" t="inlineStr">
        <is>
          <t>Estimate valuation ranges using GMV and net revenue multiples; compare methods and justify preferred metric.</t>
        </is>
      </c>
    </row>
    <row r="10">
      <c r="A10" s="34" t="inlineStr">
        <is>
          <t>Tip: Use only yellow cells for inputs. Green blocks summarize results. Red blocks flag errors.</t>
        </is>
      </c>
      <c r="B10" s="3" t="n"/>
      <c r="C10" s="3" t="n"/>
    </row>
    <row r="11">
      <c r="A11" s="3" t="n"/>
      <c r="B11" s="3" t="n"/>
      <c r="C11" s="3" t="n"/>
    </row>
  </sheetData>
  <mergeCells count="2">
    <mergeCell ref="A10:C11"/>
    <mergeCell ref="A1:F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" customWidth="1" min="3" max="3"/>
    <col width="16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</cols>
  <sheetData>
    <row r="1" ht="26" customHeight="1">
      <c r="A1" s="36" t="inlineStr">
        <is>
          <t>MediLink – Caselet 1: Transactions, GMV &amp; Net Revenue Forecast (60 Months)</t>
        </is>
      </c>
    </row>
    <row r="2">
      <c r="A2" s="37" t="inlineStr">
        <is>
          <t>← Back to INDEX</t>
        </is>
      </c>
    </row>
    <row r="3">
      <c r="A3" s="2" t="inlineStr">
        <is>
          <t>INPUTS (Edit yellow cells only)</t>
        </is>
      </c>
      <c r="B3" s="38" t="n"/>
      <c r="C3" s="39" t="n"/>
      <c r="E3" s="2" t="inlineStr">
        <is>
          <t>CALCULATIONS (Monthly drivers)</t>
        </is>
      </c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  <c r="AU3" s="38" t="n"/>
      <c r="AV3" s="38" t="n"/>
      <c r="AW3" s="38" t="n"/>
      <c r="AX3" s="38" t="n"/>
      <c r="AY3" s="38" t="n"/>
      <c r="AZ3" s="38" t="n"/>
      <c r="BA3" s="38" t="n"/>
      <c r="BB3" s="38" t="n"/>
      <c r="BC3" s="38" t="n"/>
      <c r="BD3" s="38" t="n"/>
      <c r="BE3" s="38" t="n"/>
      <c r="BF3" s="38" t="n"/>
      <c r="BG3" s="38" t="n"/>
      <c r="BH3" s="38" t="n"/>
      <c r="BI3" s="38" t="n"/>
      <c r="BJ3" s="38" t="n"/>
      <c r="BK3" s="38" t="n"/>
      <c r="BL3" s="39" t="n"/>
    </row>
    <row r="4">
      <c r="A4" s="4" t="inlineStr">
        <is>
          <t>Forecast months</t>
        </is>
      </c>
      <c r="B4" s="5" t="n">
        <v>60</v>
      </c>
    </row>
    <row r="5">
      <c r="A5" s="4" t="inlineStr">
        <is>
          <t>Active patients (Month 0)</t>
        </is>
      </c>
      <c r="B5" s="5" t="n">
        <v>120000</v>
      </c>
      <c r="D5" s="6" t="inlineStr">
        <is>
          <t>Metric</t>
        </is>
      </c>
      <c r="E5" s="6" t="n">
        <v>1</v>
      </c>
      <c r="F5" s="6" t="n">
        <v>2</v>
      </c>
      <c r="G5" s="6" t="n">
        <v>3</v>
      </c>
      <c r="H5" s="6" t="n">
        <v>4</v>
      </c>
      <c r="I5" s="6" t="n">
        <v>5</v>
      </c>
      <c r="J5" s="6" t="n">
        <v>6</v>
      </c>
      <c r="K5" s="6" t="n">
        <v>7</v>
      </c>
      <c r="L5" s="6" t="n">
        <v>8</v>
      </c>
      <c r="M5" s="6" t="n">
        <v>9</v>
      </c>
      <c r="N5" s="6" t="n">
        <v>10</v>
      </c>
      <c r="O5" s="6" t="n">
        <v>11</v>
      </c>
      <c r="P5" s="6" t="n">
        <v>12</v>
      </c>
      <c r="Q5" s="6" t="n">
        <v>13</v>
      </c>
      <c r="R5" s="6" t="n">
        <v>14</v>
      </c>
      <c r="S5" s="6" t="n">
        <v>15</v>
      </c>
      <c r="T5" s="6" t="n">
        <v>16</v>
      </c>
      <c r="U5" s="6" t="n">
        <v>17</v>
      </c>
      <c r="V5" s="6" t="n">
        <v>18</v>
      </c>
      <c r="W5" s="6" t="n">
        <v>19</v>
      </c>
      <c r="X5" s="6" t="n">
        <v>20</v>
      </c>
      <c r="Y5" s="6" t="n">
        <v>21</v>
      </c>
      <c r="Z5" s="6" t="n">
        <v>22</v>
      </c>
      <c r="AA5" s="6" t="n">
        <v>23</v>
      </c>
      <c r="AB5" s="6" t="n">
        <v>24</v>
      </c>
      <c r="AC5" s="6" t="n">
        <v>25</v>
      </c>
      <c r="AD5" s="6" t="n">
        <v>26</v>
      </c>
      <c r="AE5" s="6" t="n">
        <v>27</v>
      </c>
      <c r="AF5" s="6" t="n">
        <v>28</v>
      </c>
      <c r="AG5" s="6" t="n">
        <v>29</v>
      </c>
      <c r="AH5" s="6" t="n">
        <v>30</v>
      </c>
      <c r="AI5" s="6" t="n">
        <v>31</v>
      </c>
      <c r="AJ5" s="6" t="n">
        <v>32</v>
      </c>
      <c r="AK5" s="6" t="n">
        <v>33</v>
      </c>
      <c r="AL5" s="6" t="n">
        <v>34</v>
      </c>
      <c r="AM5" s="6" t="n">
        <v>35</v>
      </c>
      <c r="AN5" s="6" t="n">
        <v>36</v>
      </c>
      <c r="AO5" s="6" t="n">
        <v>37</v>
      </c>
      <c r="AP5" s="6" t="n">
        <v>38</v>
      </c>
      <c r="AQ5" s="6" t="n">
        <v>39</v>
      </c>
      <c r="AR5" s="6" t="n">
        <v>40</v>
      </c>
      <c r="AS5" s="6" t="n">
        <v>41</v>
      </c>
      <c r="AT5" s="6" t="n">
        <v>42</v>
      </c>
      <c r="AU5" s="6" t="n">
        <v>43</v>
      </c>
      <c r="AV5" s="6" t="n">
        <v>44</v>
      </c>
      <c r="AW5" s="6" t="n">
        <v>45</v>
      </c>
      <c r="AX5" s="6" t="n">
        <v>46</v>
      </c>
      <c r="AY5" s="6" t="n">
        <v>47</v>
      </c>
      <c r="AZ5" s="6" t="n">
        <v>48</v>
      </c>
      <c r="BA5" s="6" t="n">
        <v>49</v>
      </c>
      <c r="BB5" s="6" t="n">
        <v>50</v>
      </c>
      <c r="BC5" s="6" t="n">
        <v>51</v>
      </c>
      <c r="BD5" s="6" t="n">
        <v>52</v>
      </c>
      <c r="BE5" s="6" t="n">
        <v>53</v>
      </c>
      <c r="BF5" s="6" t="n">
        <v>54</v>
      </c>
      <c r="BG5" s="6" t="n">
        <v>55</v>
      </c>
      <c r="BH5" s="6" t="n">
        <v>56</v>
      </c>
      <c r="BI5" s="6" t="n">
        <v>57</v>
      </c>
      <c r="BJ5" s="6" t="n">
        <v>58</v>
      </c>
      <c r="BK5" s="6" t="n">
        <v>59</v>
      </c>
      <c r="BL5" s="6" t="n">
        <v>60</v>
      </c>
    </row>
    <row r="6">
      <c r="A6" s="4" t="inlineStr">
        <is>
          <t>Active doctors (Month 0)</t>
        </is>
      </c>
      <c r="B6" s="5" t="n">
        <v>6000</v>
      </c>
      <c r="D6" s="7" t="inlineStr">
        <is>
          <t>Active Patients</t>
        </is>
      </c>
      <c r="E6" s="8">
        <f>$B$5*(1+$B$7)</f>
        <v/>
      </c>
      <c r="F6" s="8">
        <f>E6*(1+$B$7)</f>
        <v/>
      </c>
      <c r="G6" s="8">
        <f>F6*(1+$B$7)</f>
        <v/>
      </c>
      <c r="H6" s="8">
        <f>G6*(1+$B$7)</f>
        <v/>
      </c>
      <c r="I6" s="8">
        <f>H6*(1+$B$7)</f>
        <v/>
      </c>
      <c r="J6" s="8">
        <f>I6*(1+$B$7)</f>
        <v/>
      </c>
      <c r="K6" s="8">
        <f>J6*(1+$B$7)</f>
        <v/>
      </c>
      <c r="L6" s="8">
        <f>K6*(1+$B$7)</f>
        <v/>
      </c>
      <c r="M6" s="8">
        <f>L6*(1+$B$7)</f>
        <v/>
      </c>
      <c r="N6" s="8">
        <f>M6*(1+$B$7)</f>
        <v/>
      </c>
      <c r="O6" s="8">
        <f>N6*(1+$B$7)</f>
        <v/>
      </c>
      <c r="P6" s="8">
        <f>O6*(1+$B$7)</f>
        <v/>
      </c>
      <c r="Q6" s="8">
        <f>P6*(1+$B$7)</f>
        <v/>
      </c>
      <c r="R6" s="8">
        <f>Q6*(1+$B$7)</f>
        <v/>
      </c>
      <c r="S6" s="8">
        <f>R6*(1+$B$7)</f>
        <v/>
      </c>
      <c r="T6" s="8">
        <f>S6*(1+$B$7)</f>
        <v/>
      </c>
      <c r="U6" s="8">
        <f>T6*(1+$B$7)</f>
        <v/>
      </c>
      <c r="V6" s="8">
        <f>U6*(1+$B$7)</f>
        <v/>
      </c>
      <c r="W6" s="8">
        <f>V6*(1+$B$7)</f>
        <v/>
      </c>
      <c r="X6" s="8">
        <f>W6*(1+$B$7)</f>
        <v/>
      </c>
      <c r="Y6" s="8">
        <f>X6*(1+$B$7)</f>
        <v/>
      </c>
      <c r="Z6" s="8">
        <f>Y6*(1+$B$7)</f>
        <v/>
      </c>
      <c r="AA6" s="8">
        <f>Z6*(1+$B$7)</f>
        <v/>
      </c>
      <c r="AB6" s="8">
        <f>AA6*(1+$B$7)</f>
        <v/>
      </c>
      <c r="AC6" s="8">
        <f>AB6*(1+$B$7)</f>
        <v/>
      </c>
      <c r="AD6" s="8">
        <f>AC6*(1+$B$7)</f>
        <v/>
      </c>
      <c r="AE6" s="8">
        <f>AD6*(1+$B$7)</f>
        <v/>
      </c>
      <c r="AF6" s="8">
        <f>AE6*(1+$B$7)</f>
        <v/>
      </c>
      <c r="AG6" s="8">
        <f>AF6*(1+$B$7)</f>
        <v/>
      </c>
      <c r="AH6" s="8">
        <f>AG6*(1+$B$7)</f>
        <v/>
      </c>
      <c r="AI6" s="8">
        <f>AH6*(1+$B$7)</f>
        <v/>
      </c>
      <c r="AJ6" s="8">
        <f>AI6*(1+$B$7)</f>
        <v/>
      </c>
      <c r="AK6" s="8">
        <f>AJ6*(1+$B$7)</f>
        <v/>
      </c>
      <c r="AL6" s="8">
        <f>AK6*(1+$B$7)</f>
        <v/>
      </c>
      <c r="AM6" s="8">
        <f>AL6*(1+$B$7)</f>
        <v/>
      </c>
      <c r="AN6" s="8">
        <f>AM6*(1+$B$7)</f>
        <v/>
      </c>
      <c r="AO6" s="8">
        <f>AN6*(1+$B$7)</f>
        <v/>
      </c>
      <c r="AP6" s="8">
        <f>AO6*(1+$B$7)</f>
        <v/>
      </c>
      <c r="AQ6" s="8">
        <f>AP6*(1+$B$7)</f>
        <v/>
      </c>
      <c r="AR6" s="8">
        <f>AQ6*(1+$B$7)</f>
        <v/>
      </c>
      <c r="AS6" s="8">
        <f>AR6*(1+$B$7)</f>
        <v/>
      </c>
      <c r="AT6" s="8">
        <f>AS6*(1+$B$7)</f>
        <v/>
      </c>
      <c r="AU6" s="8">
        <f>AT6*(1+$B$7)</f>
        <v/>
      </c>
      <c r="AV6" s="8">
        <f>AU6*(1+$B$7)</f>
        <v/>
      </c>
      <c r="AW6" s="8">
        <f>AV6*(1+$B$7)</f>
        <v/>
      </c>
      <c r="AX6" s="8">
        <f>AW6*(1+$B$7)</f>
        <v/>
      </c>
      <c r="AY6" s="8">
        <f>AX6*(1+$B$7)</f>
        <v/>
      </c>
      <c r="AZ6" s="8">
        <f>AY6*(1+$B$7)</f>
        <v/>
      </c>
      <c r="BA6" s="8">
        <f>AZ6*(1+$B$7)</f>
        <v/>
      </c>
      <c r="BB6" s="8">
        <f>BA6*(1+$B$7)</f>
        <v/>
      </c>
      <c r="BC6" s="8">
        <f>BB6*(1+$B$7)</f>
        <v/>
      </c>
      <c r="BD6" s="8">
        <f>BC6*(1+$B$7)</f>
        <v/>
      </c>
      <c r="BE6" s="8">
        <f>BD6*(1+$B$7)</f>
        <v/>
      </c>
      <c r="BF6" s="8">
        <f>BE6*(1+$B$7)</f>
        <v/>
      </c>
      <c r="BG6" s="8">
        <f>BF6*(1+$B$7)</f>
        <v/>
      </c>
      <c r="BH6" s="8">
        <f>BG6*(1+$B$7)</f>
        <v/>
      </c>
      <c r="BI6" s="8">
        <f>BH6*(1+$B$7)</f>
        <v/>
      </c>
      <c r="BJ6" s="8">
        <f>BI6*(1+$B$7)</f>
        <v/>
      </c>
      <c r="BK6" s="8">
        <f>BJ6*(1+$B$7)</f>
        <v/>
      </c>
      <c r="BL6" s="8">
        <f>BK6*(1+$B$7)</f>
        <v/>
      </c>
    </row>
    <row r="7">
      <c r="A7" s="4" t="inlineStr">
        <is>
          <t>Patient growth % per month</t>
        </is>
      </c>
      <c r="B7" s="9" t="n">
        <v>0.04</v>
      </c>
      <c r="D7" s="7" t="inlineStr">
        <is>
          <t>Active Doctors</t>
        </is>
      </c>
      <c r="E7" s="8">
        <f>$B$6*(1+$B$8)</f>
        <v/>
      </c>
      <c r="F7" s="8">
        <f>E7*(1+$B$8)</f>
        <v/>
      </c>
      <c r="G7" s="8">
        <f>F7*(1+$B$8)</f>
        <v/>
      </c>
      <c r="H7" s="8">
        <f>G7*(1+$B$8)</f>
        <v/>
      </c>
      <c r="I7" s="8">
        <f>H7*(1+$B$8)</f>
        <v/>
      </c>
      <c r="J7" s="8">
        <f>I7*(1+$B$8)</f>
        <v/>
      </c>
      <c r="K7" s="8">
        <f>J7*(1+$B$8)</f>
        <v/>
      </c>
      <c r="L7" s="8">
        <f>K7*(1+$B$8)</f>
        <v/>
      </c>
      <c r="M7" s="8">
        <f>L7*(1+$B$8)</f>
        <v/>
      </c>
      <c r="N7" s="8">
        <f>M7*(1+$B$8)</f>
        <v/>
      </c>
      <c r="O7" s="8">
        <f>N7*(1+$B$8)</f>
        <v/>
      </c>
      <c r="P7" s="8">
        <f>O7*(1+$B$8)</f>
        <v/>
      </c>
      <c r="Q7" s="8">
        <f>P7*(1+$B$8)</f>
        <v/>
      </c>
      <c r="R7" s="8">
        <f>Q7*(1+$B$8)</f>
        <v/>
      </c>
      <c r="S7" s="8">
        <f>R7*(1+$B$8)</f>
        <v/>
      </c>
      <c r="T7" s="8">
        <f>S7*(1+$B$8)</f>
        <v/>
      </c>
      <c r="U7" s="8">
        <f>T7*(1+$B$8)</f>
        <v/>
      </c>
      <c r="V7" s="8">
        <f>U7*(1+$B$8)</f>
        <v/>
      </c>
      <c r="W7" s="8">
        <f>V7*(1+$B$8)</f>
        <v/>
      </c>
      <c r="X7" s="8">
        <f>W7*(1+$B$8)</f>
        <v/>
      </c>
      <c r="Y7" s="8">
        <f>X7*(1+$B$8)</f>
        <v/>
      </c>
      <c r="Z7" s="8">
        <f>Y7*(1+$B$8)</f>
        <v/>
      </c>
      <c r="AA7" s="8">
        <f>Z7*(1+$B$8)</f>
        <v/>
      </c>
      <c r="AB7" s="8">
        <f>AA7*(1+$B$8)</f>
        <v/>
      </c>
      <c r="AC7" s="8">
        <f>AB7*(1+$B$8)</f>
        <v/>
      </c>
      <c r="AD7" s="8">
        <f>AC7*(1+$B$8)</f>
        <v/>
      </c>
      <c r="AE7" s="8">
        <f>AD7*(1+$B$8)</f>
        <v/>
      </c>
      <c r="AF7" s="8">
        <f>AE7*(1+$B$8)</f>
        <v/>
      </c>
      <c r="AG7" s="8">
        <f>AF7*(1+$B$8)</f>
        <v/>
      </c>
      <c r="AH7" s="8">
        <f>AG7*(1+$B$8)</f>
        <v/>
      </c>
      <c r="AI7" s="8">
        <f>AH7*(1+$B$8)</f>
        <v/>
      </c>
      <c r="AJ7" s="8">
        <f>AI7*(1+$B$8)</f>
        <v/>
      </c>
      <c r="AK7" s="8">
        <f>AJ7*(1+$B$8)</f>
        <v/>
      </c>
      <c r="AL7" s="8">
        <f>AK7*(1+$B$8)</f>
        <v/>
      </c>
      <c r="AM7" s="8">
        <f>AL7*(1+$B$8)</f>
        <v/>
      </c>
      <c r="AN7" s="8">
        <f>AM7*(1+$B$8)</f>
        <v/>
      </c>
      <c r="AO7" s="8">
        <f>AN7*(1+$B$8)</f>
        <v/>
      </c>
      <c r="AP7" s="8">
        <f>AO7*(1+$B$8)</f>
        <v/>
      </c>
      <c r="AQ7" s="8">
        <f>AP7*(1+$B$8)</f>
        <v/>
      </c>
      <c r="AR7" s="8">
        <f>AQ7*(1+$B$8)</f>
        <v/>
      </c>
      <c r="AS7" s="8">
        <f>AR7*(1+$B$8)</f>
        <v/>
      </c>
      <c r="AT7" s="8">
        <f>AS7*(1+$B$8)</f>
        <v/>
      </c>
      <c r="AU7" s="8">
        <f>AT7*(1+$B$8)</f>
        <v/>
      </c>
      <c r="AV7" s="8">
        <f>AU7*(1+$B$8)</f>
        <v/>
      </c>
      <c r="AW7" s="8">
        <f>AV7*(1+$B$8)</f>
        <v/>
      </c>
      <c r="AX7" s="8">
        <f>AW7*(1+$B$8)</f>
        <v/>
      </c>
      <c r="AY7" s="8">
        <f>AX7*(1+$B$8)</f>
        <v/>
      </c>
      <c r="AZ7" s="8">
        <f>AY7*(1+$B$8)</f>
        <v/>
      </c>
      <c r="BA7" s="8">
        <f>AZ7*(1+$B$8)</f>
        <v/>
      </c>
      <c r="BB7" s="8">
        <f>BA7*(1+$B$8)</f>
        <v/>
      </c>
      <c r="BC7" s="8">
        <f>BB7*(1+$B$8)</f>
        <v/>
      </c>
      <c r="BD7" s="8">
        <f>BC7*(1+$B$8)</f>
        <v/>
      </c>
      <c r="BE7" s="8">
        <f>BD7*(1+$B$8)</f>
        <v/>
      </c>
      <c r="BF7" s="8">
        <f>BE7*(1+$B$8)</f>
        <v/>
      </c>
      <c r="BG7" s="8">
        <f>BF7*(1+$B$8)</f>
        <v/>
      </c>
      <c r="BH7" s="8">
        <f>BG7*(1+$B$8)</f>
        <v/>
      </c>
      <c r="BI7" s="8">
        <f>BH7*(1+$B$8)</f>
        <v/>
      </c>
      <c r="BJ7" s="8">
        <f>BI7*(1+$B$8)</f>
        <v/>
      </c>
      <c r="BK7" s="8">
        <f>BJ7*(1+$B$8)</f>
        <v/>
      </c>
      <c r="BL7" s="8">
        <f>BK7*(1+$B$8)</f>
        <v/>
      </c>
    </row>
    <row r="8">
      <c r="A8" s="4" t="inlineStr">
        <is>
          <t>Doctor growth % per month</t>
        </is>
      </c>
      <c r="B8" s="9" t="n">
        <v>0.03</v>
      </c>
      <c r="D8" s="7" t="inlineStr">
        <is>
          <t>Transactions (Bookings)</t>
        </is>
      </c>
      <c r="E8" s="8">
        <f>E6*$B$9</f>
        <v/>
      </c>
      <c r="F8" s="8">
        <f>F6*$B$9</f>
        <v/>
      </c>
      <c r="G8" s="8">
        <f>G6*$B$9</f>
        <v/>
      </c>
      <c r="H8" s="8">
        <f>H6*$B$9</f>
        <v/>
      </c>
      <c r="I8" s="8">
        <f>I6*$B$9</f>
        <v/>
      </c>
      <c r="J8" s="8">
        <f>J6*$B$9</f>
        <v/>
      </c>
      <c r="K8" s="8">
        <f>K6*$B$9</f>
        <v/>
      </c>
      <c r="L8" s="8">
        <f>L6*$B$9</f>
        <v/>
      </c>
      <c r="M8" s="8">
        <f>M6*$B$9</f>
        <v/>
      </c>
      <c r="N8" s="8">
        <f>N6*$B$9</f>
        <v/>
      </c>
      <c r="O8" s="8">
        <f>O6*$B$9</f>
        <v/>
      </c>
      <c r="P8" s="8">
        <f>P6*$B$9</f>
        <v/>
      </c>
      <c r="Q8" s="8">
        <f>Q6*$B$9</f>
        <v/>
      </c>
      <c r="R8" s="8">
        <f>R6*$B$9</f>
        <v/>
      </c>
      <c r="S8" s="8">
        <f>S6*$B$9</f>
        <v/>
      </c>
      <c r="T8" s="8">
        <f>T6*$B$9</f>
        <v/>
      </c>
      <c r="U8" s="8">
        <f>U6*$B$9</f>
        <v/>
      </c>
      <c r="V8" s="8">
        <f>V6*$B$9</f>
        <v/>
      </c>
      <c r="W8" s="8">
        <f>W6*$B$9</f>
        <v/>
      </c>
      <c r="X8" s="8">
        <f>X6*$B$9</f>
        <v/>
      </c>
      <c r="Y8" s="8">
        <f>Y6*$B$9</f>
        <v/>
      </c>
      <c r="Z8" s="8">
        <f>Z6*$B$9</f>
        <v/>
      </c>
      <c r="AA8" s="8">
        <f>AA6*$B$9</f>
        <v/>
      </c>
      <c r="AB8" s="8">
        <f>AB6*$B$9</f>
        <v/>
      </c>
      <c r="AC8" s="8">
        <f>AC6*$B$9</f>
        <v/>
      </c>
      <c r="AD8" s="8">
        <f>AD6*$B$9</f>
        <v/>
      </c>
      <c r="AE8" s="8">
        <f>AE6*$B$9</f>
        <v/>
      </c>
      <c r="AF8" s="8">
        <f>AF6*$B$9</f>
        <v/>
      </c>
      <c r="AG8" s="8">
        <f>AG6*$B$9</f>
        <v/>
      </c>
      <c r="AH8" s="8">
        <f>AH6*$B$9</f>
        <v/>
      </c>
      <c r="AI8" s="8">
        <f>AI6*$B$9</f>
        <v/>
      </c>
      <c r="AJ8" s="8">
        <f>AJ6*$B$9</f>
        <v/>
      </c>
      <c r="AK8" s="8">
        <f>AK6*$B$9</f>
        <v/>
      </c>
      <c r="AL8" s="8">
        <f>AL6*$B$9</f>
        <v/>
      </c>
      <c r="AM8" s="8">
        <f>AM6*$B$9</f>
        <v/>
      </c>
      <c r="AN8" s="8">
        <f>AN6*$B$9</f>
        <v/>
      </c>
      <c r="AO8" s="8">
        <f>AO6*$B$9</f>
        <v/>
      </c>
      <c r="AP8" s="8">
        <f>AP6*$B$9</f>
        <v/>
      </c>
      <c r="AQ8" s="8">
        <f>AQ6*$B$9</f>
        <v/>
      </c>
      <c r="AR8" s="8">
        <f>AR6*$B$9</f>
        <v/>
      </c>
      <c r="AS8" s="8">
        <f>AS6*$B$9</f>
        <v/>
      </c>
      <c r="AT8" s="8">
        <f>AT6*$B$9</f>
        <v/>
      </c>
      <c r="AU8" s="8">
        <f>AU6*$B$9</f>
        <v/>
      </c>
      <c r="AV8" s="8">
        <f>AV6*$B$9</f>
        <v/>
      </c>
      <c r="AW8" s="8">
        <f>AW6*$B$9</f>
        <v/>
      </c>
      <c r="AX8" s="8">
        <f>AX6*$B$9</f>
        <v/>
      </c>
      <c r="AY8" s="8">
        <f>AY6*$B$9</f>
        <v/>
      </c>
      <c r="AZ8" s="8">
        <f>AZ6*$B$9</f>
        <v/>
      </c>
      <c r="BA8" s="8">
        <f>BA6*$B$9</f>
        <v/>
      </c>
      <c r="BB8" s="8">
        <f>BB6*$B$9</f>
        <v/>
      </c>
      <c r="BC8" s="8">
        <f>BC6*$B$9</f>
        <v/>
      </c>
      <c r="BD8" s="8">
        <f>BD6*$B$9</f>
        <v/>
      </c>
      <c r="BE8" s="8">
        <f>BE6*$B$9</f>
        <v/>
      </c>
      <c r="BF8" s="8">
        <f>BF6*$B$9</f>
        <v/>
      </c>
      <c r="BG8" s="8">
        <f>BG6*$B$9</f>
        <v/>
      </c>
      <c r="BH8" s="8">
        <f>BH6*$B$9</f>
        <v/>
      </c>
      <c r="BI8" s="8">
        <f>BI6*$B$9</f>
        <v/>
      </c>
      <c r="BJ8" s="8">
        <f>BJ6*$B$9</f>
        <v/>
      </c>
      <c r="BK8" s="8">
        <f>BK6*$B$9</f>
        <v/>
      </c>
      <c r="BL8" s="8">
        <f>BL6*$B$9</f>
        <v/>
      </c>
    </row>
    <row r="9">
      <c r="A9" s="4" t="inlineStr">
        <is>
          <t>Patient-to-booking conversion %</t>
        </is>
      </c>
      <c r="B9" s="9" t="n">
        <v>0.08</v>
      </c>
      <c r="D9" s="7" t="inlineStr">
        <is>
          <t>GMV (₹)</t>
        </is>
      </c>
      <c r="E9" s="10">
        <f>E8*$B$10</f>
        <v/>
      </c>
      <c r="F9" s="10">
        <f>F8*$B$10</f>
        <v/>
      </c>
      <c r="G9" s="10">
        <f>G8*$B$10</f>
        <v/>
      </c>
      <c r="H9" s="10">
        <f>H8*$B$10</f>
        <v/>
      </c>
      <c r="I9" s="10">
        <f>I8*$B$10</f>
        <v/>
      </c>
      <c r="J9" s="10">
        <f>J8*$B$10</f>
        <v/>
      </c>
      <c r="K9" s="10">
        <f>K8*$B$10</f>
        <v/>
      </c>
      <c r="L9" s="10">
        <f>L8*$B$10</f>
        <v/>
      </c>
      <c r="M9" s="10">
        <f>M8*$B$10</f>
        <v/>
      </c>
      <c r="N9" s="10">
        <f>N8*$B$10</f>
        <v/>
      </c>
      <c r="O9" s="10">
        <f>O8*$B$10</f>
        <v/>
      </c>
      <c r="P9" s="10">
        <f>P8*$B$10</f>
        <v/>
      </c>
      <c r="Q9" s="10">
        <f>Q8*$B$10</f>
        <v/>
      </c>
      <c r="R9" s="10">
        <f>R8*$B$10</f>
        <v/>
      </c>
      <c r="S9" s="10">
        <f>S8*$B$10</f>
        <v/>
      </c>
      <c r="T9" s="10">
        <f>T8*$B$10</f>
        <v/>
      </c>
      <c r="U9" s="10">
        <f>U8*$B$10</f>
        <v/>
      </c>
      <c r="V9" s="10">
        <f>V8*$B$10</f>
        <v/>
      </c>
      <c r="W9" s="10">
        <f>W8*$B$10</f>
        <v/>
      </c>
      <c r="X9" s="10">
        <f>X8*$B$10</f>
        <v/>
      </c>
      <c r="Y9" s="10">
        <f>Y8*$B$10</f>
        <v/>
      </c>
      <c r="Z9" s="10">
        <f>Z8*$B$10</f>
        <v/>
      </c>
      <c r="AA9" s="10">
        <f>AA8*$B$10</f>
        <v/>
      </c>
      <c r="AB9" s="10">
        <f>AB8*$B$10</f>
        <v/>
      </c>
      <c r="AC9" s="10">
        <f>AC8*$B$10</f>
        <v/>
      </c>
      <c r="AD9" s="10">
        <f>AD8*$B$10</f>
        <v/>
      </c>
      <c r="AE9" s="10">
        <f>AE8*$B$10</f>
        <v/>
      </c>
      <c r="AF9" s="10">
        <f>AF8*$B$10</f>
        <v/>
      </c>
      <c r="AG9" s="10">
        <f>AG8*$B$10</f>
        <v/>
      </c>
      <c r="AH9" s="10">
        <f>AH8*$B$10</f>
        <v/>
      </c>
      <c r="AI9" s="10">
        <f>AI8*$B$10</f>
        <v/>
      </c>
      <c r="AJ9" s="10">
        <f>AJ8*$B$10</f>
        <v/>
      </c>
      <c r="AK9" s="10">
        <f>AK8*$B$10</f>
        <v/>
      </c>
      <c r="AL9" s="10">
        <f>AL8*$B$10</f>
        <v/>
      </c>
      <c r="AM9" s="10">
        <f>AM8*$B$10</f>
        <v/>
      </c>
      <c r="AN9" s="10">
        <f>AN8*$B$10</f>
        <v/>
      </c>
      <c r="AO9" s="10">
        <f>AO8*$B$10</f>
        <v/>
      </c>
      <c r="AP9" s="10">
        <f>AP8*$B$10</f>
        <v/>
      </c>
      <c r="AQ9" s="10">
        <f>AQ8*$B$10</f>
        <v/>
      </c>
      <c r="AR9" s="10">
        <f>AR8*$B$10</f>
        <v/>
      </c>
      <c r="AS9" s="10">
        <f>AS8*$B$10</f>
        <v/>
      </c>
      <c r="AT9" s="10">
        <f>AT8*$B$10</f>
        <v/>
      </c>
      <c r="AU9" s="10">
        <f>AU8*$B$10</f>
        <v/>
      </c>
      <c r="AV9" s="10">
        <f>AV8*$B$10</f>
        <v/>
      </c>
      <c r="AW9" s="10">
        <f>AW8*$B$10</f>
        <v/>
      </c>
      <c r="AX9" s="10">
        <f>AX8*$B$10</f>
        <v/>
      </c>
      <c r="AY9" s="10">
        <f>AY8*$B$10</f>
        <v/>
      </c>
      <c r="AZ9" s="10">
        <f>AZ8*$B$10</f>
        <v/>
      </c>
      <c r="BA9" s="10">
        <f>BA8*$B$10</f>
        <v/>
      </c>
      <c r="BB9" s="10">
        <f>BB8*$B$10</f>
        <v/>
      </c>
      <c r="BC9" s="10">
        <f>BC8*$B$10</f>
        <v/>
      </c>
      <c r="BD9" s="10">
        <f>BD8*$B$10</f>
        <v/>
      </c>
      <c r="BE9" s="10">
        <f>BE8*$B$10</f>
        <v/>
      </c>
      <c r="BF9" s="10">
        <f>BF8*$B$10</f>
        <v/>
      </c>
      <c r="BG9" s="10">
        <f>BG8*$B$10</f>
        <v/>
      </c>
      <c r="BH9" s="10">
        <f>BH8*$B$10</f>
        <v/>
      </c>
      <c r="BI9" s="10">
        <f>BI8*$B$10</f>
        <v/>
      </c>
      <c r="BJ9" s="10">
        <f>BJ8*$B$10</f>
        <v/>
      </c>
      <c r="BK9" s="10">
        <f>BK8*$B$10</f>
        <v/>
      </c>
      <c r="BL9" s="10">
        <f>BL8*$B$10</f>
        <v/>
      </c>
    </row>
    <row r="10">
      <c r="A10" s="4" t="inlineStr">
        <is>
          <t>Avg consultation fee (₹)</t>
        </is>
      </c>
      <c r="B10" s="11" t="n">
        <v>800</v>
      </c>
      <c r="D10" s="7" t="inlineStr">
        <is>
          <t>Net Revenue (₹)</t>
        </is>
      </c>
      <c r="E10" s="10">
        <f>E9*$B$11</f>
        <v/>
      </c>
      <c r="F10" s="10">
        <f>F9*$B$11</f>
        <v/>
      </c>
      <c r="G10" s="10">
        <f>G9*$B$11</f>
        <v/>
      </c>
      <c r="H10" s="10">
        <f>H9*$B$11</f>
        <v/>
      </c>
      <c r="I10" s="10">
        <f>I9*$B$11</f>
        <v/>
      </c>
      <c r="J10" s="10">
        <f>J9*$B$11</f>
        <v/>
      </c>
      <c r="K10" s="10">
        <f>K9*$B$11</f>
        <v/>
      </c>
      <c r="L10" s="10">
        <f>L9*$B$11</f>
        <v/>
      </c>
      <c r="M10" s="10">
        <f>M9*$B$11</f>
        <v/>
      </c>
      <c r="N10" s="10">
        <f>N9*$B$11</f>
        <v/>
      </c>
      <c r="O10" s="10">
        <f>O9*$B$11</f>
        <v/>
      </c>
      <c r="P10" s="10">
        <f>P9*$B$11</f>
        <v/>
      </c>
      <c r="Q10" s="10">
        <f>Q9*$B$11</f>
        <v/>
      </c>
      <c r="R10" s="10">
        <f>R9*$B$11</f>
        <v/>
      </c>
      <c r="S10" s="10">
        <f>S9*$B$11</f>
        <v/>
      </c>
      <c r="T10" s="10">
        <f>T9*$B$11</f>
        <v/>
      </c>
      <c r="U10" s="10">
        <f>U9*$B$11</f>
        <v/>
      </c>
      <c r="V10" s="10">
        <f>V9*$B$11</f>
        <v/>
      </c>
      <c r="W10" s="10">
        <f>W9*$B$11</f>
        <v/>
      </c>
      <c r="X10" s="10">
        <f>X9*$B$11</f>
        <v/>
      </c>
      <c r="Y10" s="10">
        <f>Y9*$B$11</f>
        <v/>
      </c>
      <c r="Z10" s="10">
        <f>Z9*$B$11</f>
        <v/>
      </c>
      <c r="AA10" s="10">
        <f>AA9*$B$11</f>
        <v/>
      </c>
      <c r="AB10" s="10">
        <f>AB9*$B$11</f>
        <v/>
      </c>
      <c r="AC10" s="10">
        <f>AC9*$B$11</f>
        <v/>
      </c>
      <c r="AD10" s="10">
        <f>AD9*$B$11</f>
        <v/>
      </c>
      <c r="AE10" s="10">
        <f>AE9*$B$11</f>
        <v/>
      </c>
      <c r="AF10" s="10">
        <f>AF9*$B$11</f>
        <v/>
      </c>
      <c r="AG10" s="10">
        <f>AG9*$B$11</f>
        <v/>
      </c>
      <c r="AH10" s="10">
        <f>AH9*$B$11</f>
        <v/>
      </c>
      <c r="AI10" s="10">
        <f>AI9*$B$11</f>
        <v/>
      </c>
      <c r="AJ10" s="10">
        <f>AJ9*$B$11</f>
        <v/>
      </c>
      <c r="AK10" s="10">
        <f>AK9*$B$11</f>
        <v/>
      </c>
      <c r="AL10" s="10">
        <f>AL9*$B$11</f>
        <v/>
      </c>
      <c r="AM10" s="10">
        <f>AM9*$B$11</f>
        <v/>
      </c>
      <c r="AN10" s="10">
        <f>AN9*$B$11</f>
        <v/>
      </c>
      <c r="AO10" s="10">
        <f>AO9*$B$11</f>
        <v/>
      </c>
      <c r="AP10" s="10">
        <f>AP9*$B$11</f>
        <v/>
      </c>
      <c r="AQ10" s="10">
        <f>AQ9*$B$11</f>
        <v/>
      </c>
      <c r="AR10" s="10">
        <f>AR9*$B$11</f>
        <v/>
      </c>
      <c r="AS10" s="10">
        <f>AS9*$B$11</f>
        <v/>
      </c>
      <c r="AT10" s="10">
        <f>AT9*$B$11</f>
        <v/>
      </c>
      <c r="AU10" s="10">
        <f>AU9*$B$11</f>
        <v/>
      </c>
      <c r="AV10" s="10">
        <f>AV9*$B$11</f>
        <v/>
      </c>
      <c r="AW10" s="10">
        <f>AW9*$B$11</f>
        <v/>
      </c>
      <c r="AX10" s="10">
        <f>AX9*$B$11</f>
        <v/>
      </c>
      <c r="AY10" s="10">
        <f>AY9*$B$11</f>
        <v/>
      </c>
      <c r="AZ10" s="10">
        <f>AZ9*$B$11</f>
        <v/>
      </c>
      <c r="BA10" s="10">
        <f>BA9*$B$11</f>
        <v/>
      </c>
      <c r="BB10" s="10">
        <f>BB9*$B$11</f>
        <v/>
      </c>
      <c r="BC10" s="10">
        <f>BC9*$B$11</f>
        <v/>
      </c>
      <c r="BD10" s="10">
        <f>BD9*$B$11</f>
        <v/>
      </c>
      <c r="BE10" s="10">
        <f>BE9*$B$11</f>
        <v/>
      </c>
      <c r="BF10" s="10">
        <f>BF9*$B$11</f>
        <v/>
      </c>
      <c r="BG10" s="10">
        <f>BG9*$B$11</f>
        <v/>
      </c>
      <c r="BH10" s="10">
        <f>BH9*$B$11</f>
        <v/>
      </c>
      <c r="BI10" s="10">
        <f>BI9*$B$11</f>
        <v/>
      </c>
      <c r="BJ10" s="10">
        <f>BJ9*$B$11</f>
        <v/>
      </c>
      <c r="BK10" s="10">
        <f>BK9*$B$11</f>
        <v/>
      </c>
      <c r="BL10" s="10">
        <f>BL9*$B$11</f>
        <v/>
      </c>
    </row>
    <row r="11">
      <c r="A11" s="4" t="inlineStr">
        <is>
          <t>Platform commission % (take rate)</t>
        </is>
      </c>
      <c r="B11" s="9" t="n">
        <v>0.15</v>
      </c>
      <c r="E11" t="n"/>
    </row>
    <row r="14">
      <c r="A14" s="2" t="inlineStr">
        <is>
          <t>OUTPUTS (Green)</t>
        </is>
      </c>
      <c r="B14" s="38" t="n"/>
      <c r="C14" s="39" t="n"/>
    </row>
    <row r="15">
      <c r="A15" s="12" t="inlineStr">
        <is>
          <t>Year</t>
        </is>
      </c>
      <c r="B15" s="12" t="inlineStr">
        <is>
          <t>Transactions</t>
        </is>
      </c>
      <c r="C15" s="12" t="inlineStr">
        <is>
          <t>GMV (₹)</t>
        </is>
      </c>
      <c r="D15" s="12" t="inlineStr">
        <is>
          <t>Net Revenue (₹)</t>
        </is>
      </c>
    </row>
    <row r="16">
      <c r="A16" s="13" t="n">
        <v>1</v>
      </c>
      <c r="B16" s="14">
        <f>SUM(E8:P8)</f>
        <v/>
      </c>
      <c r="C16" s="15">
        <f>SUM(E9:P9)</f>
        <v/>
      </c>
      <c r="D16" s="15">
        <f>SUM(E10:P10)</f>
        <v/>
      </c>
    </row>
    <row r="17">
      <c r="A17" s="13" t="n">
        <v>2</v>
      </c>
      <c r="B17" s="14">
        <f>SUM(Q8:AB8)</f>
        <v/>
      </c>
      <c r="C17" s="15">
        <f>SUM(Q9:AB9)</f>
        <v/>
      </c>
      <c r="D17" s="15">
        <f>SUM(Q10:AB10)</f>
        <v/>
      </c>
    </row>
    <row r="18">
      <c r="A18" s="13" t="n">
        <v>3</v>
      </c>
      <c r="B18" s="14">
        <f>SUM(AC8:AN8)</f>
        <v/>
      </c>
      <c r="C18" s="15">
        <f>SUM(AC9:AN9)</f>
        <v/>
      </c>
      <c r="D18" s="15">
        <f>SUM(AC10:AN10)</f>
        <v/>
      </c>
    </row>
    <row r="19">
      <c r="A19" s="13" t="n">
        <v>4</v>
      </c>
      <c r="B19" s="14">
        <f>SUM(AO8:AZ8)</f>
        <v/>
      </c>
      <c r="C19" s="15">
        <f>SUM(AO9:AZ9)</f>
        <v/>
      </c>
      <c r="D19" s="15">
        <f>SUM(AO10:AZ10)</f>
        <v/>
      </c>
    </row>
    <row r="20">
      <c r="A20" s="13" t="n">
        <v>5</v>
      </c>
      <c r="B20" s="14">
        <f>SUM(BA8:BL8)</f>
        <v/>
      </c>
      <c r="C20" s="15">
        <f>SUM(BA9:BL9)</f>
        <v/>
      </c>
      <c r="D20" s="15">
        <f>SUM(BA10:BL10)</f>
        <v/>
      </c>
    </row>
    <row r="22">
      <c r="A22" s="2" t="inlineStr">
        <is>
          <t>CHECKS (Red)</t>
        </is>
      </c>
      <c r="B22" s="38" t="n"/>
      <c r="C22" s="39" t="n"/>
    </row>
    <row r="23">
      <c r="A23" s="16" t="inlineStr">
        <is>
          <t>Conversion % between 0% and 100%</t>
        </is>
      </c>
      <c r="B23" s="17">
        <f>AND($B$9&gt;=0,$B$9&lt;=1)</f>
        <v/>
      </c>
      <c r="C23" s="18">
        <f>IF(B23,"OK","CHECK")</f>
        <v/>
      </c>
    </row>
    <row r="24">
      <c r="A24" s="16" t="inlineStr">
        <is>
          <t>Take rate between 0% and 100%</t>
        </is>
      </c>
      <c r="B24" s="17">
        <f>AND($B$11&gt;=0,$B$11&lt;=1)</f>
        <v/>
      </c>
      <c r="C24" s="18">
        <f>IF(B24,"OK","CHECK")</f>
        <v/>
      </c>
    </row>
    <row r="25">
      <c r="A25" s="16" t="inlineStr">
        <is>
          <t>Net Revenue consistency (Month 1)</t>
        </is>
      </c>
      <c r="B25" s="17">
        <f>ABS(E10-(E9*$B$11))&lt;0.01</f>
        <v/>
      </c>
      <c r="C25" s="18">
        <f>IF(B25,"OK","CHECK")</f>
        <v/>
      </c>
    </row>
  </sheetData>
  <mergeCells count="5">
    <mergeCell ref="A14:C14"/>
    <mergeCell ref="A1:BL1"/>
    <mergeCell ref="A22:C22"/>
    <mergeCell ref="A3:C3"/>
    <mergeCell ref="E3:BL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0" customWidth="1" min="12" max="12"/>
  </cols>
  <sheetData>
    <row r="1" ht="26" customHeight="1">
      <c r="A1" s="36" t="inlineStr">
        <is>
          <t>MediLink – Caselet 2: Liquidity, Capacity &amp; Lost Transactions (Specialty Bottlenecks)</t>
        </is>
      </c>
    </row>
    <row r="2">
      <c r="A2" s="37" t="inlineStr">
        <is>
          <t>← Back to INDEX</t>
        </is>
      </c>
    </row>
    <row r="3">
      <c r="A3" s="2" t="inlineStr">
        <is>
          <t>INPUTS (Edit yellow cells)</t>
        </is>
      </c>
      <c r="B3" s="38" t="n"/>
      <c r="C3" s="38" t="n"/>
      <c r="D3" s="38" t="n"/>
      <c r="E3" s="38" t="n"/>
      <c r="F3" s="39" t="n"/>
      <c r="G3" s="2" t="inlineStr">
        <is>
          <t>CALCULATIONS (Neutral)</t>
        </is>
      </c>
      <c r="H3" s="38" t="n"/>
      <c r="I3" s="38" t="n"/>
      <c r="J3" s="38" t="n"/>
      <c r="K3" s="38" t="n"/>
      <c r="L3" s="39" t="n"/>
    </row>
    <row r="4">
      <c r="A4" s="19" t="inlineStr">
        <is>
          <t>Specialty</t>
        </is>
      </c>
      <c r="B4" s="19" t="inlineStr">
        <is>
          <t>Active Patients</t>
        </is>
      </c>
      <c r="C4" s="19" t="inlineStr">
        <is>
          <t>Booking Intent %</t>
        </is>
      </c>
      <c r="D4" s="19" t="inlineStr">
        <is>
          <t>Active Doctors</t>
        </is>
      </c>
      <c r="E4" s="19" t="inlineStr">
        <is>
          <t>Capacity/Doctor</t>
        </is>
      </c>
      <c r="F4" s="19" t="inlineStr">
        <is>
          <t>Avg Fee (₹)</t>
        </is>
      </c>
      <c r="G4" s="6" t="inlineStr">
        <is>
          <t>Demand Bookings</t>
        </is>
      </c>
      <c r="H4" s="6" t="inlineStr">
        <is>
          <t>Supply Capacity</t>
        </is>
      </c>
      <c r="I4" s="6" t="inlineStr">
        <is>
          <t>Realized Txns</t>
        </is>
      </c>
      <c r="J4" s="6" t="inlineStr">
        <is>
          <t>Lost Txns</t>
        </is>
      </c>
      <c r="K4" s="6" t="inlineStr">
        <is>
          <t>Lost GMV (₹)</t>
        </is>
      </c>
      <c r="L4" s="6" t="inlineStr">
        <is>
          <t>Constraint</t>
        </is>
      </c>
    </row>
    <row r="5">
      <c r="A5" s="20" t="inlineStr">
        <is>
          <t>General Medicine</t>
        </is>
      </c>
      <c r="B5" s="5" t="n">
        <v>50000</v>
      </c>
      <c r="C5" s="9" t="n">
        <v>0.1</v>
      </c>
      <c r="D5" s="5" t="n">
        <v>2500</v>
      </c>
      <c r="E5" s="5" t="n">
        <v>40</v>
      </c>
      <c r="F5" s="11" t="n">
        <v>600</v>
      </c>
      <c r="G5" s="8">
        <f>B5*C5</f>
        <v/>
      </c>
      <c r="H5" s="8">
        <f>D5*E5</f>
        <v/>
      </c>
      <c r="I5" s="8">
        <f>MIN(G5,H5)</f>
        <v/>
      </c>
      <c r="J5" s="8">
        <f>MAX(G5-H5,0)</f>
        <v/>
      </c>
      <c r="K5" s="10">
        <f>J5*F5</f>
        <v/>
      </c>
      <c r="L5" s="21">
        <f>IF(G5&gt;H5,"Supply-Constrained","Demand-Constrained")</f>
        <v/>
      </c>
    </row>
    <row r="6">
      <c r="A6" s="20" t="inlineStr">
        <is>
          <t>Dermatology</t>
        </is>
      </c>
      <c r="B6" s="5" t="n">
        <v>30000</v>
      </c>
      <c r="C6" s="9" t="n">
        <v>0.1</v>
      </c>
      <c r="D6" s="5" t="n">
        <v>900</v>
      </c>
      <c r="E6" s="5" t="n">
        <v>35</v>
      </c>
      <c r="F6" s="11" t="n">
        <v>900</v>
      </c>
      <c r="G6" s="8">
        <f>B6*C6</f>
        <v/>
      </c>
      <c r="H6" s="8">
        <f>D6*E6</f>
        <v/>
      </c>
      <c r="I6" s="8">
        <f>MIN(G6,H6)</f>
        <v/>
      </c>
      <c r="J6" s="8">
        <f>MAX(G6-H6,0)</f>
        <v/>
      </c>
      <c r="K6" s="10">
        <f>J6*F6</f>
        <v/>
      </c>
      <c r="L6" s="21">
        <f>IF(G6&gt;H6,"Supply-Constrained","Demand-Constrained")</f>
        <v/>
      </c>
    </row>
    <row r="7">
      <c r="A7" s="20" t="inlineStr">
        <is>
          <t>Pediatrics</t>
        </is>
      </c>
      <c r="B7" s="5" t="n">
        <v>25000</v>
      </c>
      <c r="C7" s="9" t="n">
        <v>0.1</v>
      </c>
      <c r="D7" s="5" t="n">
        <v>700</v>
      </c>
      <c r="E7" s="5" t="n">
        <v>30</v>
      </c>
      <c r="F7" s="11" t="n">
        <v>700</v>
      </c>
      <c r="G7" s="8">
        <f>B7*C7</f>
        <v/>
      </c>
      <c r="H7" s="8">
        <f>D7*E7</f>
        <v/>
      </c>
      <c r="I7" s="8">
        <f>MIN(G7,H7)</f>
        <v/>
      </c>
      <c r="J7" s="8">
        <f>MAX(G7-H7,0)</f>
        <v/>
      </c>
      <c r="K7" s="10">
        <f>J7*F7</f>
        <v/>
      </c>
      <c r="L7" s="21">
        <f>IF(G7&gt;H7,"Supply-Constrained","Demand-Constrained")</f>
        <v/>
      </c>
    </row>
    <row r="8">
      <c r="A8" s="20" t="inlineStr">
        <is>
          <t>Gynecology</t>
        </is>
      </c>
      <c r="B8" s="5" t="n">
        <v>15000</v>
      </c>
      <c r="C8" s="9" t="n">
        <v>0.1</v>
      </c>
      <c r="D8" s="5" t="n">
        <v>400</v>
      </c>
      <c r="E8" s="5" t="n">
        <v>25</v>
      </c>
      <c r="F8" s="11" t="n">
        <v>1200</v>
      </c>
      <c r="G8" s="8">
        <f>B8*C8</f>
        <v/>
      </c>
      <c r="H8" s="8">
        <f>D8*E8</f>
        <v/>
      </c>
      <c r="I8" s="8">
        <f>MIN(G8,H8)</f>
        <v/>
      </c>
      <c r="J8" s="8">
        <f>MAX(G8-H8,0)</f>
        <v/>
      </c>
      <c r="K8" s="10">
        <f>J8*F8</f>
        <v/>
      </c>
      <c r="L8" s="21">
        <f>IF(G8&gt;H8,"Supply-Constrained","Demand-Constrained")</f>
        <v/>
      </c>
    </row>
    <row r="10">
      <c r="A10" s="2" t="inlineStr">
        <is>
          <t>OUTPUTS (Green)</t>
        </is>
      </c>
      <c r="B10" s="38" t="n"/>
      <c r="C10" s="38" t="n"/>
      <c r="D10" s="38" t="n"/>
      <c r="E10" s="38" t="n"/>
      <c r="F10" s="39" t="n"/>
    </row>
    <row r="11">
      <c r="A11" s="22" t="inlineStr">
        <is>
          <t>Total Demand (Bookings)</t>
        </is>
      </c>
      <c r="B11" s="14">
        <f>SUM(G5:G8)</f>
        <v/>
      </c>
    </row>
    <row r="12">
      <c r="A12" s="22" t="inlineStr">
        <is>
          <t>Total Realized (Bookings)</t>
        </is>
      </c>
      <c r="B12" s="14">
        <f>SUM(I5:I8)</f>
        <v/>
      </c>
    </row>
    <row r="13">
      <c r="A13" s="22" t="inlineStr">
        <is>
          <t>Total Lost (Bookings)</t>
        </is>
      </c>
      <c r="B13" s="14">
        <f>SUM(J5:J8)</f>
        <v/>
      </c>
    </row>
    <row r="14">
      <c r="A14" s="22" t="inlineStr">
        <is>
          <t>Lost % of Demand</t>
        </is>
      </c>
      <c r="B14" s="23">
        <f>IF(B11=0,0,B13/B11)</f>
        <v/>
      </c>
    </row>
    <row r="15">
      <c r="A15" s="22" t="inlineStr">
        <is>
          <t>Total Lost GMV (₹)</t>
        </is>
      </c>
      <c r="B15" s="15">
        <f>SUM(K5:K8)</f>
        <v/>
      </c>
    </row>
    <row r="18">
      <c r="A18" s="2" t="inlineStr">
        <is>
          <t>CHECKS</t>
        </is>
      </c>
      <c r="B18" s="38" t="n"/>
      <c r="C18" s="38" t="n"/>
      <c r="D18" s="38" t="n"/>
      <c r="E18" s="38" t="n"/>
      <c r="F18" s="39" t="n"/>
    </row>
    <row r="19">
      <c r="A19" s="16" t="inlineStr">
        <is>
          <t>Booking intent % in [0,100%] (all rows)</t>
        </is>
      </c>
      <c r="B19" s="17">
        <f>AND(MIN(C5:C8)&gt;=0,MAX(C5:C8)&lt;=1)</f>
        <v/>
      </c>
      <c r="C19" s="18">
        <f>IF(B19,"OK","CHECK")</f>
        <v/>
      </c>
    </row>
  </sheetData>
  <mergeCells count="5">
    <mergeCell ref="A10:F10"/>
    <mergeCell ref="A1:L1"/>
    <mergeCell ref="G3:L3"/>
    <mergeCell ref="A18:F18"/>
    <mergeCell ref="A3:F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" customWidth="1" min="3" max="3"/>
    <col width="32" customWidth="1" min="4" max="4"/>
    <col width="18" customWidth="1" min="5" max="5"/>
  </cols>
  <sheetData>
    <row r="1" ht="26" customHeight="1">
      <c r="A1" s="36" t="inlineStr">
        <is>
          <t>MediLink – Caselet 3: Unit Economics (CAC vs SAC) &amp; Break-even Transactions</t>
        </is>
      </c>
    </row>
    <row r="2">
      <c r="A2" s="37" t="inlineStr">
        <is>
          <t>← Back to INDEX</t>
        </is>
      </c>
    </row>
    <row r="3">
      <c r="A3" s="2" t="inlineStr">
        <is>
          <t>INPUTS (Edit yellow cells)</t>
        </is>
      </c>
      <c r="B3" s="38" t="n"/>
      <c r="C3" s="39" t="n"/>
      <c r="D3" s="2" t="inlineStr">
        <is>
          <t>CALCULATIONS</t>
        </is>
      </c>
      <c r="E3" s="39" t="n"/>
    </row>
    <row r="4">
      <c r="A4" s="4" t="inlineStr">
        <is>
          <t>Patient marketing spend (₹ / month)</t>
        </is>
      </c>
      <c r="B4" s="11" t="n">
        <v>2400000</v>
      </c>
      <c r="D4" s="7" t="inlineStr">
        <is>
          <t>CAC (₹/patient)</t>
        </is>
      </c>
      <c r="E4" s="24">
        <f>IF($B$5=0,0,$B$4/$B$5)</f>
        <v/>
      </c>
    </row>
    <row r="5">
      <c r="A5" s="4" t="inlineStr">
        <is>
          <t>New patients acquired / month</t>
        </is>
      </c>
      <c r="B5" s="5" t="n">
        <v>12000</v>
      </c>
      <c r="D5" s="7" t="inlineStr">
        <is>
          <t>SAC (₹/doctor)</t>
        </is>
      </c>
      <c r="E5" s="24">
        <f>IF($B$7=0,0,$B$6/$B$7)</f>
        <v/>
      </c>
    </row>
    <row r="6">
      <c r="A6" s="4" t="inlineStr">
        <is>
          <t>Doctor onboarding spend (₹ / month)</t>
        </is>
      </c>
      <c r="B6" s="11" t="n">
        <v>1800000</v>
      </c>
      <c r="D6" s="7" t="inlineStr">
        <is>
          <t>Revenue / transaction (₹)</t>
        </is>
      </c>
      <c r="E6" s="24">
        <f>$B$8*$B$9</f>
        <v/>
      </c>
    </row>
    <row r="7">
      <c r="A7" s="4" t="inlineStr">
        <is>
          <t>New doctors onboarded / month</t>
        </is>
      </c>
      <c r="B7" s="5" t="n">
        <v>900</v>
      </c>
      <c r="D7" s="7" t="inlineStr">
        <is>
          <t>Contribution / transaction (₹)</t>
        </is>
      </c>
      <c r="E7" s="24">
        <f>E6-$B$10</f>
        <v/>
      </c>
    </row>
    <row r="8">
      <c r="A8" s="4" t="inlineStr">
        <is>
          <t>Avg consultation fee (₹)</t>
        </is>
      </c>
      <c r="B8" s="11" t="n">
        <v>900</v>
      </c>
      <c r="D8" s="7" t="inlineStr">
        <is>
          <t>Total acquisition cost (₹/month)</t>
        </is>
      </c>
      <c r="E8" s="10">
        <f>$B$4+$B$6</f>
        <v/>
      </c>
    </row>
    <row r="9">
      <c r="A9" s="4" t="inlineStr">
        <is>
          <t>Platform commission % (take rate)</t>
        </is>
      </c>
      <c r="B9" s="9" t="n">
        <v>0.14</v>
      </c>
      <c r="D9" s="7" t="inlineStr">
        <is>
          <t>Break-even transactions / month</t>
        </is>
      </c>
      <c r="E9" s="8">
        <f>IF(E7&lt;=0,0,E8/E7)</f>
        <v/>
      </c>
    </row>
    <row r="10">
      <c r="A10" s="4" t="inlineStr">
        <is>
          <t>Variable platform cost per booking (₹)</t>
        </is>
      </c>
      <c r="B10" s="11" t="n">
        <v>40</v>
      </c>
    </row>
    <row r="12">
      <c r="A12" s="2" t="inlineStr">
        <is>
          <t>OUTPUTS (Green)</t>
        </is>
      </c>
      <c r="B12" s="38" t="n"/>
      <c r="C12" s="39" t="n"/>
    </row>
    <row r="13">
      <c r="A13" s="12" t="inlineStr">
        <is>
          <t>KPI</t>
        </is>
      </c>
      <c r="B13" s="12" t="inlineStr">
        <is>
          <t>Value</t>
        </is>
      </c>
    </row>
    <row r="14">
      <c r="A14" s="22" t="inlineStr">
        <is>
          <t>CAC</t>
        </is>
      </c>
      <c r="B14" s="25">
        <f>E4</f>
        <v/>
      </c>
    </row>
    <row r="15">
      <c r="A15" s="22" t="inlineStr">
        <is>
          <t>SAC</t>
        </is>
      </c>
      <c r="B15" s="25">
        <f>E5</f>
        <v/>
      </c>
    </row>
    <row r="16">
      <c r="A16" s="22" t="inlineStr">
        <is>
          <t>Contribution/Txn</t>
        </is>
      </c>
      <c r="B16" s="25">
        <f>E7</f>
        <v/>
      </c>
    </row>
    <row r="17">
      <c r="A17" s="22" t="inlineStr">
        <is>
          <t>Break-even Txns/Month</t>
        </is>
      </c>
      <c r="B17" s="14">
        <f>E9</f>
        <v/>
      </c>
    </row>
    <row r="19">
      <c r="A19" s="2" t="inlineStr">
        <is>
          <t>CHECKS</t>
        </is>
      </c>
      <c r="B19" s="38" t="n"/>
      <c r="C19" s="39" t="n"/>
    </row>
    <row r="20">
      <c r="A20" s="16" t="inlineStr">
        <is>
          <t>No divide-by-zero (patients &amp; doctors acquired &gt; 0)</t>
        </is>
      </c>
      <c r="B20" s="17">
        <f>AND($B$5&gt;0,$B$7&gt;0)</f>
        <v/>
      </c>
      <c r="C20" s="18">
        <f>IF(B20,"OK","CHECK")</f>
        <v/>
      </c>
    </row>
    <row r="21">
      <c r="A21" s="16" t="inlineStr">
        <is>
          <t>Contribution must be positive</t>
        </is>
      </c>
      <c r="B21" s="17">
        <f>$E$7&gt;0</f>
        <v/>
      </c>
      <c r="C21" s="18">
        <f>IF(B21,"OK","CHECK")</f>
        <v/>
      </c>
    </row>
  </sheetData>
  <mergeCells count="5">
    <mergeCell ref="A19:C19"/>
    <mergeCell ref="A1:E1"/>
    <mergeCell ref="A3:C3"/>
    <mergeCell ref="A12:C12"/>
    <mergeCell ref="D3:E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" customWidth="1" min="3" max="3"/>
    <col width="18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</cols>
  <sheetData>
    <row r="1" ht="26" customHeight="1">
      <c r="A1" s="36" t="inlineStr">
        <is>
          <t>MediLink – Caselet 4: Take-Rate Scenarios Under Competition</t>
        </is>
      </c>
    </row>
    <row r="2">
      <c r="A2" s="37" t="inlineStr">
        <is>
          <t>← Back to INDEX</t>
        </is>
      </c>
    </row>
    <row r="3">
      <c r="A3" s="2" t="inlineStr">
        <is>
          <t>INPUTS (Edit yellow cells)</t>
        </is>
      </c>
      <c r="B3" s="38" t="n"/>
      <c r="C3" s="39" t="n"/>
      <c r="D3" s="2" t="inlineStr">
        <is>
          <t>SCENARIOS (Calculations)</t>
        </is>
      </c>
      <c r="E3" s="38" t="n"/>
      <c r="F3" s="38" t="n"/>
      <c r="G3" s="38" t="n"/>
      <c r="H3" s="38" t="n"/>
      <c r="I3" s="39" t="n"/>
    </row>
    <row r="4">
      <c r="A4" s="4" t="inlineStr">
        <is>
          <t>Base monthly active patients</t>
        </is>
      </c>
      <c r="B4" s="5" t="n">
        <v>120000</v>
      </c>
      <c r="D4" s="6" t="inlineStr">
        <is>
          <t>Scenario</t>
        </is>
      </c>
      <c r="E4" s="6" t="inlineStr">
        <is>
          <t>Take Rate</t>
        </is>
      </c>
      <c r="F4" s="6" t="inlineStr">
        <is>
          <t>Adj. Churn</t>
        </is>
      </c>
      <c r="G4" s="6" t="inlineStr">
        <is>
          <t>Transactions (proxy)</t>
        </is>
      </c>
      <c r="H4" s="6" t="inlineStr">
        <is>
          <t>Net Revenue (₹)</t>
        </is>
      </c>
      <c r="I4" s="6" t="inlineStr">
        <is>
          <t>Contribution (₹)</t>
        </is>
      </c>
    </row>
    <row r="5">
      <c r="A5" s="4" t="inlineStr">
        <is>
          <t>Base conversion %</t>
        </is>
      </c>
      <c r="B5" s="9" t="n">
        <v>0.08</v>
      </c>
      <c r="D5" s="26" t="inlineStr">
        <is>
          <t>Current</t>
        </is>
      </c>
      <c r="E5" s="27" t="n">
        <v>0.15</v>
      </c>
      <c r="F5" s="27">
        <f>$B$7</f>
        <v/>
      </c>
      <c r="G5" s="8">
        <f>($B$4*$B$5)*((1-F5)/(1-$B$7))</f>
        <v/>
      </c>
      <c r="H5" s="10">
        <f>G5*$B$6*E5</f>
        <v/>
      </c>
      <c r="I5" s="10">
        <f>H5-(G5*$B$10)</f>
        <v/>
      </c>
    </row>
    <row r="6">
      <c r="A6" s="4" t="inlineStr">
        <is>
          <t>Avg consultation fee (₹)</t>
        </is>
      </c>
      <c r="B6" s="11" t="n">
        <v>850</v>
      </c>
      <c r="D6" s="26" t="inlineStr">
        <is>
          <t>Moderate Cut</t>
        </is>
      </c>
      <c r="E6" s="27" t="n">
        <v>0.12</v>
      </c>
      <c r="F6" s="27">
        <f>$B$7*(1-$B$8)</f>
        <v/>
      </c>
      <c r="G6" s="8">
        <f>($B$4*$B$5)*((1-F6)/(1-$B$7))</f>
        <v/>
      </c>
      <c r="H6" s="10">
        <f>G6*$B$6*E6</f>
        <v/>
      </c>
      <c r="I6" s="10">
        <f>H6-(G6*$B$10)</f>
        <v/>
      </c>
    </row>
    <row r="7">
      <c r="A7" s="4" t="inlineStr">
        <is>
          <t>Base doctor churn % / month</t>
        </is>
      </c>
      <c r="B7" s="9" t="n">
        <v>0.04</v>
      </c>
      <c r="D7" s="26" t="inlineStr">
        <is>
          <t>Aggressive Cut</t>
        </is>
      </c>
      <c r="E7" s="27" t="n">
        <v>0.1</v>
      </c>
      <c r="F7" s="27">
        <f>$B$7*(1-$B$9)</f>
        <v/>
      </c>
      <c r="G7" s="8">
        <f>($B$4*$B$5)*((1-F7)/(1-$B$7))</f>
        <v/>
      </c>
      <c r="H7" s="10">
        <f>G7*$B$6*E7</f>
        <v/>
      </c>
      <c r="I7" s="10">
        <f>H7-(G7*$B$10)</f>
        <v/>
      </c>
    </row>
    <row r="8">
      <c r="A8" s="4" t="inlineStr">
        <is>
          <t>Churn reduction at 12% take rate</t>
        </is>
      </c>
      <c r="B8" s="9" t="n">
        <v>0.2</v>
      </c>
    </row>
    <row r="9">
      <c r="A9" s="4" t="inlineStr">
        <is>
          <t>Churn reduction at 10% take rate</t>
        </is>
      </c>
      <c r="B9" s="9" t="n">
        <v>0.3</v>
      </c>
    </row>
    <row r="10">
      <c r="A10" s="4" t="inlineStr">
        <is>
          <t>Variable cost per booking (₹)</t>
        </is>
      </c>
      <c r="B10" s="11" t="n">
        <v>40</v>
      </c>
    </row>
    <row r="12">
      <c r="A12" s="2" t="inlineStr">
        <is>
          <t>OUTPUTS (Green)</t>
        </is>
      </c>
      <c r="B12" s="38" t="n"/>
      <c r="C12" s="39" t="n"/>
    </row>
    <row r="13">
      <c r="A13" s="22" t="inlineStr">
        <is>
          <t>Best scenario (max contribution)</t>
        </is>
      </c>
      <c r="B13" s="28">
        <f>INDEX($D$5:$D$7, MATCH(MAX($I$5:$I$7), $I$5:$I$7, 0))</f>
        <v/>
      </c>
    </row>
    <row r="14">
      <c r="A14" s="22" t="inlineStr">
        <is>
          <t>Max Contribution (₹)</t>
        </is>
      </c>
      <c r="B14" s="15">
        <f>MAX($I$5:$I$7)</f>
        <v/>
      </c>
    </row>
    <row r="15">
      <c r="A15" s="22" t="inlineStr">
        <is>
          <t>Net Revenue at best (₹)</t>
        </is>
      </c>
      <c r="B15" s="15">
        <f>INDEX($H$5:$H$7, MATCH(MAX($I$5:$I$7), $I$5:$I$7, 0))</f>
        <v/>
      </c>
    </row>
    <row r="17">
      <c r="A17" s="2" t="inlineStr">
        <is>
          <t>CHECKS</t>
        </is>
      </c>
      <c r="B17" s="38" t="n"/>
      <c r="C17" s="39" t="n"/>
    </row>
    <row r="18">
      <c r="A18" s="16" t="inlineStr">
        <is>
          <t>All take rates in [0,100%]</t>
        </is>
      </c>
      <c r="B18" s="17">
        <f>AND(MIN($E$5:$E$7)&gt;=0,MAX($E$5:$E$7)&lt;=1)</f>
        <v/>
      </c>
      <c r="C18" s="18">
        <f>IF(B18,"OK","CHECK")</f>
        <v/>
      </c>
    </row>
    <row r="19">
      <c r="A19" s="16" t="inlineStr">
        <is>
          <t>Adjusted churn not negative</t>
        </is>
      </c>
      <c r="B19" s="17">
        <f>MIN($F$5:$F$7)&gt;=0</f>
        <v/>
      </c>
      <c r="C19" s="18">
        <f>IF(B19,"OK","CHECK")</f>
        <v/>
      </c>
    </row>
  </sheetData>
  <mergeCells count="5">
    <mergeCell ref="A1:I1"/>
    <mergeCell ref="A17:C17"/>
    <mergeCell ref="A3:C3"/>
    <mergeCell ref="D3:I3"/>
    <mergeCell ref="A12:C12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2" customWidth="1" min="3" max="3"/>
    <col width="22" customWidth="1" min="4" max="4"/>
    <col width="16" customWidth="1" min="5" max="5"/>
    <col width="20" customWidth="1" min="6" max="6"/>
    <col width="18" customWidth="1" min="7" max="7"/>
  </cols>
  <sheetData>
    <row r="1" ht="26" customHeight="1">
      <c r="A1" s="36" t="inlineStr">
        <is>
          <t>MediLink – Caselet 5: Valuation Using GMV vs Net Revenue Multiples</t>
        </is>
      </c>
    </row>
    <row r="2">
      <c r="A2" s="37" t="inlineStr">
        <is>
          <t>← Back to INDEX</t>
        </is>
      </c>
    </row>
    <row r="3">
      <c r="A3" s="2" t="inlineStr">
        <is>
          <t>INPUTS (Edit yellow cells) – Units: ₹ crore</t>
        </is>
      </c>
      <c r="B3" s="38" t="n"/>
      <c r="C3" s="39" t="n"/>
      <c r="D3" s="2" t="inlineStr">
        <is>
          <t>CALCULATIONS</t>
        </is>
      </c>
      <c r="E3" s="38" t="n"/>
      <c r="F3" s="38" t="n"/>
      <c r="G3" s="39" t="n"/>
    </row>
    <row r="4">
      <c r="A4" s="4" t="inlineStr">
        <is>
          <t>Forward 12M GMV (₹ crore)</t>
        </is>
      </c>
      <c r="B4" s="5" t="n">
        <v>1200</v>
      </c>
      <c r="D4" s="6" t="inlineStr">
        <is>
          <t>Method</t>
        </is>
      </c>
      <c r="E4" s="6" t="inlineStr">
        <is>
          <t>Multiple</t>
        </is>
      </c>
      <c r="F4" s="6" t="inlineStr">
        <is>
          <t>Forward Metric (₹ cr)</t>
        </is>
      </c>
      <c r="G4" s="6" t="inlineStr">
        <is>
          <t>EV (₹ cr)</t>
        </is>
      </c>
    </row>
    <row r="5">
      <c r="A5" s="4" t="inlineStr">
        <is>
          <t>Forward 12M Net Revenue (₹ crore)</t>
        </is>
      </c>
      <c r="B5" s="5" t="n">
        <v>180</v>
      </c>
      <c r="D5" s="26" t="inlineStr">
        <is>
          <t>EV via GMV (Low)</t>
        </is>
      </c>
      <c r="E5" s="29">
        <f>$B$6</f>
        <v/>
      </c>
      <c r="F5" s="8">
        <f>$B$4</f>
        <v/>
      </c>
      <c r="G5" s="8">
        <f>E5*F5</f>
        <v/>
      </c>
    </row>
    <row r="6">
      <c r="A6" s="4" t="inlineStr">
        <is>
          <t>GMV multiple – Low</t>
        </is>
      </c>
      <c r="B6" s="30" t="n">
        <v>0.8</v>
      </c>
      <c r="D6" s="26" t="inlineStr">
        <is>
          <t>EV via GMV (Base)</t>
        </is>
      </c>
      <c r="E6" s="29">
        <f>$B$7</f>
        <v/>
      </c>
      <c r="F6" s="8">
        <f>$B$4</f>
        <v/>
      </c>
      <c r="G6" s="8">
        <f>E6*F6</f>
        <v/>
      </c>
    </row>
    <row r="7">
      <c r="A7" s="4" t="inlineStr">
        <is>
          <t>GMV multiple – Base</t>
        </is>
      </c>
      <c r="B7" s="30" t="n">
        <v>1.1</v>
      </c>
      <c r="D7" s="26" t="inlineStr">
        <is>
          <t>EV via GMV (High)</t>
        </is>
      </c>
      <c r="E7" s="29">
        <f>$B$8</f>
        <v/>
      </c>
      <c r="F7" s="8">
        <f>$B$4</f>
        <v/>
      </c>
      <c r="G7" s="8">
        <f>E7*F7</f>
        <v/>
      </c>
    </row>
    <row r="8">
      <c r="A8" s="4" t="inlineStr">
        <is>
          <t>GMV multiple – High</t>
        </is>
      </c>
      <c r="B8" s="30" t="n">
        <v>1.5</v>
      </c>
      <c r="D8" s="26" t="inlineStr">
        <is>
          <t>EV via NetRev (Low)</t>
        </is>
      </c>
      <c r="E8" s="29">
        <f>$B$9</f>
        <v/>
      </c>
      <c r="F8" s="8">
        <f>$B$5</f>
        <v/>
      </c>
      <c r="G8" s="8">
        <f>E8*F8</f>
        <v/>
      </c>
    </row>
    <row r="9">
      <c r="A9" s="4" t="inlineStr">
        <is>
          <t>Net Rev multiple – Low</t>
        </is>
      </c>
      <c r="B9" s="30" t="n">
        <v>4</v>
      </c>
      <c r="D9" s="26" t="inlineStr">
        <is>
          <t>EV via NetRev (Base)</t>
        </is>
      </c>
      <c r="E9" s="29">
        <f>$B$10</f>
        <v/>
      </c>
      <c r="F9" s="8">
        <f>$B$5</f>
        <v/>
      </c>
      <c r="G9" s="8">
        <f>E9*F9</f>
        <v/>
      </c>
    </row>
    <row r="10">
      <c r="A10" s="4" t="inlineStr">
        <is>
          <t>Net Rev multiple – Base</t>
        </is>
      </c>
      <c r="B10" s="30" t="n">
        <v>5.5</v>
      </c>
      <c r="D10" s="26" t="inlineStr">
        <is>
          <t>EV via NetRev (High)</t>
        </is>
      </c>
      <c r="E10" s="29">
        <f>$B$11</f>
        <v/>
      </c>
      <c r="F10" s="8">
        <f>$B$5</f>
        <v/>
      </c>
      <c r="G10" s="8">
        <f>E10*F10</f>
        <v/>
      </c>
    </row>
    <row r="11">
      <c r="A11" s="4" t="inlineStr">
        <is>
          <t>Net Rev multiple – High</t>
        </is>
      </c>
      <c r="B11" s="30" t="n">
        <v>7</v>
      </c>
    </row>
    <row r="13">
      <c r="A13" s="2" t="inlineStr">
        <is>
          <t>OUTPUTS (Green)</t>
        </is>
      </c>
      <c r="B13" s="38" t="n"/>
      <c r="C13" s="39" t="n"/>
    </row>
    <row r="14">
      <c r="A14" s="22" t="inlineStr">
        <is>
          <t>GMV-based EV range (₹ cr)</t>
        </is>
      </c>
      <c r="B14" s="31">
        <f>MIN($G$5:$G$7)</f>
        <v/>
      </c>
      <c r="C14" s="14">
        <f>MAX($G$5:$G$7)</f>
        <v/>
      </c>
    </row>
    <row r="15">
      <c r="A15" s="22" t="inlineStr">
        <is>
          <t>NetRev-based EV range (₹ cr)</t>
        </is>
      </c>
      <c r="B15" s="31">
        <f>MIN($G$8:$G$10)</f>
        <v/>
      </c>
      <c r="C15" s="14">
        <f>MAX($G$8:$G$10)</f>
        <v/>
      </c>
    </row>
    <row r="16">
      <c r="A16" s="22" t="inlineStr">
        <is>
          <t>Student justification (preferred metric)</t>
        </is>
      </c>
      <c r="B16" s="32" t="inlineStr">
        <is>
          <t>(Type here)</t>
        </is>
      </c>
    </row>
    <row r="18">
      <c r="A18" s="2" t="inlineStr">
        <is>
          <t>CHECKS</t>
        </is>
      </c>
      <c r="B18" s="38" t="n"/>
      <c r="C18" s="39" t="n"/>
    </row>
    <row r="19">
      <c r="A19" s="16" t="inlineStr">
        <is>
          <t>All multiples &gt; 0</t>
        </is>
      </c>
      <c r="B19" s="17">
        <f>MIN($B$6:$B$11)&gt;0</f>
        <v/>
      </c>
      <c r="C19" s="18">
        <f>IF(B19,"OK","CHECK")</f>
        <v/>
      </c>
    </row>
    <row r="20">
      <c r="A20" s="16" t="inlineStr">
        <is>
          <t>Forward metrics &gt; 0</t>
        </is>
      </c>
      <c r="B20" s="17">
        <f>AND($B$4&gt;0,$B$5&gt;0)</f>
        <v/>
      </c>
      <c r="C20" s="18">
        <f>IF(B20,"OK","CHECK")</f>
        <v/>
      </c>
    </row>
  </sheetData>
  <mergeCells count="5">
    <mergeCell ref="A13:C13"/>
    <mergeCell ref="A1:G1"/>
    <mergeCell ref="D3:G3"/>
    <mergeCell ref="A18:C18"/>
    <mergeCell ref="A3:C3"/>
  </mergeCells>
  <hyperlinks>
    <hyperlink xmlns:r="http://schemas.openxmlformats.org/officeDocument/2006/relationships" ref="A1" r:id="rId1"/>
    <hyperlink xmlns:r="http://schemas.openxmlformats.org/officeDocument/2006/relationships" ref="A2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2025-12-19T09:35:48Z</dcterms:created>
  <dcterms:modified xmlns:dcterms="http://purl.org/dc/terms/" xmlns:xsi="http://www.w3.org/2001/XMLSchema-instance" xsi:type="dcterms:W3CDTF">2025-12-19T11:25:52Z</dcterms:modified>
</cp:coreProperties>
</file>