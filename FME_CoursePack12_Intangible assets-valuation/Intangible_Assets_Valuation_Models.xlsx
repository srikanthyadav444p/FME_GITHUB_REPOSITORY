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01_RFR_Brand_Valuation" sheetId="2" state="visible" r:id="rId2"/>
    <sheet xmlns:r="http://schemas.openxmlformats.org/officeDocument/2006/relationships" name="02_MPEEM_Customer_Relationships" sheetId="3" state="visible" r:id="rId3"/>
    <sheet xmlns:r="http://schemas.openxmlformats.org/officeDocument/2006/relationships" name="03_RealOptions_IPRD" sheetId="4" state="visible" r:id="rId4"/>
    <sheet xmlns:r="http://schemas.openxmlformats.org/officeDocument/2006/relationships" name="04_WithWithout_Contracts" sheetId="5" state="visible" r:id="rId5"/>
    <sheet xmlns:r="http://schemas.openxmlformats.org/officeDocument/2006/relationships" name="05_Intangible_Capital_Bridge" sheetId="6" state="visible" r:id="rId6"/>
  </sheets>
  <definedNames/>
  <calcPr calcId="191029" fullCalcOnLoad="1"/>
</workbook>
</file>

<file path=xl/styles.xml><?xml version="1.0" encoding="utf-8"?>
<styleSheet xmlns="http://schemas.openxmlformats.org/spreadsheetml/2006/main">
  <numFmts count="3">
    <numFmt numFmtId="164" formatCode="\₹\ ###,##0"/>
    <numFmt numFmtId="165" formatCode="0.0000"/>
    <numFmt numFmtId="166" formatCode="0.00&quot;x&quot;"/>
  </numFmts>
  <fonts count="18">
    <font>
      <name val="Calibri"/>
      <family val="2"/>
      <color theme="1"/>
      <sz val="11"/>
      <scheme val="minor"/>
    </font>
    <font>
      <name val="Calibri"/>
      <family val="2"/>
      <b val="1"/>
      <sz val="16"/>
    </font>
    <font>
      <name val="Calibri"/>
      <family val="2"/>
      <i val="1"/>
      <sz val="10"/>
    </font>
    <font>
      <name val="Calibri"/>
      <family val="2"/>
      <b val="1"/>
      <color rgb="FFFFFFFF"/>
      <sz val="12"/>
    </font>
    <font>
      <name val="Calibri"/>
      <family val="2"/>
      <b val="1"/>
      <sz val="11"/>
    </font>
    <font>
      <name val="Calibri"/>
      <family val="2"/>
      <b val="1"/>
      <color rgb="FF0563C1"/>
      <sz val="11"/>
      <u val="single"/>
    </font>
    <font>
      <name val="Calibri"/>
      <family val="2"/>
      <sz val="11"/>
    </font>
    <font>
      <name val="Calibri"/>
      <family val="2"/>
      <b val="1"/>
      <sz val="11"/>
    </font>
    <font>
      <name val="Calibri"/>
      <family val="2"/>
      <sz val="10"/>
    </font>
    <font>
      <name val="Calibri"/>
      <family val="2"/>
      <b val="1"/>
      <sz val="12"/>
    </font>
    <font>
      <name val="Calibri"/>
      <family val="2"/>
      <color theme="1"/>
      <sz val="11"/>
      <scheme val="minor"/>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1"/>
      <sz val="18"/>
      <scheme val="minor"/>
    </font>
    <font>
      <name val="Calibri"/>
      <family val="2"/>
      <b val="1"/>
      <color theme="7" tint="-0.249977111117893"/>
      <sz val="18"/>
      <scheme val="minor"/>
    </font>
    <font>
      <name val="Cambria"/>
      <family val="1"/>
      <i val="1"/>
      <color theme="9" tint="-0.249977111117893"/>
      <sz val="11"/>
      <scheme val="major"/>
    </font>
  </fonts>
  <fills count="14">
    <fill>
      <patternFill/>
    </fill>
    <fill>
      <patternFill patternType="gray125"/>
    </fill>
    <fill>
      <patternFill patternType="solid">
        <fgColor rgb="FFF2F2F2"/>
      </patternFill>
    </fill>
    <fill>
      <patternFill patternType="solid">
        <fgColor rgb="FF2F5597"/>
      </patternFill>
    </fill>
    <fill>
      <patternFill patternType="solid">
        <fgColor rgb="FFFFF2CC"/>
      </patternFill>
    </fill>
    <fill>
      <patternFill patternType="solid">
        <fgColor rgb="FFE2EFDA"/>
      </patternFill>
    </fill>
    <fill>
      <patternFill patternType="solid">
        <fgColor rgb="FFD9E1F2"/>
      </patternFill>
    </fill>
    <fill>
      <patternFill patternType="solid">
        <fgColor rgb="FFFCE4D6"/>
      </patternFill>
    </fill>
    <fill>
      <patternFill patternType="solid">
        <fgColor theme="8" tint="0.3999755851924192"/>
        <bgColor indexed="64"/>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13">
    <border>
      <left/>
      <right/>
      <top/>
      <bottom/>
      <diagonal/>
    </border>
    <border>
      <left style="thin">
        <color rgb="FF808080"/>
      </left>
      <right style="thin">
        <color rgb="FF808080"/>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top/>
      <bottom/>
      <diagonal/>
    </border>
    <border>
      <left/>
      <right style="thin">
        <color rgb="FF808080"/>
      </right>
      <top/>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s>
  <cellStyleXfs count="2">
    <xf numFmtId="0" fontId="10" fillId="0" borderId="0"/>
    <xf numFmtId="0" fontId="10" fillId="0" borderId="0"/>
  </cellStyleXfs>
  <cellXfs count="68">
    <xf numFmtId="0" fontId="0" fillId="0" borderId="0" pivotButton="0" quotePrefix="0" xfId="0"/>
    <xf numFmtId="0" fontId="5" fillId="2" borderId="1" applyAlignment="1" pivotButton="0" quotePrefix="0" xfId="0">
      <alignment horizontal="left" vertical="center" wrapText="1"/>
    </xf>
    <xf numFmtId="0" fontId="5" fillId="0" borderId="0" applyAlignment="1" pivotButton="0" quotePrefix="0" xfId="0">
      <alignment horizontal="right" vertical="center" wrapText="1"/>
    </xf>
    <xf numFmtId="0" fontId="6" fillId="0" borderId="1" applyAlignment="1" pivotButton="0" quotePrefix="0" xfId="0">
      <alignment horizontal="left" vertical="center" wrapText="1"/>
    </xf>
    <xf numFmtId="0" fontId="6" fillId="4" borderId="1" applyAlignment="1" pivotButton="0" quotePrefix="0" xfId="0">
      <alignment horizontal="left" vertical="center" wrapText="1"/>
    </xf>
    <xf numFmtId="1" fontId="6" fillId="4" borderId="1" applyAlignment="1" pivotButton="0" quotePrefix="0" xfId="0">
      <alignment horizontal="left" vertical="center" wrapText="1"/>
    </xf>
    <xf numFmtId="10" fontId="6" fillId="4" borderId="1" applyAlignment="1" pivotButton="0" quotePrefix="0" xfId="0">
      <alignment horizontal="left" vertical="center" wrapText="1"/>
    </xf>
    <xf numFmtId="0" fontId="4" fillId="5" borderId="1" applyAlignment="1" pivotButton="0" quotePrefix="0" xfId="0">
      <alignment horizontal="left" vertical="center" wrapText="1"/>
    </xf>
    <xf numFmtId="10" fontId="7"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5" borderId="1" applyAlignment="1" pivotButton="0" quotePrefix="0" xfId="0">
      <alignment horizontal="center" vertical="center" wrapText="1"/>
    </xf>
    <xf numFmtId="164" fontId="6" fillId="4" borderId="1" applyAlignment="1" pivotButton="0" quotePrefix="0" xfId="0">
      <alignment horizontal="right" vertical="center" wrapText="1"/>
    </xf>
    <xf numFmtId="164" fontId="6" fillId="5" borderId="1" applyAlignment="1" pivotButton="0" quotePrefix="0" xfId="0">
      <alignment horizontal="right" vertical="center" wrapText="1"/>
    </xf>
    <xf numFmtId="165" fontId="6" fillId="5" borderId="1" applyAlignment="1" pivotButton="0" quotePrefix="0" xfId="0">
      <alignment horizontal="right" vertical="center" wrapText="1"/>
    </xf>
    <xf numFmtId="0" fontId="2" fillId="5" borderId="1" applyAlignment="1" pivotButton="0" quotePrefix="0" xfId="0">
      <alignment horizontal="left" vertical="center" wrapText="1"/>
    </xf>
    <xf numFmtId="0" fontId="6" fillId="5" borderId="1" applyAlignment="1" pivotButton="0" quotePrefix="0" xfId="0">
      <alignment horizontal="left" vertical="center" wrapText="1"/>
    </xf>
    <xf numFmtId="0" fontId="4" fillId="6" borderId="1" applyAlignment="1" pivotButton="0" quotePrefix="0" xfId="0">
      <alignment horizontal="left" vertical="center" wrapText="1"/>
    </xf>
    <xf numFmtId="10" fontId="7" fillId="6" borderId="1" applyAlignment="1" pivotButton="0" quotePrefix="0" xfId="0">
      <alignment horizontal="right" vertical="center" wrapText="1"/>
    </xf>
    <xf numFmtId="164" fontId="7" fillId="6" borderId="1" applyAlignment="1" pivotButton="0" quotePrefix="0" xfId="0">
      <alignment horizontal="right" vertical="center" wrapText="1"/>
    </xf>
    <xf numFmtId="164" fontId="9" fillId="6" borderId="1" applyAlignment="1" pivotButton="0" quotePrefix="0" xfId="0">
      <alignment horizontal="right" vertical="center" wrapText="1"/>
    </xf>
    <xf numFmtId="0" fontId="6" fillId="6" borderId="1" applyAlignment="1" pivotButton="0" quotePrefix="0" xfId="0">
      <alignment horizontal="left" vertical="center" wrapText="1"/>
    </xf>
    <xf numFmtId="0" fontId="4" fillId="7" borderId="1" applyAlignment="1" pivotButton="0" quotePrefix="0" xfId="0">
      <alignment horizontal="left" vertical="center" wrapText="1"/>
    </xf>
    <xf numFmtId="0" fontId="7" fillId="7" borderId="1" applyAlignment="1" pivotButton="0" quotePrefix="0" xfId="0">
      <alignment horizontal="center" vertical="center" wrapText="1"/>
    </xf>
    <xf numFmtId="3" fontId="6" fillId="4" borderId="1" applyAlignment="1" pivotButton="0" quotePrefix="0" xfId="0">
      <alignment horizontal="left" vertical="center" wrapText="1"/>
    </xf>
    <xf numFmtId="164" fontId="6" fillId="4" borderId="1" applyAlignment="1" pivotButton="0" quotePrefix="0" xfId="0">
      <alignment horizontal="left" vertical="center" wrapText="1"/>
    </xf>
    <xf numFmtId="3" fontId="6" fillId="5" borderId="1" applyAlignment="1" pivotButton="0" quotePrefix="0" xfId="0">
      <alignment horizontal="right" vertical="center" wrapText="1"/>
    </xf>
    <xf numFmtId="1" fontId="7" fillId="5" borderId="1" applyAlignment="1" pivotButton="0" quotePrefix="0" xfId="0">
      <alignment horizontal="right" vertical="center" wrapText="1"/>
    </xf>
    <xf numFmtId="164" fontId="7" fillId="5" borderId="1" applyAlignment="1" pivotButton="0" quotePrefix="0" xfId="0">
      <alignment horizontal="right" vertical="center" wrapText="1"/>
    </xf>
    <xf numFmtId="164" fontId="9" fillId="5" borderId="1" applyAlignment="1" pivotButton="0" quotePrefix="0" xfId="0">
      <alignment horizontal="right" vertical="center" wrapText="1"/>
    </xf>
    <xf numFmtId="10" fontId="7" fillId="5" borderId="1" applyAlignment="1" pivotButton="0" quotePrefix="0" xfId="0">
      <alignment horizontal="right" vertical="center" wrapText="1"/>
    </xf>
    <xf numFmtId="2" fontId="6" fillId="4" borderId="1" applyAlignment="1" pivotButton="0" quotePrefix="0" xfId="0">
      <alignment horizontal="left" vertical="center" wrapText="1"/>
    </xf>
    <xf numFmtId="10" fontId="9" fillId="5" borderId="1" applyAlignment="1" pivotButton="0" quotePrefix="0" xfId="0">
      <alignment horizontal="right" vertical="center" wrapText="1"/>
    </xf>
    <xf numFmtId="166" fontId="7" fillId="6" borderId="1" applyAlignment="1" pivotButton="0" quotePrefix="0" xfId="0">
      <alignment horizontal="right" vertical="center" wrapText="1"/>
    </xf>
    <xf numFmtId="166" fontId="9" fillId="6" borderId="1" applyAlignment="1" pivotButton="0" quotePrefix="0" xfId="0">
      <alignment horizontal="right" vertical="center" wrapText="1"/>
    </xf>
    <xf numFmtId="0" fontId="12" fillId="0" borderId="0" applyAlignment="1" pivotButton="0" quotePrefix="0" xfId="1">
      <alignment vertical="center"/>
    </xf>
    <xf numFmtId="0" fontId="10" fillId="0" borderId="0" pivotButton="0" quotePrefix="0" xfId="1"/>
    <xf numFmtId="0" fontId="13" fillId="0" borderId="0" applyAlignment="1" pivotButton="0" quotePrefix="0" xfId="1">
      <alignment vertical="center"/>
    </xf>
    <xf numFmtId="0" fontId="14" fillId="0" borderId="0" pivotButton="0" quotePrefix="0" xfId="1"/>
    <xf numFmtId="0" fontId="15" fillId="8" borderId="0" applyAlignment="1" pivotButton="0" quotePrefix="0" xfId="0">
      <alignment vertical="center"/>
    </xf>
    <xf numFmtId="0" fontId="16" fillId="0" borderId="0" applyAlignment="1" pivotButton="0" quotePrefix="0" xfId="1">
      <alignment vertical="center"/>
    </xf>
    <xf numFmtId="0" fontId="17" fillId="0" borderId="0" applyAlignment="1" pivotButton="0" quotePrefix="0" xfId="0">
      <alignment wrapText="1"/>
    </xf>
    <xf numFmtId="0" fontId="15" fillId="10" borderId="0" applyAlignment="1" pivotButton="0" quotePrefix="0" xfId="1">
      <alignment vertical="center"/>
    </xf>
    <xf numFmtId="0" fontId="10" fillId="10" borderId="0" pivotButton="0" quotePrefix="0" xfId="1"/>
    <xf numFmtId="0" fontId="15" fillId="11" borderId="0" applyAlignment="1" pivotButton="0" quotePrefix="0" xfId="1">
      <alignment vertical="center"/>
    </xf>
    <xf numFmtId="0" fontId="11" fillId="12" borderId="0" applyAlignment="1" pivotButton="0" quotePrefix="0" xfId="1">
      <alignment vertical="top" wrapText="1"/>
    </xf>
    <xf numFmtId="0" fontId="10" fillId="0" borderId="0" applyAlignment="1" pivotButton="0" quotePrefix="0" xfId="1">
      <alignment horizontal="left" vertical="center" indent="1"/>
    </xf>
    <xf numFmtId="0" fontId="11" fillId="0" borderId="0" pivotButton="0" quotePrefix="0" xfId="1"/>
    <xf numFmtId="0" fontId="11" fillId="0" borderId="0" applyAlignment="1" pivotButton="0" quotePrefix="0" xfId="1">
      <alignment horizontal="left" vertical="center" indent="1"/>
    </xf>
    <xf numFmtId="0" fontId="10" fillId="9" borderId="0" applyAlignment="1" pivotButton="0" quotePrefix="0" xfId="1">
      <alignment horizontal="justify" vertical="justify" wrapText="1"/>
    </xf>
    <xf numFmtId="0" fontId="10" fillId="9" borderId="0" applyAlignment="1" pivotButton="0" quotePrefix="0" xfId="1">
      <alignment horizontal="left" vertical="top" wrapText="1"/>
    </xf>
    <xf numFmtId="0" fontId="10" fillId="13" borderId="0" applyAlignment="1" pivotButton="0" quotePrefix="0" xfId="1">
      <alignment horizontal="justify" vertical="justify" wrapText="1"/>
    </xf>
    <xf numFmtId="0" fontId="3" fillId="3" borderId="1" applyAlignment="1" pivotButton="0" quotePrefix="0" xfId="0">
      <alignment horizontal="left" vertical="center" wrapText="1"/>
    </xf>
    <xf numFmtId="0" fontId="0" fillId="0" borderId="1" pivotButton="0" quotePrefix="0" xfId="0"/>
    <xf numFmtId="0" fontId="1" fillId="2" borderId="1" applyAlignment="1" pivotButton="0" quotePrefix="0" xfId="0">
      <alignment horizontal="left" vertical="center" wrapText="1"/>
    </xf>
    <xf numFmtId="0" fontId="2" fillId="2" borderId="1" applyAlignment="1" pivotButton="0" quotePrefix="0" xfId="0">
      <alignment horizontal="left" vertical="center" wrapText="1"/>
    </xf>
    <xf numFmtId="0" fontId="6" fillId="2" borderId="1" applyAlignment="1" pivotButton="0" quotePrefix="0" xfId="0">
      <alignment horizontal="left" vertical="center" wrapText="1"/>
    </xf>
    <xf numFmtId="0" fontId="8" fillId="2" borderId="1" applyAlignment="1" pivotButton="0" quotePrefix="0" xfId="0">
      <alignment horizontal="left" vertical="center" wrapText="1"/>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Note</author>
  </authors>
  <commentList>
    <comment ref="C27" authorId="0" shapeId="0">
      <text>
        <t>Type exactly: Low, Base, or High.</t>
      </text>
    </comment>
    <comment ref="C29" authorId="0" shapeId="0">
      <text>
        <t>Base royalty rate should be justified using comparable brand licensing benchmarks.</t>
      </text>
    </comment>
    <comment ref="C32" authorId="0" shapeId="0">
      <text>
        <t>Discount rate should reflect brand risk, growth uncertainty, and market conditions.</t>
      </text>
    </comment>
    <comment ref="C33" authorId="0" shapeId="0">
      <text>
        <t>Type exactly: Finite or Indefinite. Indefinite enables terminal value.</t>
      </text>
    </comment>
    <comment ref="C35" authorId="0" shapeId="0">
      <text>
        <t>Used only when Indefinite. Must be less than Discount Rate (r&gt;g).</t>
      </text>
    </comment>
    <comment ref="C38" authorId="0" shapeId="0">
      <text>
        <t>This rate is applied to forecast revenue to compute royalty savings.</t>
      </text>
    </comment>
    <comment ref="C54" authorId="0" shapeId="0">
      <text>
        <t>Ensure r &gt; g; otherwise TV is not meaningful.</t>
      </text>
    </comment>
  </commentList>
</comments>
</file>

<file path=xl/comments/comment2.xml><?xml version="1.0" encoding="utf-8"?>
<comments xmlns="http://schemas.openxmlformats.org/spreadsheetml/2006/main">
  <authors>
    <author>Note</author>
  </authors>
  <commentList>
    <comment ref="C28" authorId="0" shapeId="0">
      <text>
        <t>Attrition applies to existing customer base only (no new customers).</t>
      </text>
    </comment>
    <comment ref="C31" authorId="0" shapeId="0">
      <text>
        <t>Use margin attributable to existing customers after servicing costs.</t>
      </text>
    </comment>
    <comment ref="C33" authorId="0" shapeId="0">
      <text>
        <t>Discount rate typically exceeds WACC due to higher risk.</t>
      </text>
    </comment>
    <comment ref="C34" authorId="0" shapeId="0">
      <text>
        <t>CACs compensate other assets that support customer cash flows.</t>
      </text>
    </comment>
  </commentList>
</comments>
</file>

<file path=xl/comments/comment3.xml><?xml version="1.0" encoding="utf-8"?>
<comments xmlns="http://schemas.openxmlformats.org/spreadsheetml/2006/main">
  <authors>
    <author>Note</author>
  </authors>
  <commentList>
    <comment ref="C29" authorId="0" shapeId="0">
      <text>
        <t>Cost incurred only if Phase II succeeds and Phase III is initiated.</t>
      </text>
    </comment>
    <comment ref="C32" authorId="0" shapeId="0">
      <text>
        <t>Cost incurred only if Phase III succeeds and approval is obtained.</t>
      </text>
    </comment>
    <comment ref="C34" authorId="0" shapeId="0">
      <text>
        <t>PV of operating cash flows measured at launch date (already discounted to launch).</t>
      </text>
    </comment>
    <comment ref="C52" authorId="0" shapeId="0">
      <text>
        <t>At approval: success payoff minus approval cost; otherwise salvage.</t>
      </text>
    </comment>
    <comment ref="C60" authorId="0" shapeId="0">
      <text>
        <t>Expected value at Phase II (today) considering probability of advancing to Phase III.</t>
      </text>
    </comment>
  </commentList>
</comments>
</file>

<file path=xl/comments/comment4.xml><?xml version="1.0" encoding="utf-8"?>
<comments xmlns="http://schemas.openxmlformats.org/spreadsheetml/2006/main">
  <authors>
    <author>Note</author>
  </authors>
  <commentList>
    <comment ref="C33" authorId="0" shapeId="0">
      <text>
        <t>Simplified: default probability reduces expected incremental cash flows; recovery provides partial value.</t>
      </text>
    </comment>
  </commentList>
</comments>
</file>

<file path=xl/comments/comment5.xml><?xml version="1.0" encoding="utf-8"?>
<comments xmlns="http://schemas.openxmlformats.org/spreadsheetml/2006/main">
  <authors>
    <author>Note</author>
  </authors>
  <commentList>
    <comment ref="C33" authorId="0" shapeId="0">
      <text>
        <t>Reasonable economic life for R&amp;D benefits; test sensitivity.</t>
      </text>
    </comment>
    <comment ref="C36" authorId="0" shapeId="0">
      <text>
        <t>Teaching simplification: straight-line amortization.</t>
      </text>
    </comment>
    <comment ref="C78" authorId="0" shapeId="0">
      <text>
        <t>Treat spending as investment; replace with amortization to compute economic NOPAT.</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91313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J33"/>
  <sheetViews>
    <sheetView tabSelected="1" topLeftCell="A16" workbookViewId="0">
      <selection activeCell="I24" sqref="I24"/>
    </sheetView>
  </sheetViews>
  <sheetFormatPr baseColWidth="8" defaultRowHeight="14.5"/>
  <cols>
    <col width="8.7265625" customWidth="1" style="35" min="1" max="6"/>
    <col width="13.90625" customWidth="1" style="35" min="7" max="7"/>
    <col width="5.6328125" customWidth="1" style="35" min="8" max="8"/>
    <col width="71.6328125" customWidth="1" style="35" min="9" max="9"/>
    <col width="7.1796875" customWidth="1" style="35" min="10" max="10"/>
    <col width="8.7265625" customWidth="1" style="35" min="11" max="16384"/>
  </cols>
  <sheetData>
    <row r="1" ht="31" customHeight="1">
      <c r="A1" s="34" t="inlineStr">
        <is>
          <t>FINANCIAL MODELING USING EXCEL</t>
        </is>
      </c>
    </row>
    <row r="2"/>
    <row r="3" ht="23.5" customHeight="1">
      <c r="A3" s="36" t="inlineStr">
        <is>
          <t>Intangible Assets Valuation Models Using Excel</t>
        </is>
      </c>
    </row>
    <row r="4"/>
    <row r="5" ht="23.5" customHeight="1">
      <c r="A5" s="37" t="inlineStr">
        <is>
          <t>Valuation of Non-Physical Assets Through Structured Cash Flow and Income Approaches</t>
        </is>
      </c>
      <c r="I5" s="38" t="inlineStr">
        <is>
          <t>Learning Philosophy</t>
        </is>
      </c>
    </row>
    <row r="6"/>
    <row r="7" ht="28.5" customHeight="1">
      <c r="A7" s="39" t="inlineStr">
        <is>
          <t>Workbook Purpose</t>
        </is>
      </c>
      <c r="I7" s="40" t="inlineStr">
        <is>
          <t>Paper LBO mastery is built through repetition—quickly translating deal assumptions into disciplined equity return expectations.</t>
        </is>
      </c>
    </row>
    <row r="8"/>
    <row r="9" ht="132.5" customHeight="1">
      <c r="A9" s="48" t="inlineStr">
        <is>
          <t>This workbook is designed to value intangible assets using structured, Excel-based valuation models commonly applied in financial reporting, transaction analysis, and strategic decision-making. It focuses exclusively on the valuation of non-physical assets—such as brands, customer relationships, technology, licenses, and intellectual property—whose value is derived from their ability to generate future economic benefits rather than from tangible form.
The workbook demonstrates how intangible asset valuation relies on forecasted cash flows, income attribution, and appropriate discounting, often within the context of business combinations, internal valuation exercises, or impairment testing. Excel is used as a transparent analytical tool to translate valuation theory into auditable, defensible models that reflect professional valuation practice.</t>
        </is>
      </c>
    </row>
    <row r="10"/>
    <row r="11"/>
    <row r="12"/>
    <row r="13"/>
    <row r="14"/>
    <row r="15" ht="23.5" customHeight="1">
      <c r="A15" s="41" t="inlineStr">
        <is>
          <t>Key Concepts Covered</t>
        </is>
      </c>
      <c r="B15" s="42" t="n"/>
      <c r="C15" s="42" t="n"/>
      <c r="D15" s="42" t="n"/>
      <c r="E15" s="42" t="n"/>
      <c r="F15" s="42" t="n"/>
      <c r="G15" s="42" t="n"/>
      <c r="I15" s="43" t="inlineStr">
        <is>
          <t>Excel Functions Used</t>
        </is>
      </c>
    </row>
    <row r="16" ht="311.5" customHeight="1">
      <c r="A16" s="49" t="inlineStr">
        <is>
          <t>Nature and economic characteristics of intangible assets
Identification and separation of intangible assets from business value
Income-based approaches to intangible asset valuation
Attribution of cash flows to specific intangible assets
Useful life, amortization logic, and value decay considerations
Discount rate selection for asset-specific risk
Present value of asset-level cash flows
Interpretation of intangible asset value in reporting and transactions
Limitations and judgment involved in intangible valuation</t>
        </is>
      </c>
      <c r="I16" s="44" t="inlineStr">
        <is>
          <t xml:space="preserve">The following Excel functions are used accurately and completely in this workbook to support intangible asset valuation, cash-flow modeling, and consistency checks:
NPV – Discounts forecasted intangible-asset cash flows at an appropriate required return
PV – Computes present value of individual or grouped asset-level cash flows
IRR – Used to interpret implied returns from asset cash-flow profiles where relevant
RATE – Supports derivation or validation of discount rates in asset valuation contexts
SUM – Aggregates cash flows, value components, and intermediate results
SUMPRODUCT – Allocates cash flows or returns proportionally across assets where required
IF – Applies conditional logic for useful-life limits, amortization treatment, and scenario rules
IFERROR – Handles edge cases such as zero cash flows or boundary conditions
ABS – Maintains disciplined cash-flow sign conventions
ROUND – Ensures numerical clarity and reporting precision
MAX / MIN – Applies bounds for useful life, growth assumptions, and reasonableness checks
AVERAGE – Computes representative assumptions where multiple inputs are used
PERCENTAGE CALCULATIONS – Used for growth rates, contributory charges, and allocation logic
HYPERLINK – Facilitates navigation across index, input, valuation, and summary sheets
The workbook emphasizes disciplined cash-flow attribution, asset-specific discounting, and transparent reconciliation between assumptions and valuation outputs.
</t>
        </is>
      </c>
    </row>
    <row r="17">
      <c r="A17" s="45" t="n"/>
    </row>
    <row r="18">
      <c r="A18" s="45" t="n"/>
      <c r="E18" s="50"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46" t="n"/>
    </row>
    <row r="19">
      <c r="A19" s="45" t="n"/>
    </row>
    <row r="20">
      <c r="A20" s="45" t="n"/>
      <c r="I20" s="46" t="n"/>
    </row>
    <row r="21">
      <c r="A21" s="45" t="n"/>
    </row>
    <row r="22">
      <c r="A22" s="45" t="n"/>
      <c r="I22" s="46" t="n"/>
    </row>
    <row r="23">
      <c r="A23" s="45" t="n"/>
    </row>
    <row r="24">
      <c r="A24" s="45" t="n"/>
      <c r="I24" s="46" t="n"/>
    </row>
    <row r="25">
      <c r="A25" s="45" t="n"/>
    </row>
    <row r="26">
      <c r="A26" s="45" t="n"/>
      <c r="I26" s="46" t="n"/>
    </row>
    <row r="27">
      <c r="A27" s="45" t="n"/>
    </row>
    <row r="28">
      <c r="A28" s="45" t="n"/>
      <c r="I28" s="46" t="n"/>
    </row>
    <row r="29">
      <c r="A29" s="45" t="n"/>
    </row>
    <row r="30">
      <c r="A30" s="45" t="n"/>
      <c r="I30" s="46" t="n"/>
    </row>
    <row r="31">
      <c r="A31" s="45" t="n"/>
      <c r="I31" s="45" t="n"/>
    </row>
    <row r="32">
      <c r="A32" s="45" t="n"/>
      <c r="I32" s="47" t="n"/>
    </row>
    <row r="33">
      <c r="A33" s="45"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8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5"/>
  <cols>
    <col width="3" customWidth="1" min="1" max="1"/>
    <col width="42" customWidth="1" min="2" max="2"/>
    <col width="22" customWidth="1" min="3" max="5"/>
    <col width="18" customWidth="1" min="6" max="6"/>
    <col width="22" customWidth="1" min="7" max="7"/>
    <col width="18" customWidth="1" min="8" max="12"/>
  </cols>
  <sheetData>
    <row r="1">
      <c r="B1" s="53" t="inlineStr">
        <is>
          <t>Model 01 — Relief-from-Royalty (RFR) Brand Valuation — Nouriva (₹)</t>
        </is>
      </c>
      <c r="C1" s="57" t="n"/>
      <c r="D1" s="57" t="n"/>
      <c r="E1" s="57" t="n"/>
      <c r="F1" s="57" t="n"/>
      <c r="G1" s="57" t="n"/>
      <c r="H1" s="57" t="n"/>
      <c r="I1" s="57" t="n"/>
      <c r="J1" s="57" t="n"/>
      <c r="K1" s="57" t="n"/>
      <c r="L1" s="58" t="n"/>
    </row>
    <row r="2">
      <c r="B2" s="54" t="inlineStr">
        <is>
          <t>Each sheet is self-contained: Inputs (Yellow) | Calculations (Green) | Outputs (Blue) | Checks (Orange) | Index + hyperlinks</t>
        </is>
      </c>
      <c r="C2" s="57" t="n"/>
      <c r="D2" s="57" t="n"/>
      <c r="E2" s="57" t="n"/>
      <c r="F2" s="57" t="n"/>
      <c r="G2" s="57" t="n"/>
      <c r="H2" s="57" t="n"/>
      <c r="I2" s="57" t="n"/>
      <c r="J2" s="57" t="n"/>
      <c r="K2" s="57" t="n"/>
      <c r="L2" s="58" t="n"/>
    </row>
    <row r="3"/>
    <row r="4">
      <c r="B4" s="51" t="inlineStr">
        <is>
          <t>INDEX (click to jump)</t>
        </is>
      </c>
      <c r="C4" s="57" t="n"/>
      <c r="D4" s="57" t="n"/>
      <c r="E4" s="57" t="n"/>
      <c r="F4" s="57" t="n"/>
      <c r="G4" s="57" t="n"/>
      <c r="H4" s="57" t="n"/>
      <c r="I4" s="57" t="n"/>
      <c r="J4" s="57" t="n"/>
      <c r="K4" s="57" t="n"/>
      <c r="L4" s="58" t="n"/>
    </row>
    <row r="5">
      <c r="B5" s="1" t="inlineStr">
        <is>
          <t>1) Problem Context</t>
        </is>
      </c>
    </row>
    <row r="6">
      <c r="B6" s="1" t="inlineStr">
        <is>
          <t>2) Inputs &amp; Assumptions</t>
        </is>
      </c>
    </row>
    <row r="7">
      <c r="B7" s="1" t="inlineStr">
        <is>
          <t>3) Forecast &amp; Calculations</t>
        </is>
      </c>
    </row>
    <row r="8">
      <c r="B8" s="1" t="inlineStr">
        <is>
          <t>4) Outputs (Valuation Summary)</t>
        </is>
      </c>
    </row>
    <row r="9">
      <c r="B9" s="1" t="inlineStr">
        <is>
          <t>5) Sensitivity</t>
        </is>
      </c>
    </row>
    <row r="10">
      <c r="B10" s="1" t="inlineStr">
        <is>
          <t>6) Checks (PASS/FAIL)</t>
        </is>
      </c>
    </row>
    <row r="11"/>
    <row r="12"/>
    <row r="13"/>
    <row r="14">
      <c r="B14" s="51" t="inlineStr">
        <is>
          <t>1) Problem Context</t>
        </is>
      </c>
      <c r="C14" s="57" t="n"/>
      <c r="D14" s="57" t="n"/>
      <c r="E14" s="57" t="n"/>
      <c r="F14" s="57" t="n"/>
      <c r="G14" s="57" t="n"/>
      <c r="H14" s="57" t="n"/>
      <c r="I14" s="57" t="n"/>
      <c r="J14" s="57" t="n"/>
      <c r="K14" s="57" t="n"/>
      <c r="L14" s="58" t="n"/>
    </row>
    <row r="15">
      <c r="L15" s="2" t="inlineStr">
        <is>
          <t>Back to Index</t>
        </is>
      </c>
    </row>
    <row r="16">
      <c r="B16" s="55" t="inlineStr">
        <is>
          <t>Suryodaya Foods Pvt. Ltd. (Pune) owns the FMCG brand “Nouriva” for millet-based breakfast products.
A prospective investor requests a standalone fair value of the Nouriva brand.
Value the brand using Relief-from-Royalty: estimate royalties that would have been paid if licensed, tax-effect those savings, and discount them.
Judgment areas: royalty rate (low/base/high), useful life (finite vs indefinite), and brand-specific discount rate.</t>
        </is>
      </c>
      <c r="C16" s="59" t="n"/>
      <c r="D16" s="59" t="n"/>
      <c r="E16" s="59" t="n"/>
      <c r="F16" s="59" t="n"/>
      <c r="G16" s="59" t="n"/>
      <c r="H16" s="59" t="n"/>
      <c r="I16" s="59" t="n"/>
      <c r="J16" s="59" t="n"/>
      <c r="K16" s="59" t="n"/>
      <c r="L16" s="60" t="n"/>
    </row>
    <row r="17">
      <c r="B17" s="61" t="n"/>
      <c r="L17" s="62" t="n"/>
    </row>
    <row r="18">
      <c r="B18" s="61" t="n"/>
      <c r="L18" s="62" t="n"/>
    </row>
    <row r="19">
      <c r="B19" s="63" t="n"/>
      <c r="C19" s="64" t="n"/>
      <c r="D19" s="64" t="n"/>
      <c r="E19" s="64" t="n"/>
      <c r="F19" s="64" t="n"/>
      <c r="G19" s="64" t="n"/>
      <c r="H19" s="64" t="n"/>
      <c r="I19" s="64" t="n"/>
      <c r="J19" s="64" t="n"/>
      <c r="K19" s="64" t="n"/>
      <c r="L19" s="65" t="n"/>
    </row>
    <row r="20"/>
    <row r="21"/>
    <row r="22">
      <c r="B22" s="51" t="inlineStr">
        <is>
          <t>2) Inputs &amp; Assumptions (enter ONLY in yellow cells)</t>
        </is>
      </c>
      <c r="C22" s="57" t="n"/>
      <c r="D22" s="57" t="n"/>
      <c r="E22" s="57" t="n"/>
      <c r="F22" s="57" t="n"/>
      <c r="G22" s="57" t="n"/>
      <c r="H22" s="57" t="n"/>
      <c r="I22" s="57" t="n"/>
      <c r="J22" s="57" t="n"/>
      <c r="K22" s="57" t="n"/>
      <c r="L22" s="58" t="n"/>
    </row>
    <row r="23">
      <c r="L23" s="2" t="inlineStr">
        <is>
          <t>Back to Index</t>
        </is>
      </c>
    </row>
    <row r="24">
      <c r="B24" s="3" t="inlineStr">
        <is>
          <t>Valuation Date (text)</t>
        </is>
      </c>
      <c r="C24" s="4" t="inlineStr">
        <is>
          <t>21-Dec-2025</t>
        </is>
      </c>
    </row>
    <row r="25">
      <c r="B25" s="3" t="inlineStr">
        <is>
          <t>Currency</t>
        </is>
      </c>
      <c r="C25" s="4" t="inlineStr">
        <is>
          <t>₹ (Indian Rupee)</t>
        </is>
      </c>
    </row>
    <row r="26">
      <c r="B26" s="3" t="inlineStr">
        <is>
          <t>Forecast Horizon (years)</t>
        </is>
      </c>
      <c r="C26" s="5" t="n">
        <v>10</v>
      </c>
    </row>
    <row r="27">
      <c r="B27" s="3" t="inlineStr">
        <is>
          <t>Scenario (Low/Base/High)</t>
        </is>
      </c>
      <c r="C27" s="4" t="inlineStr">
        <is>
          <t>Base</t>
        </is>
      </c>
    </row>
    <row r="28">
      <c r="B28" s="3" t="inlineStr">
        <is>
          <t>Royalty Rate — Low</t>
        </is>
      </c>
      <c r="C28" s="6" t="n">
        <v>0.02</v>
      </c>
    </row>
    <row r="29">
      <c r="B29" s="3" t="inlineStr">
        <is>
          <t>Royalty Rate — Base</t>
        </is>
      </c>
      <c r="C29" s="6" t="n">
        <v>0.035</v>
      </c>
    </row>
    <row r="30">
      <c r="B30" s="3" t="inlineStr">
        <is>
          <t>Royalty Rate — High</t>
        </is>
      </c>
      <c r="C30" s="6" t="n">
        <v>0.05</v>
      </c>
    </row>
    <row r="31">
      <c r="B31" s="3" t="inlineStr">
        <is>
          <t>Corporate Tax Rate</t>
        </is>
      </c>
      <c r="C31" s="6" t="n">
        <v>0.25</v>
      </c>
    </row>
    <row r="32">
      <c r="B32" s="3" t="inlineStr">
        <is>
          <t>Discount Rate (Brand-specific)</t>
        </is>
      </c>
      <c r="C32" s="6" t="n">
        <v>0.14</v>
      </c>
    </row>
    <row r="33">
      <c r="B33" s="3" t="inlineStr">
        <is>
          <t>Useful Life Type (Finite/Indefinite)</t>
        </is>
      </c>
      <c r="C33" s="4" t="inlineStr">
        <is>
          <t>Indefinite</t>
        </is>
      </c>
    </row>
    <row r="34">
      <c r="B34" s="3" t="inlineStr">
        <is>
          <t>If Finite: Useful Life (years)</t>
        </is>
      </c>
      <c r="C34" s="5" t="n">
        <v>10</v>
      </c>
    </row>
    <row r="35">
      <c r="B35" s="3" t="inlineStr">
        <is>
          <t>If Indefinite: Terminal Growth (g)</t>
        </is>
      </c>
      <c r="C35" s="6" t="n">
        <v>0.04</v>
      </c>
    </row>
    <row r="36">
      <c r="B36" s="51" t="inlineStr">
        <is>
          <t>3) Forecast &amp; Calculations (RFR cash flows)</t>
        </is>
      </c>
      <c r="C36" s="57" t="n"/>
      <c r="D36" s="57" t="n"/>
      <c r="E36" s="57" t="n"/>
      <c r="F36" s="57" t="n"/>
      <c r="G36" s="57" t="n"/>
      <c r="H36" s="57" t="n"/>
      <c r="I36" s="57" t="n"/>
      <c r="J36" s="57" t="n"/>
      <c r="K36" s="57" t="n"/>
      <c r="L36" s="58" t="n"/>
    </row>
    <row r="37">
      <c r="L37" s="2" t="inlineStr">
        <is>
          <t>Back to Index</t>
        </is>
      </c>
    </row>
    <row r="38">
      <c r="B38" s="7" t="inlineStr">
        <is>
          <t>Selected Royalty Rate (auto from Scenario)</t>
        </is>
      </c>
      <c r="C38" s="8">
        <f>IF($C$27="Low",$C$28,IF($C$27="High",$C$30,$C$29))</f>
        <v/>
      </c>
    </row>
    <row r="39"/>
    <row r="40" ht="29" customHeight="1">
      <c r="B40" s="9" t="inlineStr">
        <is>
          <t>Year</t>
        </is>
      </c>
      <c r="C40" s="9" t="inlineStr">
        <is>
          <t>Revenue attributable to brand</t>
        </is>
      </c>
      <c r="D40" s="9" t="inlineStr">
        <is>
          <t>Royalty saving</t>
        </is>
      </c>
      <c r="E40" s="9" t="inlineStr">
        <is>
          <t>After-tax royalty saving</t>
        </is>
      </c>
      <c r="F40" s="9" t="inlineStr">
        <is>
          <t>Discount factor</t>
        </is>
      </c>
      <c r="G40" s="9" t="inlineStr">
        <is>
          <t>PV of after-tax saving</t>
        </is>
      </c>
    </row>
    <row r="41">
      <c r="B41" s="10" t="n">
        <v>1</v>
      </c>
      <c r="C41" s="11" t="n">
        <v>1200000000</v>
      </c>
      <c r="D41" s="12">
        <f>C41*$C$38</f>
        <v/>
      </c>
      <c r="E41" s="12">
        <f>D41*(1-$C$31)</f>
        <v/>
      </c>
      <c r="F41" s="13">
        <f>1/(1+$C$32)^1</f>
        <v/>
      </c>
      <c r="G41" s="12">
        <f>E41*F41</f>
        <v/>
      </c>
      <c r="H41" s="56" t="inlineStr">
        <is>
          <t>Notes: Revenue should reflect portion attributable to the brand.
Royalty saving = hypothetical licensing cost avoided by owning the brand.
After-tax saving = royalty saving × (1 – tax rate).</t>
        </is>
      </c>
      <c r="I41" s="59" t="n"/>
      <c r="J41" s="59" t="n"/>
      <c r="K41" s="59" t="n"/>
      <c r="L41" s="60" t="n"/>
    </row>
    <row r="42">
      <c r="B42" s="10" t="n">
        <v>2</v>
      </c>
      <c r="C42" s="11">
        <f>C41*1.1</f>
        <v/>
      </c>
      <c r="D42" s="12">
        <f>C42*$C$38</f>
        <v/>
      </c>
      <c r="E42" s="12">
        <f>D42*(1-$C$31)</f>
        <v/>
      </c>
      <c r="F42" s="13">
        <f>1/(1+$C$32)^2</f>
        <v/>
      </c>
      <c r="G42" s="12">
        <f>E42*F42</f>
        <v/>
      </c>
      <c r="H42" s="61" t="n"/>
      <c r="L42" s="62" t="n"/>
    </row>
    <row r="43">
      <c r="B43" s="10" t="n">
        <v>3</v>
      </c>
      <c r="C43" s="11">
        <f>C42*1.1</f>
        <v/>
      </c>
      <c r="D43" s="12">
        <f>C43*$C$38</f>
        <v/>
      </c>
      <c r="E43" s="12">
        <f>D43*(1-$C$31)</f>
        <v/>
      </c>
      <c r="F43" s="13">
        <f>1/(1+$C$32)^3</f>
        <v/>
      </c>
      <c r="G43" s="12">
        <f>E43*F43</f>
        <v/>
      </c>
      <c r="H43" s="61" t="n"/>
      <c r="L43" s="62" t="n"/>
    </row>
    <row r="44">
      <c r="B44" s="10" t="n">
        <v>4</v>
      </c>
      <c r="C44" s="11">
        <f>C43*1.1</f>
        <v/>
      </c>
      <c r="D44" s="12">
        <f>C44*$C$38</f>
        <v/>
      </c>
      <c r="E44" s="12">
        <f>D44*(1-$C$31)</f>
        <v/>
      </c>
      <c r="F44" s="13">
        <f>1/(1+$C$32)^4</f>
        <v/>
      </c>
      <c r="G44" s="12">
        <f>E44*F44</f>
        <v/>
      </c>
      <c r="H44" s="61" t="n"/>
      <c r="L44" s="62" t="n"/>
    </row>
    <row r="45">
      <c r="B45" s="10" t="n">
        <v>5</v>
      </c>
      <c r="C45" s="11">
        <f>C44*1.1</f>
        <v/>
      </c>
      <c r="D45" s="12">
        <f>C45*$C$38</f>
        <v/>
      </c>
      <c r="E45" s="12">
        <f>D45*(1-$C$31)</f>
        <v/>
      </c>
      <c r="F45" s="13">
        <f>1/(1+$C$32)^5</f>
        <v/>
      </c>
      <c r="G45" s="12">
        <f>E45*F45</f>
        <v/>
      </c>
      <c r="H45" s="61" t="n"/>
      <c r="L45" s="62" t="n"/>
    </row>
    <row r="46">
      <c r="B46" s="10" t="n">
        <v>6</v>
      </c>
      <c r="C46" s="11">
        <f>C45*1.1</f>
        <v/>
      </c>
      <c r="D46" s="12">
        <f>C46*$C$38</f>
        <v/>
      </c>
      <c r="E46" s="12">
        <f>D46*(1-$C$31)</f>
        <v/>
      </c>
      <c r="F46" s="13">
        <f>1/(1+$C$32)^6</f>
        <v/>
      </c>
      <c r="G46" s="12">
        <f>E46*F46</f>
        <v/>
      </c>
      <c r="H46" s="63" t="n"/>
      <c r="I46" s="64" t="n"/>
      <c r="J46" s="64" t="n"/>
      <c r="K46" s="64" t="n"/>
      <c r="L46" s="65" t="n"/>
    </row>
    <row r="47">
      <c r="B47" s="10" t="n">
        <v>7</v>
      </c>
      <c r="C47" s="11">
        <f>C46*1.1</f>
        <v/>
      </c>
      <c r="D47" s="12">
        <f>C47*$C$38</f>
        <v/>
      </c>
      <c r="E47" s="12">
        <f>D47*(1-$C$31)</f>
        <v/>
      </c>
      <c r="F47" s="13">
        <f>1/(1+$C$32)^7</f>
        <v/>
      </c>
      <c r="G47" s="12">
        <f>E47*F47</f>
        <v/>
      </c>
    </row>
    <row r="48">
      <c r="B48" s="10" t="n">
        <v>8</v>
      </c>
      <c r="C48" s="11">
        <f>C47*1.1</f>
        <v/>
      </c>
      <c r="D48" s="12">
        <f>C48*$C$38</f>
        <v/>
      </c>
      <c r="E48" s="12">
        <f>D48*(1-$C$31)</f>
        <v/>
      </c>
      <c r="F48" s="13">
        <f>1/(1+$C$32)^8</f>
        <v/>
      </c>
      <c r="G48" s="12">
        <f>E48*F48</f>
        <v/>
      </c>
    </row>
    <row r="49">
      <c r="B49" s="10" t="n">
        <v>9</v>
      </c>
      <c r="C49" s="11">
        <f>C48*1.1</f>
        <v/>
      </c>
      <c r="D49" s="12">
        <f>C49*$C$38</f>
        <v/>
      </c>
      <c r="E49" s="12">
        <f>D49*(1-$C$31)</f>
        <v/>
      </c>
      <c r="F49" s="13">
        <f>1/(1+$C$32)^9</f>
        <v/>
      </c>
      <c r="G49" s="12">
        <f>E49*F49</f>
        <v/>
      </c>
    </row>
    <row r="50">
      <c r="B50" s="10" t="n">
        <v>10</v>
      </c>
      <c r="C50" s="11">
        <f>C49*1.1</f>
        <v/>
      </c>
      <c r="D50" s="12">
        <f>C50*$C$38</f>
        <v/>
      </c>
      <c r="E50" s="12">
        <f>D50*(1-$C$31)</f>
        <v/>
      </c>
      <c r="F50" s="13">
        <f>1/(1+$C$32)^10</f>
        <v/>
      </c>
      <c r="G50" s="12">
        <f>E50*F50</f>
        <v/>
      </c>
    </row>
    <row r="51"/>
    <row r="52" ht="26" customHeight="1">
      <c r="B52" s="7" t="inlineStr">
        <is>
          <t>Terminal Value (TV) block</t>
        </is>
      </c>
      <c r="C52" s="14" t="inlineStr">
        <is>
          <t>TV applies only if Useful Life Type = Indefinite</t>
        </is>
      </c>
    </row>
    <row r="53">
      <c r="B53" s="15" t="inlineStr">
        <is>
          <t>After-tax saving in final year</t>
        </is>
      </c>
      <c r="C53" s="12">
        <f>E50</f>
        <v/>
      </c>
    </row>
    <row r="54">
      <c r="B54" s="15" t="inlineStr">
        <is>
          <t>Terminal Value = AfterTax_final×(1+g)/(r−g)</t>
        </is>
      </c>
      <c r="C54" s="12">
        <f>IF($C$33="Indefinite",C53*(1+$C$35)/($C$32-$C$35),0)</f>
        <v/>
      </c>
    </row>
    <row r="55">
      <c r="B55" s="15" t="inlineStr">
        <is>
          <t>PV of Terminal Value</t>
        </is>
      </c>
      <c r="C55" s="12">
        <f>C54*(1/(1+$C$32)^10)</f>
        <v/>
      </c>
    </row>
    <row r="56"/>
    <row r="57"/>
    <row r="58"/>
    <row r="59"/>
    <row r="60"/>
    <row r="61"/>
    <row r="62">
      <c r="B62" s="51" t="inlineStr">
        <is>
          <t>4) Outputs (Valuation Summary)</t>
        </is>
      </c>
      <c r="C62" s="57" t="n"/>
      <c r="D62" s="57" t="n"/>
      <c r="E62" s="57" t="n"/>
      <c r="F62" s="57" t="n"/>
      <c r="G62" s="57" t="n"/>
      <c r="H62" s="57" t="n"/>
      <c r="I62" s="57" t="n"/>
      <c r="J62" s="57" t="n"/>
      <c r="K62" s="57" t="n"/>
      <c r="L62" s="58" t="n"/>
    </row>
    <row r="63">
      <c r="L63" s="2" t="inlineStr">
        <is>
          <t>Back to Index</t>
        </is>
      </c>
    </row>
    <row r="64">
      <c r="B64" s="16" t="inlineStr">
        <is>
          <t>Selected royalty rate</t>
        </is>
      </c>
      <c r="C64" s="17">
        <f>C38</f>
        <v/>
      </c>
    </row>
    <row r="65">
      <c r="B65" s="16" t="inlineStr">
        <is>
          <t>PV of explicit period cash flows</t>
        </is>
      </c>
      <c r="C65" s="18">
        <f>SUM(G41:G50)</f>
        <v/>
      </c>
    </row>
    <row r="66">
      <c r="B66" s="16" t="inlineStr">
        <is>
          <t>PV of terminal value</t>
        </is>
      </c>
      <c r="C66" s="18">
        <f>C55</f>
        <v/>
      </c>
    </row>
    <row r="67" ht="15.5" customHeight="1">
      <c r="B67" s="16" t="inlineStr">
        <is>
          <t>Brand Value (RFR) = PV explicit + PV terminal</t>
        </is>
      </c>
      <c r="C67" s="19">
        <f>C65+C66</f>
        <v/>
      </c>
    </row>
    <row r="68"/>
    <row r="69"/>
    <row r="70"/>
    <row r="71"/>
    <row r="72">
      <c r="B72" s="51" t="inlineStr">
        <is>
          <t>5) Sensitivity (quick what-if)</t>
        </is>
      </c>
      <c r="C72" s="57" t="n"/>
      <c r="D72" s="57" t="n"/>
      <c r="E72" s="57" t="n"/>
      <c r="F72" s="57" t="n"/>
      <c r="G72" s="57" t="n"/>
      <c r="H72" s="57" t="n"/>
      <c r="I72" s="57" t="n"/>
      <c r="J72" s="57" t="n"/>
      <c r="K72" s="57" t="n"/>
      <c r="L72" s="58" t="n"/>
    </row>
    <row r="73">
      <c r="L73" s="2" t="inlineStr">
        <is>
          <t>Back to Index</t>
        </is>
      </c>
    </row>
    <row r="74">
      <c r="B74" s="56" t="inlineStr">
        <is>
          <t>Royalty-rate sensitivity is linear; discount-rate sensitivity is handled via scenario review and checks.</t>
        </is>
      </c>
      <c r="C74" s="57" t="n"/>
      <c r="D74" s="57" t="n"/>
      <c r="E74" s="57" t="n"/>
      <c r="F74" s="57" t="n"/>
      <c r="G74" s="57" t="n"/>
      <c r="H74" s="57" t="n"/>
      <c r="I74" s="57" t="n"/>
      <c r="J74" s="57" t="n"/>
      <c r="K74" s="57" t="n"/>
      <c r="L74" s="58" t="n"/>
    </row>
    <row r="75"/>
    <row r="76">
      <c r="B76" s="20" t="inlineStr">
        <is>
          <t>Brand Value @ Low royalty</t>
        </is>
      </c>
      <c r="C76" s="18">
        <f>C67*($C$28/$C$38)</f>
        <v/>
      </c>
    </row>
    <row r="77">
      <c r="B77" s="20" t="inlineStr">
        <is>
          <t>Brand Value @ Base royalty</t>
        </is>
      </c>
      <c r="C77" s="18">
        <f>C67*($C$29/$C$38)</f>
        <v/>
      </c>
    </row>
    <row r="78">
      <c r="B78" s="20" t="inlineStr">
        <is>
          <t>Brand Value @ High royalty</t>
        </is>
      </c>
      <c r="C78" s="18">
        <f>C67*($C$30/$C$38)</f>
        <v/>
      </c>
    </row>
    <row r="79"/>
    <row r="80"/>
    <row r="81"/>
    <row r="82"/>
    <row r="83"/>
    <row r="84">
      <c r="B84" s="51" t="inlineStr">
        <is>
          <t>6) Checks (PASS/FAIL)</t>
        </is>
      </c>
      <c r="C84" s="57" t="n"/>
      <c r="D84" s="57" t="n"/>
      <c r="E84" s="57" t="n"/>
      <c r="F84" s="57" t="n"/>
      <c r="G84" s="57" t="n"/>
      <c r="H84" s="57" t="n"/>
      <c r="I84" s="57" t="n"/>
      <c r="J84" s="57" t="n"/>
      <c r="K84" s="57" t="n"/>
      <c r="L84" s="58" t="n"/>
    </row>
    <row r="85">
      <c r="L85" s="2" t="inlineStr">
        <is>
          <t>Back to Index</t>
        </is>
      </c>
    </row>
    <row r="86">
      <c r="B86" s="21" t="inlineStr">
        <is>
          <t>Check 1: Scenario must be Low/Base/High</t>
        </is>
      </c>
      <c r="C86" s="22">
        <f>IF(OR($C$27="Low",$C$27="Base",$C$27="High"),"PASS","FAIL")</f>
        <v/>
      </c>
    </row>
    <row r="87">
      <c r="B87" s="21" t="inlineStr">
        <is>
          <t>Check 2: If Indefinite, r &gt; g</t>
        </is>
      </c>
      <c r="C87" s="22">
        <f>IF($C$33="Indefinite",IF($C$32&gt;$C$35,"PASS","FAIL"),"PASS")</f>
        <v/>
      </c>
    </row>
    <row r="88">
      <c r="B88" s="21" t="inlineStr">
        <is>
          <t>Check 3: No negative revenues</t>
        </is>
      </c>
      <c r="C88" s="22">
        <f>IF(MIN($C$41:$C$50)&gt;=0,"PASS","FAIL")</f>
        <v/>
      </c>
    </row>
    <row r="89">
      <c r="B89" s="21" t="inlineStr">
        <is>
          <t>Check 4: Value reconciliation (within ₹1)</t>
        </is>
      </c>
      <c r="C89" s="22">
        <f>IF(ABS(C67-(C65+C66))&lt;1,"PASS","FAIL")</f>
        <v/>
      </c>
    </row>
  </sheetData>
  <sheetProtection selectLockedCells="0" selectUnlockedCells="0" sheet="1" objects="1" insertRows="0" insertHyperlinks="1" autoFilter="0" scenarios="1" formatColumns="0" deleteColumns="0" insertColumns="0" pivotTables="0" deleteRows="0" formatCells="0" formatRows="0" sort="0" password="AE3A"/>
  <mergeCells count="12">
    <mergeCell ref="B4:L4"/>
    <mergeCell ref="B22:L22"/>
    <mergeCell ref="B74:L74"/>
    <mergeCell ref="B62:L62"/>
    <mergeCell ref="B72:L72"/>
    <mergeCell ref="B2:L2"/>
    <mergeCell ref="B16:L19"/>
    <mergeCell ref="H41:L46"/>
    <mergeCell ref="B36:L36"/>
    <mergeCell ref="B14:L14"/>
    <mergeCell ref="B84:L84"/>
    <mergeCell ref="B1:L1"/>
  </mergeCells>
  <hyperlinks>
    <hyperlink ref="B5" location="'01_RFR_Brand_Valuation'!B14" display="1) Problem Context"/>
    <hyperlink ref="B6" location="'01_RFR_Brand_Valuation'!B22" display="2) Inputs &amp; Assumptions"/>
    <hyperlink ref="B7" location="'01_RFR_Brand_Valuation'!B36" display="3) Forecast &amp; Calculations"/>
    <hyperlink ref="B8" location="'01_RFR_Brand_Valuation'!B62" display="4) Outputs (Valuation Summary)"/>
    <hyperlink ref="B9" location="'01_RFR_Brand_Valuation'!B72" display="5) Sensitivity"/>
    <hyperlink ref="B10" location="'01_RFR_Brand_Valuation'!B84" display="6) Checks (PASS/FAIL)"/>
    <hyperlink ref="L15" location="'01_RFR_Brand_Valuation'!B4" display="Back to Index"/>
    <hyperlink ref="L23" location="'01_RFR_Brand_Valuation'!B4" display="Back to Index"/>
    <hyperlink ref="L37" location="'01_RFR_Brand_Valuation'!B4" display="Back to Index"/>
    <hyperlink ref="L63" location="'01_RFR_Brand_Valuation'!B4" display="Back to Index"/>
    <hyperlink ref="L73" location="'01_RFR_Brand_Valuation'!B4" display="Back to Index"/>
    <hyperlink ref="L85" location="'01_RFR_Brand_Valuation'!B4" display="Back to Index"/>
  </hyperlinks>
  <pageMargins left="0.75" right="0.75" top="1" bottom="1" header="0.5" footer="0.5"/>
  <pageSetup orientation="landscape" fitToHeight="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96"/>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5"/>
  <cols>
    <col width="3" customWidth="1" min="1" max="1"/>
    <col width="42" customWidth="1" min="2" max="2"/>
    <col width="22" customWidth="1" min="3" max="5"/>
    <col width="18" customWidth="1" min="6" max="6"/>
    <col width="22" customWidth="1" min="7" max="7"/>
    <col width="18" customWidth="1" min="8" max="12"/>
  </cols>
  <sheetData>
    <row r="1">
      <c r="B1" s="53" t="inlineStr">
        <is>
          <t>Model 02 — MPEEM (Multi-Period Excess Earnings) — Aarohan Fintech Customers (₹)</t>
        </is>
      </c>
      <c r="C1" s="57" t="n"/>
      <c r="D1" s="57" t="n"/>
      <c r="E1" s="57" t="n"/>
      <c r="F1" s="57" t="n"/>
      <c r="G1" s="57" t="n"/>
      <c r="H1" s="57" t="n"/>
      <c r="I1" s="57" t="n"/>
      <c r="J1" s="57" t="n"/>
      <c r="K1" s="57" t="n"/>
      <c r="L1" s="58" t="n"/>
    </row>
    <row r="2">
      <c r="B2" s="54" t="inlineStr">
        <is>
          <t>Each sheet is self-contained: Inputs (Yellow) | Calculations (Green) | Outputs (Blue) | Checks (Orange) | Index + hyperlinks</t>
        </is>
      </c>
      <c r="C2" s="57" t="n"/>
      <c r="D2" s="57" t="n"/>
      <c r="E2" s="57" t="n"/>
      <c r="F2" s="57" t="n"/>
      <c r="G2" s="57" t="n"/>
      <c r="H2" s="57" t="n"/>
      <c r="I2" s="57" t="n"/>
      <c r="J2" s="57" t="n"/>
      <c r="K2" s="57" t="n"/>
      <c r="L2" s="58" t="n"/>
    </row>
    <row r="3"/>
    <row r="4">
      <c r="B4" s="51" t="inlineStr">
        <is>
          <t>INDEX (click to jump)</t>
        </is>
      </c>
      <c r="C4" s="57" t="n"/>
      <c r="D4" s="57" t="n"/>
      <c r="E4" s="57" t="n"/>
      <c r="F4" s="57" t="n"/>
      <c r="G4" s="57" t="n"/>
      <c r="H4" s="57" t="n"/>
      <c r="I4" s="57" t="n"/>
      <c r="J4" s="57" t="n"/>
      <c r="K4" s="57" t="n"/>
      <c r="L4" s="58" t="n"/>
    </row>
    <row r="5">
      <c r="B5" s="1" t="inlineStr">
        <is>
          <t>1) Problem Context</t>
        </is>
      </c>
    </row>
    <row r="6">
      <c r="B6" s="1" t="inlineStr">
        <is>
          <t>2) Inputs &amp; Assumptions</t>
        </is>
      </c>
    </row>
    <row r="7">
      <c r="B7" s="1" t="inlineStr">
        <is>
          <t>3) Customer Cash Flow Build</t>
        </is>
      </c>
    </row>
    <row r="8">
      <c r="B8" s="1" t="inlineStr">
        <is>
          <t>4) Contributory Asset Charges &amp; Excess Earnings</t>
        </is>
      </c>
    </row>
    <row r="9">
      <c r="B9" s="1" t="inlineStr">
        <is>
          <t>5) Outputs (Customer Relationship Value)</t>
        </is>
      </c>
    </row>
    <row r="10">
      <c r="B10" s="1" t="inlineStr">
        <is>
          <t>6) Checks (PASS/FAIL)</t>
        </is>
      </c>
    </row>
    <row r="11"/>
    <row r="12"/>
    <row r="13"/>
    <row r="14">
      <c r="B14" s="51" t="inlineStr">
        <is>
          <t>1) Problem Context</t>
        </is>
      </c>
      <c r="C14" s="57" t="n"/>
      <c r="D14" s="57" t="n"/>
      <c r="E14" s="57" t="n"/>
      <c r="F14" s="57" t="n"/>
      <c r="G14" s="57" t="n"/>
      <c r="H14" s="57" t="n"/>
      <c r="I14" s="57" t="n"/>
      <c r="J14" s="57" t="n"/>
      <c r="K14" s="57" t="n"/>
      <c r="L14" s="58" t="n"/>
    </row>
    <row r="15">
      <c r="L15" s="2" t="inlineStr">
        <is>
          <t>Back to Index</t>
        </is>
      </c>
    </row>
    <row r="16">
      <c r="B16" s="55" t="inlineStr">
        <is>
          <t>Aarohan Fintech Services Ltd. (Bengaluru) has an existing base of active borrowers. In a purchase price allocation, the acquirer must value the customer relationships as of the acquisition date.
Use MPEEM: project cash flows from the existing customer base, then deduct contributory asset charges (technology, brand, workforce, and working capital). The residual is excess earnings attributable to customer relationships.</t>
        </is>
      </c>
      <c r="C16" s="59" t="n"/>
      <c r="D16" s="59" t="n"/>
      <c r="E16" s="59" t="n"/>
      <c r="F16" s="59" t="n"/>
      <c r="G16" s="59" t="n"/>
      <c r="H16" s="59" t="n"/>
      <c r="I16" s="59" t="n"/>
      <c r="J16" s="59" t="n"/>
      <c r="K16" s="59" t="n"/>
      <c r="L16" s="60" t="n"/>
    </row>
    <row r="17">
      <c r="B17" s="61" t="n"/>
      <c r="L17" s="62" t="n"/>
    </row>
    <row r="18">
      <c r="B18" s="61" t="n"/>
      <c r="L18" s="62" t="n"/>
    </row>
    <row r="19">
      <c r="B19" s="61" t="n"/>
      <c r="L19" s="62" t="n"/>
    </row>
    <row r="20">
      <c r="B20" s="63" t="n"/>
      <c r="C20" s="64" t="n"/>
      <c r="D20" s="64" t="n"/>
      <c r="E20" s="64" t="n"/>
      <c r="F20" s="64" t="n"/>
      <c r="G20" s="64" t="n"/>
      <c r="H20" s="64" t="n"/>
      <c r="I20" s="64" t="n"/>
      <c r="J20" s="64" t="n"/>
      <c r="K20" s="64" t="n"/>
      <c r="L20" s="65" t="n"/>
    </row>
    <row r="21"/>
    <row r="22">
      <c r="B22" s="51" t="inlineStr">
        <is>
          <t>2) Inputs &amp; Assumptions (enter ONLY in yellow cells)</t>
        </is>
      </c>
      <c r="C22" s="57" t="n"/>
      <c r="D22" s="57" t="n"/>
      <c r="E22" s="57" t="n"/>
      <c r="F22" s="57" t="n"/>
      <c r="G22" s="57" t="n"/>
      <c r="H22" s="57" t="n"/>
      <c r="I22" s="57" t="n"/>
      <c r="J22" s="57" t="n"/>
      <c r="K22" s="57" t="n"/>
      <c r="L22" s="58" t="n"/>
    </row>
    <row r="23">
      <c r="L23" s="2" t="inlineStr">
        <is>
          <t>Back to Index</t>
        </is>
      </c>
    </row>
    <row r="24">
      <c r="B24" s="3" t="inlineStr">
        <is>
          <t>Valuation Date (text)</t>
        </is>
      </c>
      <c r="C24" s="4" t="inlineStr">
        <is>
          <t>21-Dec-2025</t>
        </is>
      </c>
    </row>
    <row r="25">
      <c r="B25" s="3" t="inlineStr">
        <is>
          <t>Currency</t>
        </is>
      </c>
      <c r="C25" s="4" t="inlineStr">
        <is>
          <t>₹ (Indian Rupee)</t>
        </is>
      </c>
    </row>
    <row r="26">
      <c r="B26" s="3" t="inlineStr">
        <is>
          <t>Forecast Horizon (years)</t>
        </is>
      </c>
      <c r="C26" s="5" t="n">
        <v>8</v>
      </c>
    </row>
    <row r="27">
      <c r="B27" s="3" t="inlineStr">
        <is>
          <t>Starting Active Customers (count)</t>
        </is>
      </c>
      <c r="C27" s="23" t="n">
        <v>300000</v>
      </c>
    </row>
    <row r="28">
      <c r="B28" s="3" t="inlineStr">
        <is>
          <t>Annual Attrition (churn) rate</t>
        </is>
      </c>
      <c r="C28" s="6" t="n">
        <v>0.18</v>
      </c>
    </row>
    <row r="29">
      <c r="B29" s="3" t="inlineStr">
        <is>
          <t>Average Revenue per Customer (Year 1)</t>
        </is>
      </c>
      <c r="C29" s="24" t="n">
        <v>4200</v>
      </c>
    </row>
    <row r="30">
      <c r="B30" s="3" t="inlineStr">
        <is>
          <t>ARPC Growth rate</t>
        </is>
      </c>
      <c r="C30" s="6" t="n">
        <v>0.06</v>
      </c>
    </row>
    <row r="31">
      <c r="B31" s="3" t="inlineStr">
        <is>
          <t>EBIT Margin on customer revenue</t>
        </is>
      </c>
      <c r="C31" s="6" t="n">
        <v>0.28</v>
      </c>
    </row>
    <row r="32">
      <c r="B32" s="3" t="inlineStr">
        <is>
          <t>Corporate Tax Rate</t>
        </is>
      </c>
      <c r="C32" s="6" t="n">
        <v>0.25</v>
      </c>
    </row>
    <row r="33">
      <c r="B33" s="3" t="inlineStr">
        <is>
          <t>Discount Rate (Customer relationships)</t>
        </is>
      </c>
      <c r="C33" s="6" t="n">
        <v>0.16</v>
      </c>
    </row>
    <row r="34" ht="29" customHeight="1">
      <c r="B34" s="3" t="inlineStr">
        <is>
          <t>Contributory charge — Technology (% of revenue)</t>
        </is>
      </c>
      <c r="C34" s="6" t="n">
        <v>0.06</v>
      </c>
    </row>
    <row r="35">
      <c r="B35" s="3" t="inlineStr">
        <is>
          <t>Contributory charge — Brand (% of revenue)</t>
        </is>
      </c>
      <c r="C35" s="6" t="n">
        <v>0.03</v>
      </c>
    </row>
    <row r="36" ht="29" customHeight="1">
      <c r="B36" s="3" t="inlineStr">
        <is>
          <t>Contributory charge — Workforce (% of revenue)</t>
        </is>
      </c>
      <c r="C36" s="6" t="n">
        <v>0.02</v>
      </c>
    </row>
    <row r="37" ht="29" customHeight="1">
      <c r="B37" s="3" t="inlineStr">
        <is>
          <t>Contributory charge — Working capital (% of revenue)</t>
        </is>
      </c>
      <c r="C37" s="6" t="n">
        <v>0.01</v>
      </c>
    </row>
    <row r="38"/>
    <row r="39"/>
    <row r="40">
      <c r="B40" s="51" t="inlineStr">
        <is>
          <t>3) Customer Cash Flow Build (existing customers only)</t>
        </is>
      </c>
      <c r="C40" s="57" t="n"/>
      <c r="D40" s="57" t="n"/>
      <c r="E40" s="57" t="n"/>
      <c r="F40" s="57" t="n"/>
      <c r="G40" s="57" t="n"/>
      <c r="H40" s="57" t="n"/>
      <c r="I40" s="57" t="n"/>
      <c r="J40" s="57" t="n"/>
      <c r="K40" s="57" t="n"/>
      <c r="L40" s="58" t="n"/>
    </row>
    <row r="41">
      <c r="L41" s="2" t="inlineStr">
        <is>
          <t>Back to Index</t>
        </is>
      </c>
    </row>
    <row r="42">
      <c r="B42" s="9" t="inlineStr">
        <is>
          <t>Year</t>
        </is>
      </c>
      <c r="C42" s="9" t="inlineStr">
        <is>
          <t>Active customers</t>
        </is>
      </c>
      <c r="D42" s="9" t="inlineStr">
        <is>
          <t>ARPC (₹)</t>
        </is>
      </c>
      <c r="E42" s="9" t="inlineStr">
        <is>
          <t>Revenue (₹)</t>
        </is>
      </c>
      <c r="F42" s="9" t="inlineStr">
        <is>
          <t>EBIT (₹)</t>
        </is>
      </c>
      <c r="G42" s="9" t="inlineStr">
        <is>
          <t>Tax on EBIT (₹)</t>
        </is>
      </c>
      <c r="H42" s="9" t="inlineStr">
        <is>
          <t>After-tax EBIT (₹)</t>
        </is>
      </c>
    </row>
    <row r="43">
      <c r="B43" s="10" t="n">
        <v>1</v>
      </c>
      <c r="C43" s="25">
        <f>$C$27*(1-$C$28)^0</f>
        <v/>
      </c>
      <c r="D43" s="12">
        <f>$C$29*(1+$C$30)^0</f>
        <v/>
      </c>
      <c r="E43" s="12">
        <f>C43*D43</f>
        <v/>
      </c>
      <c r="F43" s="12">
        <f>E43*$C$31</f>
        <v/>
      </c>
      <c r="G43" s="12">
        <f>F43*$C$32</f>
        <v/>
      </c>
      <c r="H43" s="12">
        <f>F43-G43</f>
        <v/>
      </c>
      <c r="I43" s="56" t="inlineStr">
        <is>
          <t>Sticky note: Cash flows are from the existing customer base only (no new acquisition). Next, deduct contributory asset charges to isolate customer relationship excess earnings.</t>
        </is>
      </c>
      <c r="J43" s="59" t="n"/>
      <c r="K43" s="59" t="n"/>
      <c r="L43" s="60" t="n"/>
    </row>
    <row r="44">
      <c r="B44" s="10" t="n">
        <v>2</v>
      </c>
      <c r="C44" s="25">
        <f>$C$27*(1-$C$28)^1</f>
        <v/>
      </c>
      <c r="D44" s="12">
        <f>$C$29*(1+$C$30)^1</f>
        <v/>
      </c>
      <c r="E44" s="12">
        <f>C44*D44</f>
        <v/>
      </c>
      <c r="F44" s="12">
        <f>E44*$C$31</f>
        <v/>
      </c>
      <c r="G44" s="12">
        <f>F44*$C$32</f>
        <v/>
      </c>
      <c r="H44" s="12">
        <f>F44-G44</f>
        <v/>
      </c>
      <c r="I44" s="61" t="n"/>
      <c r="L44" s="62" t="n"/>
    </row>
    <row r="45">
      <c r="B45" s="10" t="n">
        <v>3</v>
      </c>
      <c r="C45" s="25">
        <f>$C$27*(1-$C$28)^2</f>
        <v/>
      </c>
      <c r="D45" s="12">
        <f>$C$29*(1+$C$30)^2</f>
        <v/>
      </c>
      <c r="E45" s="12">
        <f>C45*D45</f>
        <v/>
      </c>
      <c r="F45" s="12">
        <f>E45*$C$31</f>
        <v/>
      </c>
      <c r="G45" s="12">
        <f>F45*$C$32</f>
        <v/>
      </c>
      <c r="H45" s="12">
        <f>F45-G45</f>
        <v/>
      </c>
      <c r="I45" s="61" t="n"/>
      <c r="L45" s="62" t="n"/>
    </row>
    <row r="46">
      <c r="B46" s="10" t="n">
        <v>4</v>
      </c>
      <c r="C46" s="25">
        <f>$C$27*(1-$C$28)^3</f>
        <v/>
      </c>
      <c r="D46" s="12">
        <f>$C$29*(1+$C$30)^3</f>
        <v/>
      </c>
      <c r="E46" s="12">
        <f>C46*D46</f>
        <v/>
      </c>
      <c r="F46" s="12">
        <f>E46*$C$31</f>
        <v/>
      </c>
      <c r="G46" s="12">
        <f>F46*$C$32</f>
        <v/>
      </c>
      <c r="H46" s="12">
        <f>F46-G46</f>
        <v/>
      </c>
      <c r="I46" s="61" t="n"/>
      <c r="L46" s="62" t="n"/>
    </row>
    <row r="47">
      <c r="B47" s="10" t="n">
        <v>5</v>
      </c>
      <c r="C47" s="25">
        <f>$C$27*(1-$C$28)^4</f>
        <v/>
      </c>
      <c r="D47" s="12">
        <f>$C$29*(1+$C$30)^4</f>
        <v/>
      </c>
      <c r="E47" s="12">
        <f>C47*D47</f>
        <v/>
      </c>
      <c r="F47" s="12">
        <f>E47*$C$31</f>
        <v/>
      </c>
      <c r="G47" s="12">
        <f>F47*$C$32</f>
        <v/>
      </c>
      <c r="H47" s="12">
        <f>F47-G47</f>
        <v/>
      </c>
      <c r="I47" s="63" t="n"/>
      <c r="J47" s="64" t="n"/>
      <c r="K47" s="64" t="n"/>
      <c r="L47" s="65" t="n"/>
    </row>
    <row r="48">
      <c r="B48" s="10" t="n">
        <v>6</v>
      </c>
      <c r="C48" s="25">
        <f>$C$27*(1-$C$28)^5</f>
        <v/>
      </c>
      <c r="D48" s="12">
        <f>$C$29*(1+$C$30)^5</f>
        <v/>
      </c>
      <c r="E48" s="12">
        <f>C48*D48</f>
        <v/>
      </c>
      <c r="F48" s="12">
        <f>E48*$C$31</f>
        <v/>
      </c>
      <c r="G48" s="12">
        <f>F48*$C$32</f>
        <v/>
      </c>
      <c r="H48" s="12">
        <f>F48-G48</f>
        <v/>
      </c>
    </row>
    <row r="49">
      <c r="B49" s="10" t="n">
        <v>7</v>
      </c>
      <c r="C49" s="25">
        <f>$C$27*(1-$C$28)^6</f>
        <v/>
      </c>
      <c r="D49" s="12">
        <f>$C$29*(1+$C$30)^6</f>
        <v/>
      </c>
      <c r="E49" s="12">
        <f>C49*D49</f>
        <v/>
      </c>
      <c r="F49" s="12">
        <f>E49*$C$31</f>
        <v/>
      </c>
      <c r="G49" s="12">
        <f>F49*$C$32</f>
        <v/>
      </c>
      <c r="H49" s="12">
        <f>F49-G49</f>
        <v/>
      </c>
    </row>
    <row r="50">
      <c r="B50" s="10" t="n">
        <v>8</v>
      </c>
      <c r="C50" s="25">
        <f>$C$27*(1-$C$28)^7</f>
        <v/>
      </c>
      <c r="D50" s="12">
        <f>$C$29*(1+$C$30)^7</f>
        <v/>
      </c>
      <c r="E50" s="12">
        <f>C50*D50</f>
        <v/>
      </c>
      <c r="F50" s="12">
        <f>E50*$C$31</f>
        <v/>
      </c>
      <c r="G50" s="12">
        <f>F50*$C$32</f>
        <v/>
      </c>
      <c r="H50" s="12">
        <f>F50-G50</f>
        <v/>
      </c>
    </row>
    <row r="51"/>
    <row r="52"/>
    <row r="53"/>
    <row r="54"/>
    <row r="55"/>
    <row r="56"/>
    <row r="57"/>
    <row r="58"/>
    <row r="59"/>
    <row r="60"/>
    <row r="61"/>
    <row r="62">
      <c r="B62" s="51" t="inlineStr">
        <is>
          <t>4) Contributory Asset Charges &amp; Excess Earnings</t>
        </is>
      </c>
      <c r="C62" s="57" t="n"/>
      <c r="D62" s="57" t="n"/>
      <c r="E62" s="57" t="n"/>
      <c r="F62" s="57" t="n"/>
      <c r="G62" s="57" t="n"/>
      <c r="H62" s="57" t="n"/>
      <c r="I62" s="57" t="n"/>
      <c r="J62" s="57" t="n"/>
      <c r="K62" s="57" t="n"/>
      <c r="L62" s="58" t="n"/>
    </row>
    <row r="63">
      <c r="L63" s="2" t="inlineStr">
        <is>
          <t>Back to Index</t>
        </is>
      </c>
    </row>
    <row r="64" ht="29" customHeight="1">
      <c r="B64" s="9" t="inlineStr">
        <is>
          <t>Year</t>
        </is>
      </c>
      <c r="C64" s="9" t="inlineStr">
        <is>
          <t>After-tax EBIT (₹)</t>
        </is>
      </c>
      <c r="D64" s="9" t="inlineStr">
        <is>
          <t>CAC-Tech (₹)</t>
        </is>
      </c>
      <c r="E64" s="9" t="inlineStr">
        <is>
          <t>CAC-Brand (₹)</t>
        </is>
      </c>
      <c r="F64" s="9" t="inlineStr">
        <is>
          <t>CAC-Workforce (₹)</t>
        </is>
      </c>
      <c r="G64" s="9" t="inlineStr">
        <is>
          <t>CAC-WC (₹)</t>
        </is>
      </c>
      <c r="H64" s="9" t="inlineStr">
        <is>
          <t>Excess earnings (₹)</t>
        </is>
      </c>
      <c r="I64" s="9" t="inlineStr">
        <is>
          <t>Discount factor</t>
        </is>
      </c>
      <c r="J64" s="9" t="inlineStr">
        <is>
          <t>PV of excess earnings (₹)</t>
        </is>
      </c>
    </row>
    <row r="65">
      <c r="B65" s="10" t="n">
        <v>1</v>
      </c>
      <c r="C65" s="12">
        <f>H43</f>
        <v/>
      </c>
      <c r="D65" s="12">
        <f>E43*$C$34*(1-$C$32)</f>
        <v/>
      </c>
      <c r="E65" s="12">
        <f>E43*$C$35*(1-$C$32)</f>
        <v/>
      </c>
      <c r="F65" s="12">
        <f>E43*$C$36*(1-$C$32)</f>
        <v/>
      </c>
      <c r="G65" s="12">
        <f>E43*$C$37*(1-$C$32)</f>
        <v/>
      </c>
      <c r="H65" s="12">
        <f>C65-(D65+E65+F65+G65)</f>
        <v/>
      </c>
      <c r="I65" s="13">
        <f>1/(1+$C$33)^1</f>
        <v/>
      </c>
      <c r="J65" s="12">
        <f>H65*I65</f>
        <v/>
      </c>
      <c r="K65" s="56" t="inlineStr">
        <is>
          <t>Sticky note: CACs compensate other supporting assets. Excess earnings are attributed to customer relationships.</t>
        </is>
      </c>
      <c r="L65" s="60" t="n"/>
    </row>
    <row r="66">
      <c r="B66" s="10" t="n">
        <v>2</v>
      </c>
      <c r="C66" s="12">
        <f>H44</f>
        <v/>
      </c>
      <c r="D66" s="12">
        <f>E44*$C$34*(1-$C$32)</f>
        <v/>
      </c>
      <c r="E66" s="12">
        <f>E44*$C$35*(1-$C$32)</f>
        <v/>
      </c>
      <c r="F66" s="12">
        <f>E44*$C$36*(1-$C$32)</f>
        <v/>
      </c>
      <c r="G66" s="12">
        <f>E44*$C$37*(1-$C$32)</f>
        <v/>
      </c>
      <c r="H66" s="12">
        <f>C66-(D66+E66+F66+G66)</f>
        <v/>
      </c>
      <c r="I66" s="13">
        <f>1/(1+$C$33)^2</f>
        <v/>
      </c>
      <c r="J66" s="12">
        <f>H66*I66</f>
        <v/>
      </c>
      <c r="K66" s="61" t="n"/>
      <c r="L66" s="62" t="n"/>
    </row>
    <row r="67">
      <c r="B67" s="10" t="n">
        <v>3</v>
      </c>
      <c r="C67" s="12">
        <f>H45</f>
        <v/>
      </c>
      <c r="D67" s="12">
        <f>E45*$C$34*(1-$C$32)</f>
        <v/>
      </c>
      <c r="E67" s="12">
        <f>E45*$C$35*(1-$C$32)</f>
        <v/>
      </c>
      <c r="F67" s="12">
        <f>E45*$C$36*(1-$C$32)</f>
        <v/>
      </c>
      <c r="G67" s="12">
        <f>E45*$C$37*(1-$C$32)</f>
        <v/>
      </c>
      <c r="H67" s="12">
        <f>C67-(D67+E67+F67+G67)</f>
        <v/>
      </c>
      <c r="I67" s="13">
        <f>1/(1+$C$33)^3</f>
        <v/>
      </c>
      <c r="J67" s="12">
        <f>H67*I67</f>
        <v/>
      </c>
      <c r="K67" s="61" t="n"/>
      <c r="L67" s="62" t="n"/>
    </row>
    <row r="68">
      <c r="B68" s="10" t="n">
        <v>4</v>
      </c>
      <c r="C68" s="12">
        <f>H46</f>
        <v/>
      </c>
      <c r="D68" s="12">
        <f>E46*$C$34*(1-$C$32)</f>
        <v/>
      </c>
      <c r="E68" s="12">
        <f>E46*$C$35*(1-$C$32)</f>
        <v/>
      </c>
      <c r="F68" s="12">
        <f>E46*$C$36*(1-$C$32)</f>
        <v/>
      </c>
      <c r="G68" s="12">
        <f>E46*$C$37*(1-$C$32)</f>
        <v/>
      </c>
      <c r="H68" s="12">
        <f>C68-(D68+E68+F68+G68)</f>
        <v/>
      </c>
      <c r="I68" s="13">
        <f>1/(1+$C$33)^4</f>
        <v/>
      </c>
      <c r="J68" s="12">
        <f>H68*I68</f>
        <v/>
      </c>
      <c r="K68" s="61" t="n"/>
      <c r="L68" s="62" t="n"/>
    </row>
    <row r="69">
      <c r="B69" s="10" t="n">
        <v>5</v>
      </c>
      <c r="C69" s="12">
        <f>H47</f>
        <v/>
      </c>
      <c r="D69" s="12">
        <f>E47*$C$34*(1-$C$32)</f>
        <v/>
      </c>
      <c r="E69" s="12">
        <f>E47*$C$35*(1-$C$32)</f>
        <v/>
      </c>
      <c r="F69" s="12">
        <f>E47*$C$36*(1-$C$32)</f>
        <v/>
      </c>
      <c r="G69" s="12">
        <f>E47*$C$37*(1-$C$32)</f>
        <v/>
      </c>
      <c r="H69" s="12">
        <f>C69-(D69+E69+F69+G69)</f>
        <v/>
      </c>
      <c r="I69" s="13">
        <f>1/(1+$C$33)^5</f>
        <v/>
      </c>
      <c r="J69" s="12">
        <f>H69*I69</f>
        <v/>
      </c>
      <c r="K69" s="63" t="n"/>
      <c r="L69" s="65" t="n"/>
    </row>
    <row r="70">
      <c r="B70" s="10" t="n">
        <v>6</v>
      </c>
      <c r="C70" s="12">
        <f>H48</f>
        <v/>
      </c>
      <c r="D70" s="12">
        <f>E48*$C$34*(1-$C$32)</f>
        <v/>
      </c>
      <c r="E70" s="12">
        <f>E48*$C$35*(1-$C$32)</f>
        <v/>
      </c>
      <c r="F70" s="12">
        <f>E48*$C$36*(1-$C$32)</f>
        <v/>
      </c>
      <c r="G70" s="12">
        <f>E48*$C$37*(1-$C$32)</f>
        <v/>
      </c>
      <c r="H70" s="12">
        <f>C70-(D70+E70+F70+G70)</f>
        <v/>
      </c>
      <c r="I70" s="13">
        <f>1/(1+$C$33)^6</f>
        <v/>
      </c>
      <c r="J70" s="12">
        <f>H70*I70</f>
        <v/>
      </c>
    </row>
    <row r="71">
      <c r="B71" s="10" t="n">
        <v>7</v>
      </c>
      <c r="C71" s="12">
        <f>H49</f>
        <v/>
      </c>
      <c r="D71" s="12">
        <f>E49*$C$34*(1-$C$32)</f>
        <v/>
      </c>
      <c r="E71" s="12">
        <f>E49*$C$35*(1-$C$32)</f>
        <v/>
      </c>
      <c r="F71" s="12">
        <f>E49*$C$36*(1-$C$32)</f>
        <v/>
      </c>
      <c r="G71" s="12">
        <f>E49*$C$37*(1-$C$32)</f>
        <v/>
      </c>
      <c r="H71" s="12">
        <f>C71-(D71+E71+F71+G71)</f>
        <v/>
      </c>
      <c r="I71" s="13">
        <f>1/(1+$C$33)^7</f>
        <v/>
      </c>
      <c r="J71" s="12">
        <f>H71*I71</f>
        <v/>
      </c>
    </row>
    <row r="72">
      <c r="B72" s="10" t="n">
        <v>8</v>
      </c>
      <c r="C72" s="12">
        <f>H50</f>
        <v/>
      </c>
      <c r="D72" s="12">
        <f>E50*$C$34*(1-$C$32)</f>
        <v/>
      </c>
      <c r="E72" s="12">
        <f>E50*$C$35*(1-$C$32)</f>
        <v/>
      </c>
      <c r="F72" s="12">
        <f>E50*$C$36*(1-$C$32)</f>
        <v/>
      </c>
      <c r="G72" s="12">
        <f>E50*$C$37*(1-$C$32)</f>
        <v/>
      </c>
      <c r="H72" s="12">
        <f>C72-(D72+E72+F72+G72)</f>
        <v/>
      </c>
      <c r="I72" s="13">
        <f>1/(1+$C$33)^8</f>
        <v/>
      </c>
      <c r="J72" s="12">
        <f>H72*I72</f>
        <v/>
      </c>
    </row>
    <row r="73"/>
    <row r="74"/>
    <row r="75"/>
    <row r="76"/>
    <row r="77"/>
    <row r="78"/>
    <row r="79"/>
    <row r="80"/>
    <row r="81"/>
    <row r="82">
      <c r="B82" s="51" t="inlineStr">
        <is>
          <t>5) Outputs (Customer Relationship Value)</t>
        </is>
      </c>
      <c r="C82" s="57" t="n"/>
      <c r="D82" s="57" t="n"/>
      <c r="E82" s="57" t="n"/>
      <c r="F82" s="57" t="n"/>
      <c r="G82" s="57" t="n"/>
      <c r="H82" s="57" t="n"/>
      <c r="I82" s="57" t="n"/>
      <c r="J82" s="57" t="n"/>
      <c r="K82" s="57" t="n"/>
      <c r="L82" s="58" t="n"/>
    </row>
    <row r="83">
      <c r="L83" s="2" t="inlineStr">
        <is>
          <t>Back to Index</t>
        </is>
      </c>
    </row>
    <row r="84" ht="29" customHeight="1">
      <c r="B84" s="16" t="inlineStr">
        <is>
          <t>PV of excess earnings (Customer relationship value)</t>
        </is>
      </c>
      <c r="C84" s="19">
        <f>SUM(J65:J72)</f>
        <v/>
      </c>
    </row>
    <row r="85">
      <c r="B85" s="16" t="inlineStr">
        <is>
          <t>Implied value per starting customer</t>
        </is>
      </c>
      <c r="C85" s="18">
        <f>C84/$C$27</f>
        <v/>
      </c>
    </row>
    <row r="86"/>
    <row r="87"/>
    <row r="88"/>
    <row r="89"/>
    <row r="90"/>
    <row r="91"/>
    <row r="92">
      <c r="B92" s="51" t="inlineStr">
        <is>
          <t>6) Checks (PASS/FAIL)</t>
        </is>
      </c>
      <c r="C92" s="57" t="n"/>
      <c r="D92" s="57" t="n"/>
      <c r="E92" s="57" t="n"/>
      <c r="F92" s="57" t="n"/>
      <c r="G92" s="57" t="n"/>
      <c r="H92" s="57" t="n"/>
      <c r="I92" s="57" t="n"/>
      <c r="J92" s="57" t="n"/>
      <c r="K92" s="57" t="n"/>
      <c r="L92" s="58" t="n"/>
    </row>
    <row r="93">
      <c r="L93" s="2" t="inlineStr">
        <is>
          <t>Back to Index</t>
        </is>
      </c>
    </row>
    <row r="94">
      <c r="B94" s="21" t="inlineStr">
        <is>
          <t>Check 1: Attrition between 0% and 100%</t>
        </is>
      </c>
      <c r="C94" s="22">
        <f>IF(AND($C$28&gt;=0,$C$28&lt;1),"PASS","FAIL")</f>
        <v/>
      </c>
    </row>
    <row r="95" ht="29" customHeight="1">
      <c r="B95" s="21" t="inlineStr">
        <is>
          <t>Check 2: Total CAC rates &lt; EBIT margin (reasonableness)</t>
        </is>
      </c>
      <c r="C95" s="22">
        <f>IF(($C$34+$C$35+$C$36+$C$37)&lt;$C$31,"PASS","FAIL")</f>
        <v/>
      </c>
    </row>
    <row r="96">
      <c r="B96" s="21" t="inlineStr">
        <is>
          <t>Check 3: Customer count declines over time</t>
        </is>
      </c>
      <c r="C96" s="22">
        <f>IF(C50&lt;=C43,"PASS","FAIL")</f>
        <v/>
      </c>
    </row>
  </sheetData>
  <sheetProtection selectLockedCells="0" selectUnlockedCells="0" sheet="1" objects="1" insertRows="0" insertHyperlinks="1" autoFilter="0" scenarios="1" formatColumns="0" deleteColumns="0" insertColumns="0" pivotTables="0" deleteRows="0" formatCells="0" formatRows="0" sort="0" password="AE3A"/>
  <mergeCells count="12">
    <mergeCell ref="K65:L69"/>
    <mergeCell ref="B4:L4"/>
    <mergeCell ref="B92:L92"/>
    <mergeCell ref="B82:L82"/>
    <mergeCell ref="I43:L47"/>
    <mergeCell ref="B62:L62"/>
    <mergeCell ref="B2:L2"/>
    <mergeCell ref="B16:L20"/>
    <mergeCell ref="B22:L22"/>
    <mergeCell ref="B14:L14"/>
    <mergeCell ref="B40:L40"/>
    <mergeCell ref="B1:L1"/>
  </mergeCells>
  <hyperlinks>
    <hyperlink ref="B5" location="'02_MPEEM_Customer_Relationships'!B14" display="1) Problem Context"/>
    <hyperlink ref="B6" location="'02_MPEEM_Customer_Relationships'!B22" display="2) Inputs &amp; Assumptions"/>
    <hyperlink ref="B7" location="'02_MPEEM_Customer_Relationships'!B40" display="3) Customer Cash Flow Build"/>
    <hyperlink ref="B8" location="'02_MPEEM_Customer_Relationships'!B62" display="4) Contributory Asset Charges &amp; Excess Earnings"/>
    <hyperlink ref="B9" location="'02_MPEEM_Customer_Relationships'!B82" display="5) Outputs (Customer Relationship Value)"/>
    <hyperlink ref="B10" location="'02_MPEEM_Customer_Relationships'!B92" display="6) Checks (PASS/FAIL)"/>
    <hyperlink ref="L15" location="'02_MPEEM_Customer_Relationships'!B4" display="Back to Index"/>
    <hyperlink ref="L23" location="'02_MPEEM_Customer_Relationships'!B4" display="Back to Index"/>
    <hyperlink ref="L41" location="'02_MPEEM_Customer_Relationships'!B4" display="Back to Index"/>
    <hyperlink ref="L63" location="'02_MPEEM_Customer_Relationships'!B4" display="Back to Index"/>
    <hyperlink ref="L83" location="'02_MPEEM_Customer_Relationships'!B4" display="Back to Index"/>
    <hyperlink ref="L93" location="'02_MPEEM_Customer_Relationships'!B4" display="Back to Index"/>
  </hyperlinks>
  <pageMargins left="0.75" right="0.75" top="1" bottom="1" header="0.5" footer="0.5"/>
  <pageSetup orientation="landscape" fitToHeight="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9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5"/>
  <cols>
    <col width="3" customWidth="1" min="1" max="1"/>
    <col width="42" customWidth="1" min="2" max="2"/>
    <col width="22" customWidth="1" min="3" max="5"/>
    <col width="18" customWidth="1" min="6" max="6"/>
    <col width="22" customWidth="1" min="7" max="7"/>
    <col width="18" customWidth="1" min="8" max="12"/>
  </cols>
  <sheetData>
    <row r="1">
      <c r="B1" s="53" t="inlineStr">
        <is>
          <t>Model 03 — Real Options / Decision Tree — ViroNext IPR&amp;D (₹)</t>
        </is>
      </c>
      <c r="C1" s="57" t="n"/>
      <c r="D1" s="57" t="n"/>
      <c r="E1" s="57" t="n"/>
      <c r="F1" s="57" t="n"/>
      <c r="G1" s="57" t="n"/>
      <c r="H1" s="57" t="n"/>
      <c r="I1" s="57" t="n"/>
      <c r="J1" s="57" t="n"/>
      <c r="K1" s="57" t="n"/>
      <c r="L1" s="58" t="n"/>
    </row>
    <row r="2">
      <c r="B2" s="54" t="inlineStr">
        <is>
          <t>Each sheet is self-contained: Inputs (Yellow) | Calculations (Green) | Outputs (Blue) | Checks (Orange) | Index + hyperlinks</t>
        </is>
      </c>
      <c r="C2" s="57" t="n"/>
      <c r="D2" s="57" t="n"/>
      <c r="E2" s="57" t="n"/>
      <c r="F2" s="57" t="n"/>
      <c r="G2" s="57" t="n"/>
      <c r="H2" s="57" t="n"/>
      <c r="I2" s="57" t="n"/>
      <c r="J2" s="57" t="n"/>
      <c r="K2" s="57" t="n"/>
      <c r="L2" s="58" t="n"/>
    </row>
    <row r="3"/>
    <row r="4">
      <c r="B4" s="51" t="inlineStr">
        <is>
          <t>INDEX (click to jump)</t>
        </is>
      </c>
      <c r="C4" s="57" t="n"/>
      <c r="D4" s="57" t="n"/>
      <c r="E4" s="57" t="n"/>
      <c r="F4" s="57" t="n"/>
      <c r="G4" s="57" t="n"/>
      <c r="H4" s="57" t="n"/>
      <c r="I4" s="57" t="n"/>
      <c r="J4" s="57" t="n"/>
      <c r="K4" s="57" t="n"/>
      <c r="L4" s="58" t="n"/>
    </row>
    <row r="5">
      <c r="B5" s="1" t="inlineStr">
        <is>
          <t>1) Problem Context</t>
        </is>
      </c>
    </row>
    <row r="6">
      <c r="B6" s="1" t="inlineStr">
        <is>
          <t>2) Inputs (Probabilities, Costs, Payoffs)</t>
        </is>
      </c>
    </row>
    <row r="7">
      <c r="B7" s="1" t="inlineStr">
        <is>
          <t>3) Decision Tree Calculations</t>
        </is>
      </c>
    </row>
    <row r="8">
      <c r="B8" s="1" t="inlineStr">
        <is>
          <t>4) Outputs (Option-Adjusted Value)</t>
        </is>
      </c>
    </row>
    <row r="9">
      <c r="B9" s="1" t="inlineStr">
        <is>
          <t>5) Checks (PASS/FAIL)</t>
        </is>
      </c>
    </row>
    <row r="10"/>
    <row r="11"/>
    <row r="12"/>
    <row r="13"/>
    <row r="14">
      <c r="B14" s="51" t="inlineStr">
        <is>
          <t>1) Problem Context</t>
        </is>
      </c>
      <c r="C14" s="57" t="n"/>
      <c r="D14" s="57" t="n"/>
      <c r="E14" s="57" t="n"/>
      <c r="F14" s="57" t="n"/>
      <c r="G14" s="57" t="n"/>
      <c r="H14" s="57" t="n"/>
      <c r="I14" s="57" t="n"/>
      <c r="J14" s="57" t="n"/>
      <c r="K14" s="57" t="n"/>
      <c r="L14" s="58" t="n"/>
    </row>
    <row r="15">
      <c r="L15" s="2" t="inlineStr">
        <is>
          <t>Back to Index</t>
        </is>
      </c>
    </row>
    <row r="16">
      <c r="B16" s="55" t="inlineStr">
        <is>
          <t>ViroNext BioInnovations Ltd. (Hyderabad) is developing an oral antiviral for dengue. The project is in Phase II.
Value the in-process R&amp;D using a simplified decision-tree (real options) approach: model stage-gate probabilities, future investments, and success payoff. This captures managerial flexibility better than a single DCF.</t>
        </is>
      </c>
      <c r="C16" s="59" t="n"/>
      <c r="D16" s="59" t="n"/>
      <c r="E16" s="59" t="n"/>
      <c r="F16" s="59" t="n"/>
      <c r="G16" s="59" t="n"/>
      <c r="H16" s="59" t="n"/>
      <c r="I16" s="59" t="n"/>
      <c r="J16" s="59" t="n"/>
      <c r="K16" s="59" t="n"/>
      <c r="L16" s="60" t="n"/>
    </row>
    <row r="17">
      <c r="B17" s="61" t="n"/>
      <c r="L17" s="62" t="n"/>
    </row>
    <row r="18">
      <c r="B18" s="61" t="n"/>
      <c r="L18" s="62" t="n"/>
    </row>
    <row r="19">
      <c r="B19" s="61" t="n"/>
      <c r="L19" s="62" t="n"/>
    </row>
    <row r="20">
      <c r="B20" s="63" t="n"/>
      <c r="C20" s="64" t="n"/>
      <c r="D20" s="64" t="n"/>
      <c r="E20" s="64" t="n"/>
      <c r="F20" s="64" t="n"/>
      <c r="G20" s="64" t="n"/>
      <c r="H20" s="64" t="n"/>
      <c r="I20" s="64" t="n"/>
      <c r="J20" s="64" t="n"/>
      <c r="K20" s="64" t="n"/>
      <c r="L20" s="65" t="n"/>
    </row>
    <row r="21"/>
    <row r="22">
      <c r="B22" s="51" t="inlineStr">
        <is>
          <t>2) Inputs (enter ONLY in yellow cells)</t>
        </is>
      </c>
      <c r="C22" s="57" t="n"/>
      <c r="D22" s="57" t="n"/>
      <c r="E22" s="57" t="n"/>
      <c r="F22" s="57" t="n"/>
      <c r="G22" s="57" t="n"/>
      <c r="H22" s="57" t="n"/>
      <c r="I22" s="57" t="n"/>
      <c r="J22" s="57" t="n"/>
      <c r="K22" s="57" t="n"/>
      <c r="L22" s="58" t="n"/>
    </row>
    <row r="23">
      <c r="L23" s="2" t="inlineStr">
        <is>
          <t>Back to Index</t>
        </is>
      </c>
    </row>
    <row r="24">
      <c r="B24" s="3" t="inlineStr">
        <is>
          <t>Valuation Date (text)</t>
        </is>
      </c>
      <c r="C24" s="4" t="inlineStr">
        <is>
          <t>21-Dec-2025</t>
        </is>
      </c>
    </row>
    <row r="25">
      <c r="B25" s="3" t="inlineStr">
        <is>
          <t>Currency</t>
        </is>
      </c>
      <c r="C25" s="4" t="inlineStr">
        <is>
          <t>₹ (Indian Rupee)</t>
        </is>
      </c>
    </row>
    <row r="26">
      <c r="B26" s="3" t="inlineStr">
        <is>
          <t>Discount Rate (project risk)</t>
        </is>
      </c>
      <c r="C26" s="6" t="n">
        <v>0.2</v>
      </c>
    </row>
    <row r="27">
      <c r="B27" s="3" t="inlineStr">
        <is>
          <t>Time to Phase III decision (years)</t>
        </is>
      </c>
      <c r="C27" s="5" t="n">
        <v>1</v>
      </c>
    </row>
    <row r="28">
      <c r="B28" s="3" t="inlineStr">
        <is>
          <t>Prob. Phase II -&gt; Phase III success</t>
        </is>
      </c>
      <c r="C28" s="6" t="n">
        <v>0.6</v>
      </c>
    </row>
    <row r="29">
      <c r="B29" s="3" t="inlineStr">
        <is>
          <t>Phase III cost (paid at Phase III start)</t>
        </is>
      </c>
      <c r="C29" s="24" t="n">
        <v>900000000</v>
      </c>
    </row>
    <row r="30">
      <c r="B30" s="3" t="inlineStr">
        <is>
          <t>Time from Phase III to Approval (years)</t>
        </is>
      </c>
      <c r="C30" s="5" t="n">
        <v>2</v>
      </c>
    </row>
    <row r="31">
      <c r="B31" s="3" t="inlineStr">
        <is>
          <t>Prob. Phase III -&gt; Approval success</t>
        </is>
      </c>
      <c r="C31" s="6" t="n">
        <v>0.55</v>
      </c>
    </row>
    <row r="32">
      <c r="B32" s="3" t="inlineStr">
        <is>
          <t>Approval &amp; Launch cost (paid at approval)</t>
        </is>
      </c>
      <c r="C32" s="24" t="n">
        <v>600000000</v>
      </c>
    </row>
    <row r="33">
      <c r="B33" s="3" t="inlineStr">
        <is>
          <t>Time from Approval to Cashflows start (years)</t>
        </is>
      </c>
      <c r="C33" s="5" t="n">
        <v>1</v>
      </c>
    </row>
    <row r="34" ht="29" customHeight="1">
      <c r="B34" s="3" t="inlineStr">
        <is>
          <t>PV of commercial cash flows at launch (Success payoff)</t>
        </is>
      </c>
      <c r="C34" s="24" t="n">
        <v>5500000000</v>
      </c>
    </row>
    <row r="35">
      <c r="B35" s="3" t="inlineStr">
        <is>
          <t>If fail at any stage: salvage value</t>
        </is>
      </c>
      <c r="C35" s="24" t="n">
        <v>100000000</v>
      </c>
    </row>
    <row r="36"/>
    <row r="37"/>
    <row r="38"/>
    <row r="39"/>
    <row r="40"/>
    <row r="41"/>
    <row r="42"/>
    <row r="43"/>
    <row r="44">
      <c r="B44" s="51" t="inlineStr">
        <is>
          <t>3) Decision Tree Calculations (option-style)</t>
        </is>
      </c>
      <c r="C44" s="57" t="n"/>
      <c r="D44" s="57" t="n"/>
      <c r="E44" s="57" t="n"/>
      <c r="F44" s="57" t="n"/>
      <c r="G44" s="57" t="n"/>
      <c r="H44" s="57" t="n"/>
      <c r="I44" s="57" t="n"/>
      <c r="J44" s="57" t="n"/>
      <c r="K44" s="57" t="n"/>
      <c r="L44" s="58" t="n"/>
    </row>
    <row r="45">
      <c r="L45" s="2" t="inlineStr">
        <is>
          <t>Back to Index</t>
        </is>
      </c>
    </row>
    <row r="46">
      <c r="B46" s="56" t="inlineStr">
        <is>
          <t>Backward induction approach (teaching version): compute expected value at each node, reflecting staged investments and probabilities.</t>
        </is>
      </c>
      <c r="C46" s="57" t="n"/>
      <c r="D46" s="57" t="n"/>
      <c r="E46" s="57" t="n"/>
      <c r="F46" s="57" t="n"/>
      <c r="G46" s="57" t="n"/>
      <c r="H46" s="57" t="n"/>
      <c r="I46" s="57" t="n"/>
      <c r="J46" s="57" t="n"/>
      <c r="K46" s="57" t="n"/>
      <c r="L46" s="58" t="n"/>
    </row>
    <row r="47"/>
    <row r="48">
      <c r="B48" s="7" t="inlineStr">
        <is>
          <t>Total years from today to Approval</t>
        </is>
      </c>
      <c r="C48" s="26">
        <f>$C$27+$C$30</f>
        <v/>
      </c>
    </row>
    <row r="49">
      <c r="B49" s="7" t="inlineStr">
        <is>
          <t>Total years from today to Launch cashflows</t>
        </is>
      </c>
      <c r="C49" s="26">
        <f>$C$27+$C$30+$C$33</f>
        <v/>
      </c>
    </row>
    <row r="50"/>
    <row r="51"/>
    <row r="52">
      <c r="B52" s="7" t="inlineStr">
        <is>
          <t>Node A: Value at Approval date (₹)</t>
        </is>
      </c>
      <c r="C52" s="27">
        <f>($C$31*($C$34-$C$32))+((1-$C$31)*$C$35)</f>
        <v/>
      </c>
    </row>
    <row r="53"/>
    <row r="54"/>
    <row r="55"/>
    <row r="56" ht="29" customHeight="1">
      <c r="B56" s="7" t="inlineStr">
        <is>
          <t>Node P3: PV at Phase III start before Phase III cost (₹)</t>
        </is>
      </c>
      <c r="C56" s="27">
        <f>C52/(1+$C$26)^$C$30</f>
        <v/>
      </c>
    </row>
    <row r="57" ht="29" customHeight="1">
      <c r="B57" s="7" t="inlineStr">
        <is>
          <t>Node P3: Net value at Phase III start after Phase III cost (₹)</t>
        </is>
      </c>
      <c r="C57" s="27">
        <f>C56-$C$29</f>
        <v/>
      </c>
    </row>
    <row r="58"/>
    <row r="59"/>
    <row r="60" ht="29" customHeight="1">
      <c r="B60" s="7" t="inlineStr">
        <is>
          <t>Node Today: Option-adjusted value at valuation date (₹)</t>
        </is>
      </c>
      <c r="C60" s="28">
        <f>(($C$28*(C57/(1+$C$26)^$C$27))+((1-$C$28)*$C$35/(1+$C$26)^$C$27))</f>
        <v/>
      </c>
    </row>
    <row r="61"/>
    <row r="62"/>
    <row r="63"/>
    <row r="64"/>
    <row r="65"/>
    <row r="66">
      <c r="B66" s="51" t="inlineStr">
        <is>
          <t>3B) Simple DCF comparator (for discussion)</t>
        </is>
      </c>
      <c r="C66" s="57" t="n"/>
      <c r="D66" s="57" t="n"/>
      <c r="E66" s="57" t="n"/>
      <c r="F66" s="57" t="n"/>
      <c r="G66" s="57" t="n"/>
      <c r="H66" s="57" t="n"/>
      <c r="I66" s="57" t="n"/>
      <c r="J66" s="57" t="n"/>
      <c r="K66" s="57" t="n"/>
      <c r="L66" s="58" t="n"/>
    </row>
    <row r="67">
      <c r="L67" s="2" t="inlineStr">
        <is>
          <t>Back to Index</t>
        </is>
      </c>
    </row>
    <row r="68">
      <c r="B68" s="56" t="inlineStr">
        <is>
          <t>Comparator: overall success probability × payoff discounted to today, minus discounted expected costs.
Decision trees better capture staged investment and timing.</t>
        </is>
      </c>
      <c r="C68" s="59" t="n"/>
      <c r="D68" s="59" t="n"/>
      <c r="E68" s="59" t="n"/>
      <c r="F68" s="59" t="n"/>
      <c r="G68" s="59" t="n"/>
      <c r="H68" s="59" t="n"/>
      <c r="I68" s="59" t="n"/>
      <c r="J68" s="59" t="n"/>
      <c r="K68" s="59" t="n"/>
      <c r="L68" s="60" t="n"/>
    </row>
    <row r="69">
      <c r="B69" s="63" t="n"/>
      <c r="C69" s="64" t="n"/>
      <c r="D69" s="64" t="n"/>
      <c r="E69" s="64" t="n"/>
      <c r="F69" s="64" t="n"/>
      <c r="G69" s="64" t="n"/>
      <c r="H69" s="64" t="n"/>
      <c r="I69" s="64" t="n"/>
      <c r="J69" s="64" t="n"/>
      <c r="K69" s="64" t="n"/>
      <c r="L69" s="65" t="n"/>
    </row>
    <row r="70"/>
    <row r="71">
      <c r="B71" s="7" t="inlineStr">
        <is>
          <t>Overall success probability</t>
        </is>
      </c>
      <c r="C71" s="29">
        <f>$C$28*$C$31</f>
        <v/>
      </c>
    </row>
    <row r="72">
      <c r="B72" s="7" t="inlineStr">
        <is>
          <t>Naïve PV (₹)</t>
        </is>
      </c>
      <c r="C72" s="27">
        <f>(C71*$C$34)/(1+$C$26)^C49 - ($C$28*$C$29)/(1+$C$26)^$C$27 - ($C$28*$C$31*$C$32)/(1+$C$26)^C48</f>
        <v/>
      </c>
    </row>
    <row r="73"/>
    <row r="74"/>
    <row r="75"/>
    <row r="76"/>
    <row r="77"/>
    <row r="78">
      <c r="B78" s="51" t="inlineStr">
        <is>
          <t>4) Outputs (Option-Adjusted Value)</t>
        </is>
      </c>
      <c r="C78" s="57" t="n"/>
      <c r="D78" s="57" t="n"/>
      <c r="E78" s="57" t="n"/>
      <c r="F78" s="57" t="n"/>
      <c r="G78" s="57" t="n"/>
      <c r="H78" s="57" t="n"/>
      <c r="I78" s="57" t="n"/>
      <c r="J78" s="57" t="n"/>
      <c r="K78" s="57" t="n"/>
      <c r="L78" s="58" t="n"/>
    </row>
    <row r="79">
      <c r="L79" s="2" t="inlineStr">
        <is>
          <t>Back to Index</t>
        </is>
      </c>
    </row>
    <row r="80" ht="15.5" customHeight="1">
      <c r="B80" s="16" t="inlineStr">
        <is>
          <t>Real-options / Decision-tree value (₹)</t>
        </is>
      </c>
      <c r="C80" s="19">
        <f>C60</f>
        <v/>
      </c>
    </row>
    <row r="81">
      <c r="B81" s="16" t="inlineStr">
        <is>
          <t>Naïve DCF comparator (₹)</t>
        </is>
      </c>
      <c r="C81" s="18">
        <f>C72</f>
        <v/>
      </c>
    </row>
    <row r="82">
      <c r="B82" s="16" t="inlineStr">
        <is>
          <t>Option premium (Tree - Naïve)</t>
        </is>
      </c>
      <c r="C82" s="18">
        <f>C80-C81</f>
        <v/>
      </c>
    </row>
    <row r="83"/>
    <row r="84"/>
    <row r="85"/>
    <row r="86"/>
    <row r="87"/>
    <row r="88"/>
    <row r="89"/>
    <row r="90">
      <c r="B90" s="51" t="inlineStr">
        <is>
          <t>5) Checks (PASS/FAIL)</t>
        </is>
      </c>
      <c r="C90" s="57" t="n"/>
      <c r="D90" s="57" t="n"/>
      <c r="E90" s="57" t="n"/>
      <c r="F90" s="57" t="n"/>
      <c r="G90" s="57" t="n"/>
      <c r="H90" s="57" t="n"/>
      <c r="I90" s="57" t="n"/>
      <c r="J90" s="57" t="n"/>
      <c r="K90" s="57" t="n"/>
      <c r="L90" s="58" t="n"/>
    </row>
    <row r="91">
      <c r="L91" s="2" t="inlineStr">
        <is>
          <t>Back to Index</t>
        </is>
      </c>
    </row>
    <row r="92">
      <c r="B92" s="21" t="inlineStr">
        <is>
          <t>Check 1: Probabilities between 0 and 1</t>
        </is>
      </c>
      <c r="C92" s="22">
        <f>IF(AND($C$28&gt;=0,$C$28&lt;=1,$C$31&gt;=0,$C$31&lt;=1),"PASS","FAIL")</f>
        <v/>
      </c>
    </row>
    <row r="93">
      <c r="B93" s="21" t="inlineStr">
        <is>
          <t>Check 2: Discount rate &gt; 0</t>
        </is>
      </c>
      <c r="C93" s="22">
        <f>IF($C$26&gt;0,"PASS","FAIL")</f>
        <v/>
      </c>
    </row>
    <row r="94">
      <c r="B94" s="21" t="inlineStr">
        <is>
          <t>Check 3: Costs and payoff non-negative</t>
        </is>
      </c>
      <c r="C94" s="22">
        <f>IF(AND($C$29&gt;=0,$C$32&gt;=0,$C$34&gt;=0,$C$35&gt;=0),"PASS","FAIL")</f>
        <v/>
      </c>
    </row>
  </sheetData>
  <sheetProtection selectLockedCells="0" selectUnlockedCells="0" sheet="1" objects="1" insertRows="0" insertHyperlinks="1" autoFilter="0" scenarios="1" formatColumns="0" deleteColumns="0" insertColumns="0" pivotTables="0" deleteRows="0" formatCells="0" formatRows="0" sort="0" password="AE3A"/>
  <mergeCells count="12">
    <mergeCell ref="B4:L4"/>
    <mergeCell ref="B44:L44"/>
    <mergeCell ref="B78:L78"/>
    <mergeCell ref="B90:L90"/>
    <mergeCell ref="B2:L2"/>
    <mergeCell ref="B16:L20"/>
    <mergeCell ref="B46:L46"/>
    <mergeCell ref="B22:L22"/>
    <mergeCell ref="B66:L66"/>
    <mergeCell ref="B68:L69"/>
    <mergeCell ref="B14:L14"/>
    <mergeCell ref="B1:L1"/>
  </mergeCells>
  <hyperlinks>
    <hyperlink ref="B5" location="'03_RealOptions_IPRD'!B14" display="1) Problem Context"/>
    <hyperlink ref="B6" location="'03_RealOptions_IPRD'!B22" display="2) Inputs (Probabilities, Costs, Payoffs)"/>
    <hyperlink ref="B7" location="'03_RealOptions_IPRD'!B44" display="3) Decision Tree Calculations"/>
    <hyperlink ref="B8" location="'03_RealOptions_IPRD'!B78" display="4) Outputs (Option-Adjusted Value)"/>
    <hyperlink ref="B9" location="'03_RealOptions_IPRD'!B90" display="5) Checks (PASS/FAIL)"/>
    <hyperlink ref="L15" location="'03_RealOptions_IPRD'!B4" display="Back to Index"/>
    <hyperlink ref="L23" location="'03_RealOptions_IPRD'!B4" display="Back to Index"/>
    <hyperlink ref="L45" location="'03_RealOptions_IPRD'!B4" display="Back to Index"/>
    <hyperlink ref="L67" location="'03_RealOptions_IPRD'!B4" display="Back to Index"/>
    <hyperlink ref="L79" location="'03_RealOptions_IPRD'!B4" display="Back to Index"/>
    <hyperlink ref="L91" location="'03_RealOptions_IPRD'!B4" display="Back to Index"/>
  </hyperlinks>
  <pageMargins left="0.75" right="0.75" top="1" bottom="1" header="0.5" footer="0.5"/>
  <pageSetup orientation="landscape" fitToHeight="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L9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5"/>
  <cols>
    <col width="3" customWidth="1" min="1" max="1"/>
    <col width="42" customWidth="1" min="2" max="2"/>
    <col width="22" customWidth="1" min="3" max="5"/>
    <col width="18" customWidth="1" min="6" max="6"/>
    <col width="22" customWidth="1" min="7" max="7"/>
    <col width="18" customWidth="1" min="8" max="12"/>
  </cols>
  <sheetData>
    <row r="1">
      <c r="B1" s="53" t="inlineStr">
        <is>
          <t>Model 04 — With-and-Without Contract Valuation — Dakshin Renewables PPA (₹)</t>
        </is>
      </c>
      <c r="C1" s="57" t="n"/>
      <c r="D1" s="57" t="n"/>
      <c r="E1" s="57" t="n"/>
      <c r="F1" s="57" t="n"/>
      <c r="G1" s="57" t="n"/>
      <c r="H1" s="57" t="n"/>
      <c r="I1" s="57" t="n"/>
      <c r="J1" s="57" t="n"/>
      <c r="K1" s="57" t="n"/>
      <c r="L1" s="58" t="n"/>
    </row>
    <row r="2">
      <c r="B2" s="54" t="inlineStr">
        <is>
          <t>Each sheet is self-contained: Inputs (Yellow) | Calculations (Green) | Outputs (Blue) | Checks (Orange) | Index + hyperlinks</t>
        </is>
      </c>
      <c r="C2" s="57" t="n"/>
      <c r="D2" s="57" t="n"/>
      <c r="E2" s="57" t="n"/>
      <c r="F2" s="57" t="n"/>
      <c r="G2" s="57" t="n"/>
      <c r="H2" s="57" t="n"/>
      <c r="I2" s="57" t="n"/>
      <c r="J2" s="57" t="n"/>
      <c r="K2" s="57" t="n"/>
      <c r="L2" s="58" t="n"/>
    </row>
    <row r="3"/>
    <row r="4">
      <c r="B4" s="51" t="inlineStr">
        <is>
          <t>INDEX (click to jump)</t>
        </is>
      </c>
      <c r="C4" s="57" t="n"/>
      <c r="D4" s="57" t="n"/>
      <c r="E4" s="57" t="n"/>
      <c r="F4" s="57" t="n"/>
      <c r="G4" s="57" t="n"/>
      <c r="H4" s="57" t="n"/>
      <c r="I4" s="57" t="n"/>
      <c r="J4" s="57" t="n"/>
      <c r="K4" s="57" t="n"/>
      <c r="L4" s="58" t="n"/>
    </row>
    <row r="5">
      <c r="B5" s="1" t="inlineStr">
        <is>
          <t>1) Problem Context</t>
        </is>
      </c>
    </row>
    <row r="6">
      <c r="B6" s="1" t="inlineStr">
        <is>
          <t>2) Inputs &amp; Assumptions</t>
        </is>
      </c>
    </row>
    <row r="7">
      <c r="B7" s="1" t="inlineStr">
        <is>
          <t>3) With vs Without Cash Flows</t>
        </is>
      </c>
    </row>
    <row r="8">
      <c r="B8" s="1" t="inlineStr">
        <is>
          <t>4) Outputs (Contract Value)</t>
        </is>
      </c>
    </row>
    <row r="9">
      <c r="B9" s="1" t="inlineStr">
        <is>
          <t>5) Checks (PASS/FAIL)</t>
        </is>
      </c>
    </row>
    <row r="10"/>
    <row r="11"/>
    <row r="12"/>
    <row r="13"/>
    <row r="14">
      <c r="B14" s="51" t="inlineStr">
        <is>
          <t>1) Problem Context</t>
        </is>
      </c>
      <c r="C14" s="57" t="n"/>
      <c r="D14" s="57" t="n"/>
      <c r="E14" s="57" t="n"/>
      <c r="F14" s="57" t="n"/>
      <c r="G14" s="57" t="n"/>
      <c r="H14" s="57" t="n"/>
      <c r="I14" s="57" t="n"/>
      <c r="J14" s="57" t="n"/>
      <c r="K14" s="57" t="n"/>
      <c r="L14" s="58" t="n"/>
    </row>
    <row r="15">
      <c r="L15" s="2" t="inlineStr">
        <is>
          <t>Back to Index</t>
        </is>
      </c>
    </row>
    <row r="16">
      <c r="B16" s="55" t="inlineStr">
        <is>
          <t>Dakshin Renewables Ltd. operates solar plants with a long-term Power Purchase Agreement (PPA) at a tariff above current market auction prices.
Value the PPA using a With-and-Without approach: compare cash flows with the PPA tariff versus cash flows under a market tariff scenario, and discount the incremental cash flows over the remaining contract life.</t>
        </is>
      </c>
      <c r="C16" s="59" t="n"/>
      <c r="D16" s="59" t="n"/>
      <c r="E16" s="59" t="n"/>
      <c r="F16" s="59" t="n"/>
      <c r="G16" s="59" t="n"/>
      <c r="H16" s="59" t="n"/>
      <c r="I16" s="59" t="n"/>
      <c r="J16" s="59" t="n"/>
      <c r="K16" s="59" t="n"/>
      <c r="L16" s="60" t="n"/>
    </row>
    <row r="17">
      <c r="B17" s="61" t="n"/>
      <c r="L17" s="62" t="n"/>
    </row>
    <row r="18">
      <c r="B18" s="61" t="n"/>
      <c r="L18" s="62" t="n"/>
    </row>
    <row r="19">
      <c r="B19" s="61" t="n"/>
      <c r="L19" s="62" t="n"/>
    </row>
    <row r="20">
      <c r="B20" s="63" t="n"/>
      <c r="C20" s="64" t="n"/>
      <c r="D20" s="64" t="n"/>
      <c r="E20" s="64" t="n"/>
      <c r="F20" s="64" t="n"/>
      <c r="G20" s="64" t="n"/>
      <c r="H20" s="64" t="n"/>
      <c r="I20" s="64" t="n"/>
      <c r="J20" s="64" t="n"/>
      <c r="K20" s="64" t="n"/>
      <c r="L20" s="65" t="n"/>
    </row>
    <row r="21"/>
    <row r="22">
      <c r="B22" s="51" t="inlineStr">
        <is>
          <t>2) Inputs &amp; Assumptions (enter ONLY in yellow cells)</t>
        </is>
      </c>
      <c r="C22" s="57" t="n"/>
      <c r="D22" s="57" t="n"/>
      <c r="E22" s="57" t="n"/>
      <c r="F22" s="57" t="n"/>
      <c r="G22" s="57" t="n"/>
      <c r="H22" s="57" t="n"/>
      <c r="I22" s="57" t="n"/>
      <c r="J22" s="57" t="n"/>
      <c r="K22" s="57" t="n"/>
      <c r="L22" s="58" t="n"/>
    </row>
    <row r="23">
      <c r="L23" s="2" t="inlineStr">
        <is>
          <t>Back to Index</t>
        </is>
      </c>
    </row>
    <row r="24">
      <c r="B24" s="3" t="inlineStr">
        <is>
          <t>Valuation Date (text)</t>
        </is>
      </c>
      <c r="C24" s="4" t="inlineStr">
        <is>
          <t>21-Dec-2025</t>
        </is>
      </c>
    </row>
    <row r="25">
      <c r="B25" s="3" t="inlineStr">
        <is>
          <t>Currency</t>
        </is>
      </c>
      <c r="C25" s="4" t="inlineStr">
        <is>
          <t>₹ (Indian Rupee)</t>
        </is>
      </c>
    </row>
    <row r="26">
      <c r="B26" s="3" t="inlineStr">
        <is>
          <t>Remaining Contract Life (years)</t>
        </is>
      </c>
      <c r="C26" s="5" t="n">
        <v>12</v>
      </c>
    </row>
    <row r="27">
      <c r="B27" s="3" t="inlineStr">
        <is>
          <t>Annual generation (million kWh)</t>
        </is>
      </c>
      <c r="C27" s="5" t="n">
        <v>220</v>
      </c>
    </row>
    <row r="28">
      <c r="B28" s="3" t="inlineStr">
        <is>
          <t>PPA Tariff (₹/kWh)</t>
        </is>
      </c>
      <c r="C28" s="30" t="n">
        <v>5.1</v>
      </c>
    </row>
    <row r="29">
      <c r="B29" s="3" t="inlineStr">
        <is>
          <t>Market Tariff (₹/kWh)</t>
        </is>
      </c>
      <c r="C29" s="30" t="n">
        <v>3.2</v>
      </c>
    </row>
    <row r="30">
      <c r="B30" s="3" t="inlineStr">
        <is>
          <t>Operating cost (₹/kWh)</t>
        </is>
      </c>
      <c r="C30" s="30" t="n">
        <v>1.1</v>
      </c>
    </row>
    <row r="31">
      <c r="B31" s="3" t="inlineStr">
        <is>
          <t>Corporate Tax Rate</t>
        </is>
      </c>
      <c r="C31" s="6" t="n">
        <v>0.25</v>
      </c>
    </row>
    <row r="32">
      <c r="B32" s="3" t="inlineStr">
        <is>
          <t>Discount Rate (contract risk)</t>
        </is>
      </c>
      <c r="C32" s="6" t="n">
        <v>0.12</v>
      </c>
    </row>
    <row r="33">
      <c r="B33" s="3" t="inlineStr">
        <is>
          <t>Counterparty default probability (annual)</t>
        </is>
      </c>
      <c r="C33" s="6" t="n">
        <v>0.02</v>
      </c>
    </row>
    <row r="34">
      <c r="B34" s="3" t="inlineStr">
        <is>
          <t>Recovery rate if default occurs</t>
        </is>
      </c>
      <c r="C34" s="6" t="n">
        <v>0.3</v>
      </c>
    </row>
    <row r="35"/>
    <row r="36"/>
    <row r="37"/>
    <row r="38"/>
    <row r="39"/>
    <row r="40"/>
    <row r="41"/>
    <row r="42">
      <c r="B42" s="51" t="inlineStr">
        <is>
          <t>3) With vs Without Cash Flows (incremental benefit)</t>
        </is>
      </c>
      <c r="C42" s="57" t="n"/>
      <c r="D42" s="57" t="n"/>
      <c r="E42" s="57" t="n"/>
      <c r="F42" s="57" t="n"/>
      <c r="G42" s="57" t="n"/>
      <c r="H42" s="57" t="n"/>
      <c r="I42" s="57" t="n"/>
      <c r="J42" s="57" t="n"/>
      <c r="K42" s="57" t="n"/>
      <c r="L42" s="58" t="n"/>
    </row>
    <row r="43">
      <c r="L43" s="2" t="inlineStr">
        <is>
          <t>Back to Index</t>
        </is>
      </c>
    </row>
    <row r="44">
      <c r="B44" s="9" t="inlineStr">
        <is>
          <t>Year</t>
        </is>
      </c>
      <c r="C44" s="9" t="inlineStr">
        <is>
          <t>Rev WITH PPA (₹)</t>
        </is>
      </c>
      <c r="D44" s="9" t="inlineStr">
        <is>
          <t>Rev WITHOUT (₹)</t>
        </is>
      </c>
      <c r="E44" s="9" t="inlineStr">
        <is>
          <t>Opex (₹)</t>
        </is>
      </c>
      <c r="F44" s="9" t="inlineStr">
        <is>
          <t>EBIT diff (₹)</t>
        </is>
      </c>
      <c r="G44" s="9" t="inlineStr">
        <is>
          <t>After-tax diff (₹)</t>
        </is>
      </c>
      <c r="H44" s="9" t="inlineStr">
        <is>
          <t>Default adj factor</t>
        </is>
      </c>
      <c r="I44" s="9" t="inlineStr">
        <is>
          <t>Expected diff (₹)</t>
        </is>
      </c>
      <c r="J44" s="9" t="inlineStr">
        <is>
          <t>Discount factor</t>
        </is>
      </c>
      <c r="K44" s="9" t="inlineStr">
        <is>
          <t>PV (₹)</t>
        </is>
      </c>
    </row>
    <row r="45">
      <c r="B45" s="10" t="n">
        <v>1</v>
      </c>
      <c r="C45" s="12">
        <f>$C$27*1000000*$C$28</f>
        <v/>
      </c>
      <c r="D45" s="12">
        <f>$C$27*1000000*$C$29</f>
        <v/>
      </c>
      <c r="E45" s="12">
        <f>$C$27*1000000*$C$30</f>
        <v/>
      </c>
      <c r="F45" s="12">
        <f>(C45-D45)</f>
        <v/>
      </c>
      <c r="G45" s="12">
        <f>F45*(1-$C$31)</f>
        <v/>
      </c>
      <c r="H45" s="13">
        <f>(1-$C$33)^0 + (1-(1-$C$33)^0)*$C$34</f>
        <v/>
      </c>
      <c r="I45" s="12">
        <f>G45*H45</f>
        <v/>
      </c>
      <c r="J45" s="13">
        <f>1/(1+$C$32)^1</f>
        <v/>
      </c>
      <c r="K45" s="12">
        <f>I45*J45</f>
        <v/>
      </c>
      <c r="L45" s="56" t="inlineStr">
        <is>
          <t>Sticky note: Incremental cash flow = (PPA tariff − market tariff) × generation, tax-effected.
Default adjustment is simplified for class: combines survival and recovery effects.</t>
        </is>
      </c>
    </row>
    <row r="46">
      <c r="B46" s="10" t="n">
        <v>2</v>
      </c>
      <c r="C46" s="12">
        <f>$C$27*1000000*$C$28</f>
        <v/>
      </c>
      <c r="D46" s="12">
        <f>$C$27*1000000*$C$29</f>
        <v/>
      </c>
      <c r="E46" s="12">
        <f>$C$27*1000000*$C$30</f>
        <v/>
      </c>
      <c r="F46" s="12">
        <f>(C46-D46)</f>
        <v/>
      </c>
      <c r="G46" s="12">
        <f>F46*(1-$C$31)</f>
        <v/>
      </c>
      <c r="H46" s="13">
        <f>(1-$C$33)^1 + (1-(1-$C$33)^1)*$C$34</f>
        <v/>
      </c>
      <c r="I46" s="12">
        <f>G46*H46</f>
        <v/>
      </c>
      <c r="J46" s="13">
        <f>1/(1+$C$32)^2</f>
        <v/>
      </c>
      <c r="K46" s="12">
        <f>I46*J46</f>
        <v/>
      </c>
      <c r="L46" s="66" t="n"/>
    </row>
    <row r="47">
      <c r="B47" s="10" t="n">
        <v>3</v>
      </c>
      <c r="C47" s="12">
        <f>$C$27*1000000*$C$28</f>
        <v/>
      </c>
      <c r="D47" s="12">
        <f>$C$27*1000000*$C$29</f>
        <v/>
      </c>
      <c r="E47" s="12">
        <f>$C$27*1000000*$C$30</f>
        <v/>
      </c>
      <c r="F47" s="12">
        <f>(C47-D47)</f>
        <v/>
      </c>
      <c r="G47" s="12">
        <f>F47*(1-$C$31)</f>
        <v/>
      </c>
      <c r="H47" s="13">
        <f>(1-$C$33)^2 + (1-(1-$C$33)^2)*$C$34</f>
        <v/>
      </c>
      <c r="I47" s="12">
        <f>G47*H47</f>
        <v/>
      </c>
      <c r="J47" s="13">
        <f>1/(1+$C$32)^3</f>
        <v/>
      </c>
      <c r="K47" s="12">
        <f>I47*J47</f>
        <v/>
      </c>
      <c r="L47" s="66" t="n"/>
    </row>
    <row r="48">
      <c r="B48" s="10" t="n">
        <v>4</v>
      </c>
      <c r="C48" s="12">
        <f>$C$27*1000000*$C$28</f>
        <v/>
      </c>
      <c r="D48" s="12">
        <f>$C$27*1000000*$C$29</f>
        <v/>
      </c>
      <c r="E48" s="12">
        <f>$C$27*1000000*$C$30</f>
        <v/>
      </c>
      <c r="F48" s="12">
        <f>(C48-D48)</f>
        <v/>
      </c>
      <c r="G48" s="12">
        <f>F48*(1-$C$31)</f>
        <v/>
      </c>
      <c r="H48" s="13">
        <f>(1-$C$33)^3 + (1-(1-$C$33)^3)*$C$34</f>
        <v/>
      </c>
      <c r="I48" s="12">
        <f>G48*H48</f>
        <v/>
      </c>
      <c r="J48" s="13">
        <f>1/(1+$C$32)^4</f>
        <v/>
      </c>
      <c r="K48" s="12">
        <f>I48*J48</f>
        <v/>
      </c>
      <c r="L48" s="66" t="n"/>
    </row>
    <row r="49">
      <c r="B49" s="10" t="n">
        <v>5</v>
      </c>
      <c r="C49" s="12">
        <f>$C$27*1000000*$C$28</f>
        <v/>
      </c>
      <c r="D49" s="12">
        <f>$C$27*1000000*$C$29</f>
        <v/>
      </c>
      <c r="E49" s="12">
        <f>$C$27*1000000*$C$30</f>
        <v/>
      </c>
      <c r="F49" s="12">
        <f>(C49-D49)</f>
        <v/>
      </c>
      <c r="G49" s="12">
        <f>F49*(1-$C$31)</f>
        <v/>
      </c>
      <c r="H49" s="13">
        <f>(1-$C$33)^4 + (1-(1-$C$33)^4)*$C$34</f>
        <v/>
      </c>
      <c r="I49" s="12">
        <f>G49*H49</f>
        <v/>
      </c>
      <c r="J49" s="13">
        <f>1/(1+$C$32)^5</f>
        <v/>
      </c>
      <c r="K49" s="12">
        <f>I49*J49</f>
        <v/>
      </c>
      <c r="L49" s="66" t="n"/>
    </row>
    <row r="50">
      <c r="B50" s="10" t="n">
        <v>6</v>
      </c>
      <c r="C50" s="12">
        <f>$C$27*1000000*$C$28</f>
        <v/>
      </c>
      <c r="D50" s="12">
        <f>$C$27*1000000*$C$29</f>
        <v/>
      </c>
      <c r="E50" s="12">
        <f>$C$27*1000000*$C$30</f>
        <v/>
      </c>
      <c r="F50" s="12">
        <f>(C50-D50)</f>
        <v/>
      </c>
      <c r="G50" s="12">
        <f>F50*(1-$C$31)</f>
        <v/>
      </c>
      <c r="H50" s="13">
        <f>(1-$C$33)^5 + (1-(1-$C$33)^5)*$C$34</f>
        <v/>
      </c>
      <c r="I50" s="12">
        <f>G50*H50</f>
        <v/>
      </c>
      <c r="J50" s="13">
        <f>1/(1+$C$32)^6</f>
        <v/>
      </c>
      <c r="K50" s="12">
        <f>I50*J50</f>
        <v/>
      </c>
      <c r="L50" s="67" t="n"/>
    </row>
    <row r="51">
      <c r="B51" s="10" t="n">
        <v>7</v>
      </c>
      <c r="C51" s="12">
        <f>$C$27*1000000*$C$28</f>
        <v/>
      </c>
      <c r="D51" s="12">
        <f>$C$27*1000000*$C$29</f>
        <v/>
      </c>
      <c r="E51" s="12">
        <f>$C$27*1000000*$C$30</f>
        <v/>
      </c>
      <c r="F51" s="12">
        <f>(C51-D51)</f>
        <v/>
      </c>
      <c r="G51" s="12">
        <f>F51*(1-$C$31)</f>
        <v/>
      </c>
      <c r="H51" s="13">
        <f>(1-$C$33)^6 + (1-(1-$C$33)^6)*$C$34</f>
        <v/>
      </c>
      <c r="I51" s="12">
        <f>G51*H51</f>
        <v/>
      </c>
      <c r="J51" s="13">
        <f>1/(1+$C$32)^7</f>
        <v/>
      </c>
      <c r="K51" s="12">
        <f>I51*J51</f>
        <v/>
      </c>
    </row>
    <row r="52">
      <c r="B52" s="10" t="n">
        <v>8</v>
      </c>
      <c r="C52" s="12">
        <f>$C$27*1000000*$C$28</f>
        <v/>
      </c>
      <c r="D52" s="12">
        <f>$C$27*1000000*$C$29</f>
        <v/>
      </c>
      <c r="E52" s="12">
        <f>$C$27*1000000*$C$30</f>
        <v/>
      </c>
      <c r="F52" s="12">
        <f>(C52-D52)</f>
        <v/>
      </c>
      <c r="G52" s="12">
        <f>F52*(1-$C$31)</f>
        <v/>
      </c>
      <c r="H52" s="13">
        <f>(1-$C$33)^7 + (1-(1-$C$33)^7)*$C$34</f>
        <v/>
      </c>
      <c r="I52" s="12">
        <f>G52*H52</f>
        <v/>
      </c>
      <c r="J52" s="13">
        <f>1/(1+$C$32)^8</f>
        <v/>
      </c>
      <c r="K52" s="12">
        <f>I52*J52</f>
        <v/>
      </c>
    </row>
    <row r="53">
      <c r="B53" s="10" t="n">
        <v>9</v>
      </c>
      <c r="C53" s="12">
        <f>$C$27*1000000*$C$28</f>
        <v/>
      </c>
      <c r="D53" s="12">
        <f>$C$27*1000000*$C$29</f>
        <v/>
      </c>
      <c r="E53" s="12">
        <f>$C$27*1000000*$C$30</f>
        <v/>
      </c>
      <c r="F53" s="12">
        <f>(C53-D53)</f>
        <v/>
      </c>
      <c r="G53" s="12">
        <f>F53*(1-$C$31)</f>
        <v/>
      </c>
      <c r="H53" s="13">
        <f>(1-$C$33)^8 + (1-(1-$C$33)^8)*$C$34</f>
        <v/>
      </c>
      <c r="I53" s="12">
        <f>G53*H53</f>
        <v/>
      </c>
      <c r="J53" s="13">
        <f>1/(1+$C$32)^9</f>
        <v/>
      </c>
      <c r="K53" s="12">
        <f>I53*J53</f>
        <v/>
      </c>
    </row>
    <row r="54">
      <c r="B54" s="10" t="n">
        <v>10</v>
      </c>
      <c r="C54" s="12">
        <f>$C$27*1000000*$C$28</f>
        <v/>
      </c>
      <c r="D54" s="12">
        <f>$C$27*1000000*$C$29</f>
        <v/>
      </c>
      <c r="E54" s="12">
        <f>$C$27*1000000*$C$30</f>
        <v/>
      </c>
      <c r="F54" s="12">
        <f>(C54-D54)</f>
        <v/>
      </c>
      <c r="G54" s="12">
        <f>F54*(1-$C$31)</f>
        <v/>
      </c>
      <c r="H54" s="13">
        <f>(1-$C$33)^9 + (1-(1-$C$33)^9)*$C$34</f>
        <v/>
      </c>
      <c r="I54" s="12">
        <f>G54*H54</f>
        <v/>
      </c>
      <c r="J54" s="13">
        <f>1/(1+$C$32)^10</f>
        <v/>
      </c>
      <c r="K54" s="12">
        <f>I54*J54</f>
        <v/>
      </c>
    </row>
    <row r="55">
      <c r="B55" s="10" t="n">
        <v>11</v>
      </c>
      <c r="C55" s="12">
        <f>$C$27*1000000*$C$28</f>
        <v/>
      </c>
      <c r="D55" s="12">
        <f>$C$27*1000000*$C$29</f>
        <v/>
      </c>
      <c r="E55" s="12">
        <f>$C$27*1000000*$C$30</f>
        <v/>
      </c>
      <c r="F55" s="12">
        <f>(C55-D55)</f>
        <v/>
      </c>
      <c r="G55" s="12">
        <f>F55*(1-$C$31)</f>
        <v/>
      </c>
      <c r="H55" s="13">
        <f>(1-$C$33)^10 + (1-(1-$C$33)^10)*$C$34</f>
        <v/>
      </c>
      <c r="I55" s="12">
        <f>G55*H55</f>
        <v/>
      </c>
      <c r="J55" s="13">
        <f>1/(1+$C$32)^11</f>
        <v/>
      </c>
      <c r="K55" s="12">
        <f>I55*J55</f>
        <v/>
      </c>
    </row>
    <row r="56">
      <c r="B56" s="10" t="n">
        <v>12</v>
      </c>
      <c r="C56" s="12">
        <f>$C$27*1000000*$C$28</f>
        <v/>
      </c>
      <c r="D56" s="12">
        <f>$C$27*1000000*$C$29</f>
        <v/>
      </c>
      <c r="E56" s="12">
        <f>$C$27*1000000*$C$30</f>
        <v/>
      </c>
      <c r="F56" s="12">
        <f>(C56-D56)</f>
        <v/>
      </c>
      <c r="G56" s="12">
        <f>F56*(1-$C$31)</f>
        <v/>
      </c>
      <c r="H56" s="13">
        <f>(1-$C$33)^11 + (1-(1-$C$33)^11)*$C$34</f>
        <v/>
      </c>
      <c r="I56" s="12">
        <f>G56*H56</f>
        <v/>
      </c>
      <c r="J56" s="13">
        <f>1/(1+$C$32)^12</f>
        <v/>
      </c>
      <c r="K56" s="12">
        <f>I56*J56</f>
        <v/>
      </c>
    </row>
    <row r="57"/>
    <row r="58"/>
    <row r="59"/>
    <row r="60"/>
    <row r="61"/>
    <row r="62"/>
    <row r="63"/>
    <row r="64"/>
    <row r="65"/>
    <row r="66"/>
    <row r="67"/>
    <row r="68"/>
    <row r="69"/>
    <row r="70"/>
    <row r="71"/>
    <row r="72"/>
    <row r="73"/>
    <row r="74"/>
    <row r="75"/>
    <row r="76">
      <c r="B76" s="51" t="inlineStr">
        <is>
          <t>4) Outputs (Contract Value)</t>
        </is>
      </c>
      <c r="C76" s="57" t="n"/>
      <c r="D76" s="57" t="n"/>
      <c r="E76" s="57" t="n"/>
      <c r="F76" s="57" t="n"/>
      <c r="G76" s="57" t="n"/>
      <c r="H76" s="57" t="n"/>
      <c r="I76" s="57" t="n"/>
      <c r="J76" s="57" t="n"/>
      <c r="K76" s="57" t="n"/>
      <c r="L76" s="58" t="n"/>
    </row>
    <row r="77">
      <c r="L77" s="2" t="inlineStr">
        <is>
          <t>Back to Index</t>
        </is>
      </c>
    </row>
    <row r="78" ht="29" customHeight="1">
      <c r="B78" s="16" t="inlineStr">
        <is>
          <t>PV of expected incremental cash flows (PPA contract value)</t>
        </is>
      </c>
      <c r="C78" s="19">
        <f>SUM(K45:K56)</f>
        <v/>
      </c>
    </row>
    <row r="79">
      <c r="B79" s="16" t="inlineStr">
        <is>
          <t>Year-1 expected after-tax incremental benefit</t>
        </is>
      </c>
      <c r="C79" s="18">
        <f>I45</f>
        <v/>
      </c>
    </row>
    <row r="80"/>
    <row r="81"/>
    <row r="82"/>
    <row r="83"/>
    <row r="84"/>
    <row r="85"/>
    <row r="86"/>
    <row r="87"/>
    <row r="88">
      <c r="B88" s="51" t="inlineStr">
        <is>
          <t>5) Checks (PASS/FAIL)</t>
        </is>
      </c>
      <c r="C88" s="57" t="n"/>
      <c r="D88" s="57" t="n"/>
      <c r="E88" s="57" t="n"/>
      <c r="F88" s="57" t="n"/>
      <c r="G88" s="57" t="n"/>
      <c r="H88" s="57" t="n"/>
      <c r="I88" s="57" t="n"/>
      <c r="J88" s="57" t="n"/>
      <c r="K88" s="57" t="n"/>
      <c r="L88" s="58" t="n"/>
    </row>
    <row r="89">
      <c r="L89" s="2" t="inlineStr">
        <is>
          <t>Back to Index</t>
        </is>
      </c>
    </row>
    <row r="90">
      <c r="B90" s="21" t="inlineStr">
        <is>
          <t>Check 1: PPA tariff &gt;= market tariff</t>
        </is>
      </c>
      <c r="C90" s="22">
        <f>IF($C$28&gt;=$C$29,"PASS","FAIL")</f>
        <v/>
      </c>
    </row>
    <row r="91">
      <c r="B91" s="21" t="inlineStr">
        <is>
          <t>Check 2: Discount rate &gt; 0</t>
        </is>
      </c>
      <c r="C91" s="22">
        <f>IF($C$32&gt;0,"PASS","FAIL")</f>
        <v/>
      </c>
    </row>
    <row r="92" ht="29" customHeight="1">
      <c r="B92" s="21" t="inlineStr">
        <is>
          <t>Check 3: Default probability between 0% and 100%</t>
        </is>
      </c>
      <c r="C92" s="22">
        <f>IF(AND($C$33&gt;=0,$C$33&lt;=1),"PASS","FAIL")</f>
        <v/>
      </c>
    </row>
  </sheetData>
  <sheetProtection selectLockedCells="0" selectUnlockedCells="0" sheet="1" objects="1" insertRows="0" insertHyperlinks="1" autoFilter="0" scenarios="1" formatColumns="0" deleteColumns="0" insertColumns="0" pivotTables="0" deleteRows="0" formatCells="0" formatRows="0" sort="0" password="AE3A"/>
  <mergeCells count="10">
    <mergeCell ref="B4:L4"/>
    <mergeCell ref="B88:L88"/>
    <mergeCell ref="L45:L50"/>
    <mergeCell ref="B2:L2"/>
    <mergeCell ref="B16:L20"/>
    <mergeCell ref="B42:L42"/>
    <mergeCell ref="B22:L22"/>
    <mergeCell ref="B14:L14"/>
    <mergeCell ref="B76:L76"/>
    <mergeCell ref="B1:L1"/>
  </mergeCells>
  <hyperlinks>
    <hyperlink ref="B5" location="'04_WithWithout_Contracts'!B14" display="1) Problem Context"/>
    <hyperlink ref="B6" location="'04_WithWithout_Contracts'!B22" display="2) Inputs &amp; Assumptions"/>
    <hyperlink ref="B7" location="'04_WithWithout_Contracts'!B42" display="3) With vs Without Cash Flows"/>
    <hyperlink ref="B8" location="'04_WithWithout_Contracts'!B76" display="4) Outputs (Contract Value)"/>
    <hyperlink ref="B9" location="'04_WithWithout_Contracts'!B88" display="5) Checks (PASS/FAIL)"/>
    <hyperlink ref="L15" location="'04_WithWithout_Contracts'!B4" display="Back to Index"/>
    <hyperlink ref="L23" location="'04_WithWithout_Contracts'!B4" display="Back to Index"/>
    <hyperlink ref="L43" location="'04_WithWithout_Contracts'!B4" display="Back to Index"/>
    <hyperlink ref="L77" location="'04_WithWithout_Contracts'!B4" display="Back to Index"/>
    <hyperlink ref="L89" location="'04_WithWithout_Contracts'!B4" display="Back to Index"/>
  </hyperlinks>
  <pageMargins left="0.75" right="0.75" top="1" bottom="1" header="0.5" footer="0.5"/>
  <pageSetup orientation="landscape" fitToHeight="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L10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5"/>
  <cols>
    <col width="3" customWidth="1" min="1" max="1"/>
    <col width="42" customWidth="1" min="2" max="2"/>
    <col width="22" customWidth="1" min="3" max="5"/>
    <col width="18" customWidth="1" min="6" max="6"/>
    <col width="22" customWidth="1" min="7" max="7"/>
    <col width="18" customWidth="1" min="8" max="12"/>
  </cols>
  <sheetData>
    <row r="1">
      <c r="B1" s="53" t="inlineStr">
        <is>
          <t>Model 05 — Intangible Capital Reconstruction &amp; Market-to-Book Bridge — Pragati Digital (₹)</t>
        </is>
      </c>
      <c r="C1" s="57" t="n"/>
      <c r="D1" s="57" t="n"/>
      <c r="E1" s="57" t="n"/>
      <c r="F1" s="57" t="n"/>
      <c r="G1" s="57" t="n"/>
      <c r="H1" s="57" t="n"/>
      <c r="I1" s="57" t="n"/>
      <c r="J1" s="57" t="n"/>
      <c r="K1" s="57" t="n"/>
      <c r="L1" s="58" t="n"/>
    </row>
    <row r="2">
      <c r="B2" s="54" t="inlineStr">
        <is>
          <t>Each sheet is self-contained: Inputs (Yellow) | Calculations (Green) | Outputs (Blue) | Checks (Orange) | Index + hyperlinks</t>
        </is>
      </c>
      <c r="C2" s="57" t="n"/>
      <c r="D2" s="57" t="n"/>
      <c r="E2" s="57" t="n"/>
      <c r="F2" s="57" t="n"/>
      <c r="G2" s="57" t="n"/>
      <c r="H2" s="57" t="n"/>
      <c r="I2" s="57" t="n"/>
      <c r="J2" s="57" t="n"/>
      <c r="K2" s="57" t="n"/>
      <c r="L2" s="58" t="n"/>
    </row>
    <row r="3"/>
    <row r="4">
      <c r="B4" s="51" t="inlineStr">
        <is>
          <t>INDEX (click to jump)</t>
        </is>
      </c>
      <c r="C4" s="57" t="n"/>
      <c r="D4" s="57" t="n"/>
      <c r="E4" s="57" t="n"/>
      <c r="F4" s="57" t="n"/>
      <c r="G4" s="57" t="n"/>
      <c r="H4" s="57" t="n"/>
      <c r="I4" s="57" t="n"/>
      <c r="J4" s="57" t="n"/>
      <c r="K4" s="57" t="n"/>
      <c r="L4" s="58" t="n"/>
    </row>
    <row r="5">
      <c r="B5" s="1" t="inlineStr">
        <is>
          <t>1) Problem Context</t>
        </is>
      </c>
    </row>
    <row r="6" ht="29" customHeight="1">
      <c r="B6" s="1" t="inlineStr">
        <is>
          <t>2) Inputs (Financials &amp; Capitalization Assumptions)</t>
        </is>
      </c>
    </row>
    <row r="7">
      <c r="B7" s="1" t="inlineStr">
        <is>
          <t>3) Capitalize Intangible Investments</t>
        </is>
      </c>
    </row>
    <row r="8">
      <c r="B8" s="1" t="inlineStr">
        <is>
          <t>4) Adjusted ROIC &amp; Book Value</t>
        </is>
      </c>
    </row>
    <row r="9">
      <c r="B9" s="1" t="inlineStr">
        <is>
          <t>5) Outputs (Bridge to Market Value)</t>
        </is>
      </c>
    </row>
    <row r="10">
      <c r="B10" s="1" t="inlineStr">
        <is>
          <t>6) Checks (PASS/FAIL)</t>
        </is>
      </c>
    </row>
    <row r="11"/>
    <row r="12"/>
    <row r="13"/>
    <row r="14">
      <c r="B14" s="51" t="inlineStr">
        <is>
          <t>1) Problem Context</t>
        </is>
      </c>
      <c r="C14" s="57" t="n"/>
      <c r="D14" s="57" t="n"/>
      <c r="E14" s="57" t="n"/>
      <c r="F14" s="57" t="n"/>
      <c r="G14" s="57" t="n"/>
      <c r="H14" s="57" t="n"/>
      <c r="I14" s="57" t="n"/>
      <c r="J14" s="57" t="n"/>
      <c r="K14" s="57" t="n"/>
      <c r="L14" s="58" t="n"/>
    </row>
    <row r="15">
      <c r="L15" s="2" t="inlineStr">
        <is>
          <t>Back to Index</t>
        </is>
      </c>
    </row>
    <row r="16">
      <c r="B16" s="55" t="inlineStr">
        <is>
          <t>Pragati Digital Services Ltd. (listed Indian IT services firm) shows a high market-to-book ratio. Internally generated intangibles (training, process capital, brand) are expensed under accounting rules.
Reconstruct intangible capital by capitalizing selected expenditures, then compute adjusted book value and ROIC, and reconcile the market-to-book gap.</t>
        </is>
      </c>
      <c r="C16" s="59" t="n"/>
      <c r="D16" s="59" t="n"/>
      <c r="E16" s="59" t="n"/>
      <c r="F16" s="59" t="n"/>
      <c r="G16" s="59" t="n"/>
      <c r="H16" s="59" t="n"/>
      <c r="I16" s="59" t="n"/>
      <c r="J16" s="59" t="n"/>
      <c r="K16" s="59" t="n"/>
      <c r="L16" s="60" t="n"/>
    </row>
    <row r="17">
      <c r="B17" s="61" t="n"/>
      <c r="L17" s="62" t="n"/>
    </row>
    <row r="18">
      <c r="B18" s="61" t="n"/>
      <c r="L18" s="62" t="n"/>
    </row>
    <row r="19">
      <c r="B19" s="61" t="n"/>
      <c r="L19" s="62" t="n"/>
    </row>
    <row r="20">
      <c r="B20" s="63" t="n"/>
      <c r="C20" s="64" t="n"/>
      <c r="D20" s="64" t="n"/>
      <c r="E20" s="64" t="n"/>
      <c r="F20" s="64" t="n"/>
      <c r="G20" s="64" t="n"/>
      <c r="H20" s="64" t="n"/>
      <c r="I20" s="64" t="n"/>
      <c r="J20" s="64" t="n"/>
      <c r="K20" s="64" t="n"/>
      <c r="L20" s="65" t="n"/>
    </row>
    <row r="21"/>
    <row r="22">
      <c r="B22" s="51" t="inlineStr">
        <is>
          <t>2) Inputs (enter ONLY in yellow cells)</t>
        </is>
      </c>
      <c r="C22" s="57" t="n"/>
      <c r="D22" s="57" t="n"/>
      <c r="E22" s="57" t="n"/>
      <c r="F22" s="57" t="n"/>
      <c r="G22" s="57" t="n"/>
      <c r="H22" s="57" t="n"/>
      <c r="I22" s="57" t="n"/>
      <c r="J22" s="57" t="n"/>
      <c r="K22" s="57" t="n"/>
      <c r="L22" s="58" t="n"/>
    </row>
    <row r="23">
      <c r="L23" s="2" t="inlineStr">
        <is>
          <t>Back to Index</t>
        </is>
      </c>
    </row>
    <row r="24">
      <c r="B24" s="3" t="inlineStr">
        <is>
          <t>Valuation Year (FY)</t>
        </is>
      </c>
      <c r="C24" s="4" t="inlineStr">
        <is>
          <t>FY2025</t>
        </is>
      </c>
    </row>
    <row r="25">
      <c r="B25" s="3" t="inlineStr">
        <is>
          <t>Currency</t>
        </is>
      </c>
      <c r="C25" s="4" t="inlineStr">
        <is>
          <t>₹ (Indian Rupee)</t>
        </is>
      </c>
    </row>
    <row r="26">
      <c r="B26" s="3" t="inlineStr">
        <is>
          <t>Market Capitalization (₹)</t>
        </is>
      </c>
      <c r="C26" s="24" t="n">
        <v>480000000000</v>
      </c>
    </row>
    <row r="27">
      <c r="B27" s="3" t="inlineStr">
        <is>
          <t>Reported Book Value of Equity (₹)</t>
        </is>
      </c>
      <c r="C27" s="24" t="n">
        <v>125000000000</v>
      </c>
    </row>
    <row r="28">
      <c r="B28" s="3" t="inlineStr">
        <is>
          <t>Reported Invested Capital (₹)</t>
        </is>
      </c>
      <c r="C28" s="24" t="n">
        <v>180000000000</v>
      </c>
    </row>
    <row r="29">
      <c r="B29" s="3" t="inlineStr">
        <is>
          <t>Reported NOPAT (₹)</t>
        </is>
      </c>
      <c r="C29" s="24" t="n">
        <v>30000000000</v>
      </c>
    </row>
    <row r="30">
      <c r="B30" s="3" t="inlineStr">
        <is>
          <t>R&amp;D / Product dev expense (₹, annual)</t>
        </is>
      </c>
      <c r="C30" s="24" t="n">
        <v>9000000000</v>
      </c>
    </row>
    <row r="31" ht="29" customHeight="1">
      <c r="B31" s="3" t="inlineStr">
        <is>
          <t>Training &amp; talent development expense (₹, annual)</t>
        </is>
      </c>
      <c r="C31" s="24" t="n">
        <v>6000000000</v>
      </c>
    </row>
    <row r="32">
      <c r="B32" s="3" t="inlineStr">
        <is>
          <t>Brand / marketing expense (₹, annual)</t>
        </is>
      </c>
      <c r="C32" s="24" t="n">
        <v>3500000000</v>
      </c>
    </row>
    <row r="33">
      <c r="B33" s="3" t="inlineStr">
        <is>
          <t>Capitalization life — R&amp;D (years)</t>
        </is>
      </c>
      <c r="C33" s="5" t="n">
        <v>5</v>
      </c>
    </row>
    <row r="34">
      <c r="B34" s="3" t="inlineStr">
        <is>
          <t>Capitalization life — Training (years)</t>
        </is>
      </c>
      <c r="C34" s="5" t="n">
        <v>3</v>
      </c>
    </row>
    <row r="35">
      <c r="B35" s="3" t="inlineStr">
        <is>
          <t>Capitalization life — Brand (years)</t>
        </is>
      </c>
      <c r="C35" s="5" t="n">
        <v>4</v>
      </c>
    </row>
    <row r="36">
      <c r="B36" s="3" t="inlineStr">
        <is>
          <t>Amortization method</t>
        </is>
      </c>
      <c r="C36" s="4" t="inlineStr">
        <is>
          <t>Straight-line</t>
        </is>
      </c>
    </row>
    <row r="37"/>
    <row r="38"/>
    <row r="39"/>
    <row r="40"/>
    <row r="41"/>
    <row r="42"/>
    <row r="43"/>
    <row r="44">
      <c r="B44" s="51" t="inlineStr">
        <is>
          <t>3) Capitalize Intangible Investments (steady-state approximation)</t>
        </is>
      </c>
      <c r="C44" s="57" t="n"/>
      <c r="D44" s="57" t="n"/>
      <c r="E44" s="57" t="n"/>
      <c r="F44" s="57" t="n"/>
      <c r="G44" s="57" t="n"/>
      <c r="H44" s="57" t="n"/>
      <c r="I44" s="57" t="n"/>
      <c r="J44" s="57" t="n"/>
      <c r="K44" s="57" t="n"/>
      <c r="L44" s="58" t="n"/>
    </row>
    <row r="45">
      <c r="L45" s="2" t="inlineStr">
        <is>
          <t>Back to Index</t>
        </is>
      </c>
    </row>
    <row r="46">
      <c r="B46" s="56" t="inlineStr">
        <is>
          <t>Teaching shortcut (steady-state): Capitalized asset ≈ Annual expense × Life × 0.5 under straight-line.
Interpretation: on average, half the 'vintages' remain unamortized.
Advanced assignment: build a full vintage schedule for each spending category.</t>
        </is>
      </c>
      <c r="C46" s="59" t="n"/>
      <c r="D46" s="59" t="n"/>
      <c r="E46" s="59" t="n"/>
      <c r="F46" s="59" t="n"/>
      <c r="G46" s="59" t="n"/>
      <c r="H46" s="59" t="n"/>
      <c r="I46" s="59" t="n"/>
      <c r="J46" s="59" t="n"/>
      <c r="K46" s="59" t="n"/>
      <c r="L46" s="60" t="n"/>
    </row>
    <row r="47">
      <c r="B47" s="61" t="n"/>
      <c r="L47" s="62" t="n"/>
    </row>
    <row r="48">
      <c r="B48" s="63" t="n"/>
      <c r="C48" s="64" t="n"/>
      <c r="D48" s="64" t="n"/>
      <c r="E48" s="64" t="n"/>
      <c r="F48" s="64" t="n"/>
      <c r="G48" s="64" t="n"/>
      <c r="H48" s="64" t="n"/>
      <c r="I48" s="64" t="n"/>
      <c r="J48" s="64" t="n"/>
      <c r="K48" s="64" t="n"/>
      <c r="L48" s="65" t="n"/>
    </row>
    <row r="49"/>
    <row r="50">
      <c r="B50" s="7" t="inlineStr">
        <is>
          <t>Capitalized R&amp;D asset (₹)</t>
        </is>
      </c>
      <c r="C50" s="27">
        <f>$C$30*$C$33*0.5</f>
        <v/>
      </c>
    </row>
    <row r="51">
      <c r="B51" s="7" t="inlineStr">
        <is>
          <t>Capitalized Training asset (₹)</t>
        </is>
      </c>
      <c r="C51" s="27">
        <f>$C$31*$C$34*0.5</f>
        <v/>
      </c>
    </row>
    <row r="52">
      <c r="B52" s="7" t="inlineStr">
        <is>
          <t>Capitalized Brand asset (₹)</t>
        </is>
      </c>
      <c r="C52" s="27">
        <f>$C$32*$C$35*0.5</f>
        <v/>
      </c>
    </row>
    <row r="53"/>
    <row r="54" ht="15.5" customHeight="1">
      <c r="B54" s="7" t="inlineStr">
        <is>
          <t>Total reconstructed intangible capital (₹)</t>
        </is>
      </c>
      <c r="C54" s="28">
        <f>SUM(C50:C52)</f>
        <v/>
      </c>
    </row>
    <row r="55"/>
    <row r="56">
      <c r="B56" s="7" t="inlineStr">
        <is>
          <t>Implied annual amortization — R&amp;D (₹)</t>
        </is>
      </c>
      <c r="C56" s="27">
        <f>C50/$C$33</f>
        <v/>
      </c>
    </row>
    <row r="57">
      <c r="B57" s="7" t="inlineStr">
        <is>
          <t>Implied annual amortization — Training (₹)</t>
        </is>
      </c>
      <c r="C57" s="27">
        <f>C51/$C$34</f>
        <v/>
      </c>
    </row>
    <row r="58">
      <c r="B58" s="7" t="inlineStr">
        <is>
          <t>Implied annual amortization — Brand (₹)</t>
        </is>
      </c>
      <c r="C58" s="27">
        <f>C52/$C$35</f>
        <v/>
      </c>
    </row>
    <row r="59">
      <c r="B59" s="7" t="inlineStr">
        <is>
          <t>Total implied amortization (₹)</t>
        </is>
      </c>
      <c r="C59" s="27">
        <f>SUM(C56:C58)</f>
        <v/>
      </c>
    </row>
    <row r="60"/>
    <row r="61"/>
    <row r="62"/>
    <row r="63"/>
    <row r="64"/>
    <row r="65"/>
    <row r="66"/>
    <row r="67"/>
    <row r="68"/>
    <row r="69"/>
    <row r="70"/>
    <row r="71"/>
    <row r="72"/>
    <row r="73"/>
    <row r="74">
      <c r="B74" s="51" t="inlineStr">
        <is>
          <t>4) Adjusted ROIC &amp; Book Value</t>
        </is>
      </c>
      <c r="C74" s="57" t="n"/>
      <c r="D74" s="57" t="n"/>
      <c r="E74" s="57" t="n"/>
      <c r="F74" s="57" t="n"/>
      <c r="G74" s="57" t="n"/>
      <c r="H74" s="57" t="n"/>
      <c r="I74" s="57" t="n"/>
      <c r="J74" s="57" t="n"/>
      <c r="K74" s="57" t="n"/>
      <c r="L74" s="58" t="n"/>
    </row>
    <row r="75">
      <c r="L75" s="2" t="inlineStr">
        <is>
          <t>Back to Index</t>
        </is>
      </c>
    </row>
    <row r="76" ht="29" customHeight="1">
      <c r="B76" s="7" t="inlineStr">
        <is>
          <t>Adjusted Invested Capital = Reported + Intangible capital (₹)</t>
        </is>
      </c>
      <c r="C76" s="28">
        <f>$C$28+$C$54</f>
        <v/>
      </c>
    </row>
    <row r="77"/>
    <row r="78" ht="29" customHeight="1">
      <c r="B78" s="7" t="inlineStr">
        <is>
          <t>Adjusted NOPAT (₹) = Reported NOPAT + (R&amp;D+Training+Brand) − Amortization</t>
        </is>
      </c>
      <c r="C78" s="28">
        <f>$C$29+($C$30+$C$31+$C$32)-$C$59</f>
        <v/>
      </c>
    </row>
    <row r="79"/>
    <row r="80">
      <c r="B80" s="7" t="inlineStr">
        <is>
          <t>Reported ROIC</t>
        </is>
      </c>
      <c r="C80" s="29">
        <f>$C$29/$C$28</f>
        <v/>
      </c>
    </row>
    <row r="81" ht="15.5" customHeight="1">
      <c r="B81" s="7" t="inlineStr">
        <is>
          <t>Adjusted ROIC</t>
        </is>
      </c>
      <c r="C81" s="31">
        <f>C78/C76</f>
        <v/>
      </c>
    </row>
    <row r="82"/>
    <row r="83" ht="29" customHeight="1">
      <c r="B83" s="7" t="inlineStr">
        <is>
          <t>Adjusted Book Value of Equity (₹) = Reported BV + Intangible capital</t>
        </is>
      </c>
      <c r="C83" s="28">
        <f>$C$27+$C$54</f>
        <v/>
      </c>
    </row>
    <row r="84"/>
    <row r="85"/>
    <row r="86"/>
    <row r="87"/>
    <row r="88"/>
    <row r="89"/>
    <row r="90"/>
    <row r="91"/>
    <row r="92">
      <c r="B92" s="51" t="inlineStr">
        <is>
          <t>5) Outputs (Bridge to Market Value)</t>
        </is>
      </c>
      <c r="C92" s="57" t="n"/>
      <c r="D92" s="57" t="n"/>
      <c r="E92" s="57" t="n"/>
      <c r="F92" s="57" t="n"/>
      <c r="G92" s="57" t="n"/>
      <c r="H92" s="57" t="n"/>
      <c r="I92" s="57" t="n"/>
      <c r="J92" s="57" t="n"/>
      <c r="K92" s="57" t="n"/>
      <c r="L92" s="58" t="n"/>
    </row>
    <row r="93">
      <c r="L93" s="2" t="inlineStr">
        <is>
          <t>Back to Index</t>
        </is>
      </c>
    </row>
    <row r="94">
      <c r="B94" s="16" t="inlineStr">
        <is>
          <t>Reported Market-to-Book</t>
        </is>
      </c>
      <c r="C94" s="32">
        <f>$C$26/$C$27</f>
        <v/>
      </c>
    </row>
    <row r="95" ht="29" customHeight="1">
      <c r="B95" s="16" t="inlineStr">
        <is>
          <t>Adjusted Market-to-Book (after adding intangible capital)</t>
        </is>
      </c>
      <c r="C95" s="33">
        <f>$C$26/C83</f>
        <v/>
      </c>
    </row>
    <row r="96" ht="29" customHeight="1">
      <c r="B96" s="16" t="inlineStr">
        <is>
          <t>Implied 'unexplained' premium after adjustment (₹)</t>
        </is>
      </c>
      <c r="C96" s="18">
        <f>$C$26-C83</f>
        <v/>
      </c>
    </row>
    <row r="97"/>
    <row r="98"/>
    <row r="99"/>
    <row r="100"/>
    <row r="101"/>
    <row r="102"/>
    <row r="103"/>
    <row r="104">
      <c r="B104" s="51" t="inlineStr">
        <is>
          <t>6) Checks (PASS/FAIL)</t>
        </is>
      </c>
      <c r="C104" s="57" t="n"/>
      <c r="D104" s="57" t="n"/>
      <c r="E104" s="57" t="n"/>
      <c r="F104" s="57" t="n"/>
      <c r="G104" s="57" t="n"/>
      <c r="H104" s="57" t="n"/>
      <c r="I104" s="57" t="n"/>
      <c r="J104" s="57" t="n"/>
      <c r="K104" s="57" t="n"/>
      <c r="L104" s="58" t="n"/>
    </row>
    <row r="105">
      <c r="L105" s="2" t="inlineStr">
        <is>
          <t>Back to Index</t>
        </is>
      </c>
    </row>
    <row r="106">
      <c r="B106" s="21" t="inlineStr">
        <is>
          <t>Check 1: Capitalization lives &gt; 0</t>
        </is>
      </c>
      <c r="C106" s="22">
        <f>IF(AND($C$33&gt;0,$C$34&gt;0,$C$35&gt;0),"PASS","FAIL")</f>
        <v/>
      </c>
    </row>
    <row r="107" ht="29" customHeight="1">
      <c r="B107" s="21" t="inlineStr">
        <is>
          <t>Check 2: Reported invested capital and NOPAT &gt; 0</t>
        </is>
      </c>
      <c r="C107" s="22">
        <f>IF(AND($C$28&gt;0,$C$29&gt;0),"PASS","FAIL")</f>
        <v/>
      </c>
    </row>
    <row r="108" ht="29" customHeight="1">
      <c r="B108" s="21" t="inlineStr">
        <is>
          <t>Check 3: Adjusted BV &lt;= Market cap (if not, investigate)</t>
        </is>
      </c>
      <c r="C108" s="22">
        <f>IF(C83&lt;=$C$26,"PASS","FLAG")</f>
        <v/>
      </c>
    </row>
  </sheetData>
  <sheetProtection selectLockedCells="0" selectUnlockedCells="0" sheet="1" objects="1" insertRows="0" insertHyperlinks="1" autoFilter="0" scenarios="1" formatColumns="0" deleteColumns="0" insertColumns="0" pivotTables="0" deleteRows="0" formatCells="0" formatRows="0" sort="0" password="AE3A"/>
  <mergeCells count="11">
    <mergeCell ref="B4:L4"/>
    <mergeCell ref="B74:L74"/>
    <mergeCell ref="B92:L92"/>
    <mergeCell ref="B44:L44"/>
    <mergeCell ref="B46:L48"/>
    <mergeCell ref="B104:L104"/>
    <mergeCell ref="B2:L2"/>
    <mergeCell ref="B16:L20"/>
    <mergeCell ref="B22:L22"/>
    <mergeCell ref="B14:L14"/>
    <mergeCell ref="B1:L1"/>
  </mergeCells>
  <hyperlinks>
    <hyperlink ref="B5" location="'05_Intangible_Capital_Bridge'!B14" display="1) Problem Context"/>
    <hyperlink ref="B6" location="'05_Intangible_Capital_Bridge'!B22" display="2) Inputs (Financials &amp; Capitalization Assumptions)"/>
    <hyperlink ref="B7" location="'05_Intangible_Capital_Bridge'!B44" display="3) Capitalize Intangible Investments"/>
    <hyperlink ref="B8" location="'05_Intangible_Capital_Bridge'!B74" display="4) Adjusted ROIC &amp; Book Value"/>
    <hyperlink ref="B9" location="'05_Intangible_Capital_Bridge'!B92" display="5) Outputs (Bridge to Market Value)"/>
    <hyperlink ref="B10" location="'05_Intangible_Capital_Bridge'!B104" display="6) Checks (PASS/FAIL)"/>
    <hyperlink ref="L15" location="'05_Intangible_Capital_Bridge'!B4" display="Back to Index"/>
    <hyperlink ref="L23" location="'05_Intangible_Capital_Bridge'!B4" display="Back to Index"/>
    <hyperlink ref="L45" location="'05_Intangible_Capital_Bridge'!B4" display="Back to Index"/>
    <hyperlink ref="L75" location="'05_Intangible_Capital_Bridge'!B4" display="Back to Index"/>
    <hyperlink ref="L93" location="'05_Intangible_Capital_Bridge'!B4" display="Back to Index"/>
    <hyperlink ref="L105" location="'05_Intangible_Capital_Bridge'!B4" display="Back to Index"/>
  </hyperlinks>
  <pageMargins left="0.75" right="0.75" top="1" bottom="1" header="0.5" footer="0.5"/>
  <pageSetup orientation="landscape" fitToHeight="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2025-12-21T10:31:42Z</dcterms:created>
  <dcterms:modified xmlns:dcterms="http://purl.org/dc/terms/" xmlns:xsi="http://www.w3.org/2001/XMLSchema-instance" xsi:type="dcterms:W3CDTF">2026-01-02T07:33:49Z</dcterms:modified>
  <cp:lastModifiedBy>srikanthyadav444p</cp:lastModifiedBy>
</cp:coreProperties>
</file>