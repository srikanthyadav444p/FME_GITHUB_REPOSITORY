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ABC_Crossover" sheetId="3" state="visible" r:id="rId3"/>
    <sheet xmlns:r="http://schemas.openxmlformats.org/officeDocument/2006/relationships" name="P2_Nova_Rationing" sheetId="4" state="visible" r:id="rId4"/>
    <sheet xmlns:r="http://schemas.openxmlformats.org/officeDocument/2006/relationships" name="P3_Zenith_TaxSalvage" sheetId="5" state="visible" r:id="rId5"/>
    <sheet xmlns:r="http://schemas.openxmlformats.org/officeDocument/2006/relationships" name="P4_Greenfield_Sensitivity" sheetId="6" state="visible" r:id="rId6"/>
    <sheet xmlns:r="http://schemas.openxmlformats.org/officeDocument/2006/relationships" name="P5_Nexus_Incremental" sheetId="7" state="visible" r:id="rId7"/>
  </sheets>
  <definedNames/>
  <calcPr calcId="191029" fullCalcOnLoad="1"/>
</workbook>
</file>

<file path=xl/styles.xml><?xml version="1.0" encoding="utf-8"?>
<styleSheet xmlns="http://schemas.openxmlformats.org/spreadsheetml/2006/main">
  <numFmts count="3">
    <numFmt numFmtId="164" formatCode="\₹\ ###,##0"/>
    <numFmt numFmtId="165" formatCode="\₹\ ###,##0.00"/>
    <numFmt numFmtId="166" formatCode="0.000"/>
  </numFmts>
  <fonts count="14">
    <font>
      <name val="Calibri"/>
      <family val="2"/>
      <color theme="1"/>
      <sz val="11"/>
      <scheme val="minor"/>
    </font>
    <font>
      <name val="Calibri"/>
      <family val="2"/>
      <b val="1"/>
      <sz val="16"/>
    </font>
    <font>
      <name val="Calibri"/>
      <family val="2"/>
      <b val="1"/>
      <sz val="11"/>
    </font>
    <font>
      <name val="Calibri"/>
      <family val="2"/>
      <b val="1"/>
      <color rgb="FFFFFFFF"/>
      <sz val="11"/>
    </font>
    <font>
      <name val="Calibri"/>
      <family val="2"/>
      <b val="1"/>
      <color rgb="FF1F4E79"/>
      <sz val="11"/>
      <u val="single"/>
    </font>
    <font>
      <name val="Calibri"/>
      <family val="2"/>
      <b val="1"/>
      <sz val="12"/>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4">
    <fill>
      <patternFill/>
    </fill>
    <fill>
      <patternFill patternType="gray125"/>
    </fill>
    <fill>
      <patternFill patternType="solid">
        <fgColor rgb="FF1F4E79"/>
      </patternFill>
    </fill>
    <fill>
      <patternFill patternType="solid">
        <fgColor rgb="FF2F75B5"/>
      </patternFill>
    </fill>
    <fill>
      <patternFill patternType="solid">
        <fgColor rgb="FFD9EAF7"/>
      </patternFill>
    </fill>
    <fill>
      <patternFill patternType="solid">
        <fgColor rgb="FFEFEFEF"/>
      </patternFill>
    </fill>
    <fill>
      <patternFill patternType="solid">
        <fgColor rgb="FFDFF2D8"/>
      </patternFill>
    </fill>
    <fill>
      <patternFill patternType="solid">
        <fgColor rgb="FFFFE6CC"/>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s>
  <cellStyleXfs count="2">
    <xf numFmtId="0" fontId="6" fillId="0" borderId="0"/>
    <xf numFmtId="0" fontId="6" fillId="0" borderId="0"/>
  </cellStyleXfs>
  <cellXfs count="107">
    <xf numFmtId="0" fontId="0"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0">
      <alignment horizontal="center" vertical="center" wrapText="1"/>
    </xf>
    <xf numFmtId="0" fontId="0" fillId="4" borderId="1" applyAlignment="1" pivotButton="0" quotePrefix="0" xfId="0">
      <alignment horizontal="left" vertical="top" wrapText="1"/>
    </xf>
    <xf numFmtId="10" fontId="0" fillId="4" borderId="1" applyAlignment="1" pivotButton="0" quotePrefix="0" xfId="0">
      <alignment horizontal="left" vertical="top" wrapText="1"/>
    </xf>
    <xf numFmtId="0" fontId="5" fillId="6" borderId="1" applyAlignment="1" pivotButton="0" quotePrefix="0" xfId="0">
      <alignment horizontal="left" vertical="top" wrapText="1"/>
    </xf>
    <xf numFmtId="0" fontId="0"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4" borderId="1" applyAlignment="1" pivotButton="0" quotePrefix="0" xfId="0">
      <alignment horizontal="left" vertical="top" wrapText="1"/>
    </xf>
    <xf numFmtId="0" fontId="3" fillId="4" borderId="1" applyAlignment="1" pivotButton="0" quotePrefix="0" xfId="0">
      <alignment horizontal="left" vertical="top" wrapText="1"/>
    </xf>
    <xf numFmtId="10" fontId="0"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5" borderId="1" applyAlignment="1" pivotButton="0" quotePrefix="0" xfId="0">
      <alignment horizontal="left" vertical="top" wrapText="1"/>
    </xf>
    <xf numFmtId="0" fontId="0" fillId="5" borderId="1" applyAlignment="1" pivotButton="0" quotePrefix="0" xfId="0">
      <alignment horizontal="left" vertical="top" wrapText="1"/>
    </xf>
    <xf numFmtId="0" fontId="5" fillId="5" borderId="1" applyAlignment="1" pivotButton="0" quotePrefix="0" xfId="0">
      <alignment horizontal="left" vertical="top" wrapText="1"/>
    </xf>
    <xf numFmtId="0" fontId="3" fillId="7" borderId="1" applyAlignment="1" pivotButton="0" quotePrefix="0" xfId="0">
      <alignment horizontal="left" vertical="top" wrapText="1"/>
    </xf>
    <xf numFmtId="0" fontId="0" fillId="7" borderId="1" applyAlignment="1" pivotButton="0" quotePrefix="0" xfId="0">
      <alignment horizontal="left" vertical="top" wrapText="1"/>
    </xf>
    <xf numFmtId="0" fontId="2" fillId="4" borderId="1" applyAlignment="1" pivotButton="0" quotePrefix="0" xfId="0">
      <alignment horizontal="left" vertical="top" wrapText="1"/>
    </xf>
    <xf numFmtId="0" fontId="3" fillId="6" borderId="1" applyAlignment="1" pivotButton="0" quotePrefix="0" xfId="0">
      <alignment horizontal="center" vertical="center" wrapText="1"/>
    </xf>
    <xf numFmtId="0" fontId="3" fillId="4" borderId="1" applyAlignment="1" pivotButton="0" quotePrefix="0" xfId="0">
      <alignment horizontal="center" vertical="center" wrapText="1"/>
    </xf>
    <xf numFmtId="10" fontId="0" fillId="6"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right" vertical="center" wrapText="1"/>
    </xf>
    <xf numFmtId="0" fontId="2" fillId="6" borderId="1" applyAlignment="1" pivotButton="0" quotePrefix="0" xfId="0">
      <alignment horizontal="center" vertical="center" wrapText="1"/>
    </xf>
    <xf numFmtId="0" fontId="0" fillId="6" borderId="1" applyAlignment="1" pivotButton="0" quotePrefix="0" xfId="0">
      <alignment horizontal="center" vertical="center" wrapText="1"/>
    </xf>
    <xf numFmtId="164" fontId="0" fillId="6" borderId="1" applyAlignment="1" pivotButton="0" quotePrefix="0" xfId="0">
      <alignment horizontal="right" vertical="center" wrapText="1"/>
    </xf>
    <xf numFmtId="0" fontId="3" fillId="7" borderId="1" applyAlignment="1" pivotButton="0" quotePrefix="0" xfId="0">
      <alignment horizontal="center" vertical="center" wrapText="1"/>
    </xf>
    <xf numFmtId="164" fontId="0" fillId="7" borderId="1" applyAlignment="1" pivotButton="0" quotePrefix="0" xfId="0">
      <alignment horizontal="right" vertical="center" wrapText="1"/>
    </xf>
    <xf numFmtId="0" fontId="0" fillId="7" borderId="1" applyAlignment="1" pivotButton="0" quotePrefix="0" xfId="0">
      <alignment horizontal="center" vertical="center" wrapText="1"/>
    </xf>
    <xf numFmtId="165" fontId="0" fillId="7" borderId="1" applyAlignment="1" pivotButton="0" quotePrefix="0" xfId="0">
      <alignment horizontal="right" vertical="center" wrapText="1"/>
    </xf>
    <xf numFmtId="166" fontId="0" fillId="7" borderId="1" applyAlignment="1" pivotButton="0" quotePrefix="0" xfId="0">
      <alignment horizontal="right" vertical="center" wrapText="1"/>
    </xf>
    <xf numFmtId="0" fontId="0" fillId="0" borderId="0" applyAlignment="1" pivotButton="0" quotePrefix="0" xfId="0">
      <alignment horizontal="center" vertical="center" wrapText="1"/>
    </xf>
    <xf numFmtId="0" fontId="4" fillId="0" borderId="0" applyAlignment="1" pivotButton="0" quotePrefix="0" xfId="0">
      <alignment horizontal="left" vertical="center"/>
    </xf>
    <xf numFmtId="10" fontId="0" fillId="4" borderId="1" applyAlignment="1" pivotButton="0" quotePrefix="0" xfId="0">
      <alignment horizontal="right" vertical="center" wrapText="1"/>
    </xf>
    <xf numFmtId="10" fontId="0" fillId="4" borderId="1" applyAlignment="1" pivotButton="0" quotePrefix="0" xfId="0">
      <alignment horizontal="center" vertical="center" wrapText="1"/>
    </xf>
    <xf numFmtId="165" fontId="0" fillId="6" borderId="1" applyAlignment="1" pivotButton="0" quotePrefix="0" xfId="0">
      <alignment horizontal="right" vertical="center" wrapText="1"/>
    </xf>
    <xf numFmtId="166" fontId="0" fillId="6" borderId="1" applyAlignment="1" pivotButton="0" quotePrefix="0" xfId="0">
      <alignment horizontal="right" vertical="center" wrapText="1"/>
    </xf>
    <xf numFmtId="0" fontId="0" fillId="4" borderId="1" applyAlignment="1" pivotButton="0" quotePrefix="0" xfId="0">
      <alignment horizontal="right" vertical="center" wrapText="1"/>
    </xf>
    <xf numFmtId="10" fontId="0" fillId="6" borderId="1" applyAlignment="1" pivotButton="0" quotePrefix="0" xfId="0">
      <alignment horizontal="right" vertical="center" wrapText="1"/>
    </xf>
    <xf numFmtId="0" fontId="0" fillId="6" borderId="1" applyAlignment="1" pivotButton="0" quotePrefix="0" xfId="0">
      <alignment horizontal="right" vertical="center" wrapText="1"/>
    </xf>
    <xf numFmtId="0" fontId="3" fillId="5" borderId="1" applyAlignment="1" pivotButton="0" quotePrefix="0" xfId="0">
      <alignment horizontal="center" vertical="center" wrapText="1"/>
    </xf>
    <xf numFmtId="0" fontId="0" fillId="5" borderId="1" applyAlignment="1" pivotButton="0" quotePrefix="0" xfId="0">
      <alignment horizontal="right" vertical="center" wrapText="1"/>
    </xf>
    <xf numFmtId="164" fontId="0" fillId="5" borderId="1" applyAlignment="1" pivotButton="0" quotePrefix="0" xfId="0">
      <alignment horizontal="right" vertical="center" wrapText="1"/>
    </xf>
    <xf numFmtId="165" fontId="0" fillId="5" borderId="1" applyAlignment="1" pivotButton="0" quotePrefix="0" xfId="0">
      <alignment horizontal="right" vertical="center" wrapText="1"/>
    </xf>
    <xf numFmtId="164" fontId="0" fillId="6" borderId="1" applyAlignment="1" pivotButton="0" quotePrefix="0" xfId="0">
      <alignment horizontal="center" vertical="center" wrapText="1"/>
    </xf>
    <xf numFmtId="164" fontId="0" fillId="4" borderId="1" applyAlignment="1" pivotButton="0" quotePrefix="0" xfId="0">
      <alignment horizontal="right" vertical="top" wrapText="1"/>
    </xf>
    <xf numFmtId="165" fontId="0" fillId="6" borderId="1" applyAlignment="1" pivotButton="0" quotePrefix="0" xfId="0">
      <alignment horizontal="right" vertical="top" wrapText="1"/>
    </xf>
    <xf numFmtId="166" fontId="0" fillId="6" borderId="1" applyAlignment="1" pivotButton="0" quotePrefix="0" xfId="0">
      <alignment horizontal="right" vertical="top" wrapText="1"/>
    </xf>
    <xf numFmtId="10" fontId="0" fillId="6" borderId="1" applyAlignment="1" pivotButton="0" quotePrefix="0" xfId="0">
      <alignment horizontal="right" vertical="top" wrapText="1"/>
    </xf>
    <xf numFmtId="164" fontId="0" fillId="6" borderId="1" applyAlignment="1" pivotButton="0" quotePrefix="0" xfId="0">
      <alignment horizontal="right" vertical="top" wrapText="1"/>
    </xf>
    <xf numFmtId="164" fontId="0" fillId="5" borderId="1" applyAlignment="1" pivotButton="0" quotePrefix="0" xfId="0">
      <alignment horizontal="right" vertical="top" wrapText="1"/>
    </xf>
    <xf numFmtId="165" fontId="0" fillId="5" borderId="1" applyAlignment="1" pivotButton="0" quotePrefix="0" xfId="0">
      <alignment horizontal="right" vertical="top" wrapText="1"/>
    </xf>
    <xf numFmtId="164" fontId="0" fillId="7" borderId="1" applyAlignment="1" pivotButton="0" quotePrefix="0" xfId="0">
      <alignment horizontal="right" vertical="top" wrapText="1"/>
    </xf>
    <xf numFmtId="165" fontId="0" fillId="7" borderId="1" applyAlignment="1" pivotButton="0" quotePrefix="0" xfId="0">
      <alignment horizontal="right" vertical="top" wrapText="1"/>
    </xf>
    <xf numFmtId="166" fontId="0" fillId="7" borderId="1" applyAlignment="1" pivotButton="0" quotePrefix="0" xfId="0">
      <alignment horizontal="right" vertical="top" wrapText="1"/>
    </xf>
    <xf numFmtId="0" fontId="8" fillId="0" borderId="0" applyAlignment="1" pivotButton="0" quotePrefix="0" xfId="1">
      <alignment vertical="center"/>
    </xf>
    <xf numFmtId="0" fontId="6" fillId="0" borderId="0" pivotButton="0" quotePrefix="0" xfId="1"/>
    <xf numFmtId="0" fontId="9" fillId="0" borderId="0" applyAlignment="1" pivotButton="0" quotePrefix="0" xfId="1">
      <alignment vertical="center"/>
    </xf>
    <xf numFmtId="0" fontId="10" fillId="0" borderId="0" pivotButton="0" quotePrefix="0" xfId="1"/>
    <xf numFmtId="0" fontId="11" fillId="8" borderId="0" applyAlignment="1" pivotButton="0" quotePrefix="0" xfId="0">
      <alignment vertical="center"/>
    </xf>
    <xf numFmtId="0" fontId="12" fillId="0" borderId="0" applyAlignment="1" pivotButton="0" quotePrefix="0" xfId="1">
      <alignment vertical="center"/>
    </xf>
    <xf numFmtId="0" fontId="13" fillId="0" borderId="0" applyAlignment="1" pivotButton="0" quotePrefix="0" xfId="0">
      <alignment wrapText="1"/>
    </xf>
    <xf numFmtId="0" fontId="11" fillId="10" borderId="0" applyAlignment="1" pivotButton="0" quotePrefix="0" xfId="1">
      <alignment vertical="center"/>
    </xf>
    <xf numFmtId="0" fontId="6" fillId="10" borderId="0" pivotButton="0" quotePrefix="0" xfId="1"/>
    <xf numFmtId="0" fontId="11" fillId="11" borderId="0" applyAlignment="1" pivotButton="0" quotePrefix="0" xfId="1">
      <alignment vertical="center"/>
    </xf>
    <xf numFmtId="0" fontId="7" fillId="12" borderId="0" applyAlignment="1" pivotButton="0" quotePrefix="0" xfId="1">
      <alignment vertical="top" wrapText="1"/>
    </xf>
    <xf numFmtId="0" fontId="6" fillId="0" borderId="0" applyAlignment="1" pivotButton="0" quotePrefix="0" xfId="1">
      <alignment horizontal="left" vertical="center" indent="1"/>
    </xf>
    <xf numFmtId="0" fontId="7" fillId="0" borderId="0" pivotButton="0" quotePrefix="0" xfId="1"/>
    <xf numFmtId="0" fontId="7" fillId="0" borderId="0" applyAlignment="1" pivotButton="0" quotePrefix="0" xfId="1">
      <alignment horizontal="left" vertical="center" indent="1"/>
    </xf>
    <xf numFmtId="0" fontId="6" fillId="9" borderId="0" applyAlignment="1" pivotButton="0" quotePrefix="0" xfId="1">
      <alignment horizontal="justify" vertical="justify" wrapText="1"/>
    </xf>
    <xf numFmtId="0" fontId="6" fillId="9" borderId="0" applyAlignment="1" pivotButton="0" quotePrefix="0" xfId="1">
      <alignment horizontal="left" vertical="top" wrapText="1"/>
    </xf>
    <xf numFmtId="0" fontId="6" fillId="13" borderId="0" applyAlignment="1" pivotButton="0" quotePrefix="0" xfId="1">
      <alignment horizontal="justify" vertical="justify"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vertical="top" wrapText="1"/>
    </xf>
    <xf numFmtId="0" fontId="3" fillId="3" borderId="1" applyAlignment="1" pivotButton="0" quotePrefix="0" xfId="0">
      <alignment horizontal="left" vertical="top" wrapText="1"/>
    </xf>
    <xf numFmtId="0" fontId="0" fillId="0" borderId="2" pivotButton="0" quotePrefix="0" xfId="0"/>
    <xf numFmtId="0" fontId="0" fillId="0" borderId="3" pivotButton="0" quotePrefix="0" xfId="0"/>
    <xf numFmtId="0" fontId="3" fillId="5" borderId="1" applyAlignment="1" pivotButton="0" quotePrefix="0" xfId="0">
      <alignment horizontal="left" vertical="top" wrapText="1"/>
    </xf>
    <xf numFmtId="0" fontId="5" fillId="6" borderId="1" applyAlignment="1" pivotButton="0" quotePrefix="0" xfId="0">
      <alignment horizontal="left" vertical="top" wrapText="1"/>
    </xf>
    <xf numFmtId="0" fontId="3" fillId="3" borderId="1" applyAlignment="1" pivotButton="0" quotePrefix="0" xfId="0">
      <alignment horizontal="center" vertical="center" wrapText="1"/>
    </xf>
    <xf numFmtId="0" fontId="0" fillId="6" borderId="1" applyAlignment="1" pivotButton="0" quotePrefix="0" xfId="0">
      <alignment horizontal="left" vertical="top" wrapText="1"/>
    </xf>
    <xf numFmtId="0" fontId="2" fillId="6" borderId="1" applyAlignment="1" pivotButton="0" quotePrefix="0" xfId="0">
      <alignment horizontal="left" vertical="top" wrapText="1"/>
    </xf>
    <xf numFmtId="10" fontId="3" fillId="5" borderId="1" applyAlignment="1" pivotButton="0" quotePrefix="0" xfId="0">
      <alignment horizontal="left" vertical="top" wrapText="1"/>
    </xf>
    <xf numFmtId="0" fontId="0" fillId="6" borderId="1" applyAlignment="1" pivotButton="0" quotePrefix="0" xfId="0">
      <alignment horizontal="center" vertical="center" wrapText="1"/>
    </xf>
    <xf numFmtId="0" fontId="0" fillId="5" borderId="1" applyAlignment="1" pivotButton="0" quotePrefix="0" xfId="0">
      <alignment horizontal="left" vertical="top" wrapText="1"/>
    </xf>
    <xf numFmtId="165" fontId="0" fillId="6" borderId="1" applyAlignment="1" pivotButton="0" quotePrefix="0" xfId="0">
      <alignment horizontal="right" vertical="center" wrapText="1"/>
    </xf>
    <xf numFmtId="166" fontId="0" fillId="6" borderId="1" applyAlignment="1" pivotButton="0" quotePrefix="0" xfId="0">
      <alignment horizontal="right" vertical="center" wrapText="1"/>
    </xf>
    <xf numFmtId="164" fontId="0" fillId="4" borderId="1" applyAlignment="1" pivotButton="0" quotePrefix="0" xfId="0">
      <alignment horizontal="right" vertical="center" wrapText="1"/>
    </xf>
    <xf numFmtId="164" fontId="0" fillId="6" borderId="1" applyAlignment="1" pivotButton="0" quotePrefix="0" xfId="0">
      <alignment horizontal="right" vertical="center" wrapText="1"/>
    </xf>
    <xf numFmtId="164" fontId="0" fillId="5" borderId="1" applyAlignment="1" pivotButton="0" quotePrefix="0" xfId="0">
      <alignment horizontal="right" vertical="center" wrapText="1"/>
    </xf>
    <xf numFmtId="165" fontId="0" fillId="5" borderId="1" applyAlignment="1" pivotButton="0" quotePrefix="0" xfId="0">
      <alignment horizontal="right" vertical="center" wrapText="1"/>
    </xf>
    <xf numFmtId="164" fontId="0" fillId="7" borderId="1" applyAlignment="1" pivotButton="0" quotePrefix="0" xfId="0">
      <alignment horizontal="right" vertical="center" wrapText="1"/>
    </xf>
    <xf numFmtId="165" fontId="0" fillId="7" borderId="1" applyAlignment="1" pivotButton="0" quotePrefix="0" xfId="0">
      <alignment horizontal="right" vertical="center" wrapText="1"/>
    </xf>
    <xf numFmtId="166" fontId="0" fillId="7" borderId="1" applyAlignment="1" pivotButton="0" quotePrefix="0" xfId="0">
      <alignment horizontal="right" vertical="center" wrapText="1"/>
    </xf>
    <xf numFmtId="164" fontId="0" fillId="6" borderId="1" applyAlignment="1" pivotButton="0" quotePrefix="0" xfId="0">
      <alignment horizontal="center" vertical="center" wrapText="1"/>
    </xf>
    <xf numFmtId="165" fontId="0" fillId="6" borderId="1" applyAlignment="1" pivotButton="0" quotePrefix="0" xfId="0">
      <alignment horizontal="right" vertical="top" wrapText="1"/>
    </xf>
    <xf numFmtId="166" fontId="0" fillId="6" borderId="1" applyAlignment="1" pivotButton="0" quotePrefix="0" xfId="0">
      <alignment horizontal="right" vertical="top" wrapText="1"/>
    </xf>
    <xf numFmtId="164" fontId="0" fillId="4" borderId="1" applyAlignment="1" pivotButton="0" quotePrefix="0" xfId="0">
      <alignment horizontal="right" vertical="top" wrapText="1"/>
    </xf>
    <xf numFmtId="164" fontId="0" fillId="6" borderId="1" applyAlignment="1" pivotButton="0" quotePrefix="0" xfId="0">
      <alignment horizontal="right" vertical="top" wrapText="1"/>
    </xf>
    <xf numFmtId="164" fontId="0" fillId="5" borderId="1" applyAlignment="1" pivotButton="0" quotePrefix="0" xfId="0">
      <alignment horizontal="right" vertical="top" wrapText="1"/>
    </xf>
    <xf numFmtId="165" fontId="0" fillId="5" borderId="1" applyAlignment="1" pivotButton="0" quotePrefix="0" xfId="0">
      <alignment horizontal="right" vertical="top" wrapText="1"/>
    </xf>
    <xf numFmtId="164" fontId="0" fillId="7" borderId="1" applyAlignment="1" pivotButton="0" quotePrefix="0" xfId="0">
      <alignment horizontal="right" vertical="top" wrapText="1"/>
    </xf>
    <xf numFmtId="165" fontId="0" fillId="7" borderId="1" applyAlignment="1" pivotButton="0" quotePrefix="0" xfId="0">
      <alignment horizontal="right" vertical="top" wrapText="1"/>
    </xf>
    <xf numFmtId="166" fontId="0" fillId="7" borderId="1" applyAlignment="1" pivotButton="0" quotePrefix="0" xfId="0">
      <alignment horizontal="right" vertical="top"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Instructor Note</author>
  </authors>
  <commentList>
    <comment ref="C5" authorId="0" shapeId="0">
      <text>
        <t>Enter/adjust WACC here (input). All PV/NPV calculations reference this cell.</t>
      </text>
    </comment>
    <comment ref="C6" authorId="0" shapeId="0">
      <text>
        <t>Reinvestment rate used in MIRR (input).</t>
      </text>
    </comment>
    <comment ref="I7" authorId="0" shapeId="0">
      <text>
        <t>NPV = NPV(WACC, CF1..CF5) + CF0</t>
      </text>
    </comment>
    <comment ref="J7" authorId="0" shapeId="0">
      <text>
        <t>NPV = NPV(WACC, CF1..CF5) + CF0</t>
      </text>
    </comment>
    <comment ref="I8" authorId="0" shapeId="0">
      <text>
        <t>PI = PV(inflows) / |Initial Outflow|</t>
      </text>
    </comment>
    <comment ref="J8" authorId="0" shapeId="0">
      <text>
        <t>PI = PV(inflows) / |Initial Outflow|</t>
      </text>
    </comment>
    <comment ref="I9" authorId="0" shapeId="0">
      <text>
        <t>IRR is the discount rate that makes NPV = 0.</t>
      </text>
    </comment>
    <comment ref="J9" authorId="0" shapeId="0">
      <text>
        <t>IRR is the discount rate that makes NPV = 0.</t>
      </text>
    </comment>
    <comment ref="I10" authorId="0" shapeId="0">
      <text>
        <t>MIRR uses WACC for financing and the reinvestment rate for interim cash flows.</t>
      </text>
    </comment>
    <comment ref="J10" authorId="0" shapeId="0">
      <text>
        <t>MIRR uses WACC for financing and the reinvestment rate for interim cash flows.</t>
      </text>
    </comment>
    <comment ref="K13" authorId="0" shapeId="0">
      <text>
        <t>Crossover rate is the discount rate where NPVs of both projects are equal.</t>
      </text>
    </comment>
    <comment ref="E41" authorId="0" shapeId="0">
      <text>
        <t>Tolerance set to ₹5 for rounding.</t>
      </text>
    </comment>
    <comment ref="E42" authorId="0" shapeId="0">
      <text>
        <t>Checks recomputed PI matches reported PI within 0.001.</t>
      </text>
    </comment>
    <comment ref="E43" authorId="0" shapeId="0">
      <text>
        <t>Tolerance set to ₹10 for rounding.</t>
      </text>
    </comment>
  </commentList>
</comments>
</file>

<file path=xl/comments/comment2.xml><?xml version="1.0" encoding="utf-8"?>
<comments xmlns="http://schemas.openxmlformats.org/spreadsheetml/2006/main">
  <authors>
    <author>Instructor Note</author>
  </authors>
  <commentList>
    <comment ref="C5" authorId="0" shapeId="0">
      <text>
        <t>Enter/adjust WACC here (input). All PV/NPV calculations reference this cell.</t>
      </text>
    </comment>
    <comment ref="C6" authorId="0" shapeId="0">
      <text>
        <t>Reinvestment rate used in MIRR (input).</t>
      </text>
    </comment>
    <comment ref="I7" authorId="0" shapeId="0">
      <text>
        <t>NPV = NPV(WACC, CF1..CF5) + CF0</t>
      </text>
    </comment>
    <comment ref="J7" authorId="0" shapeId="0">
      <text>
        <t>NPV = NPV(WACC, CF1..CF5) + CF0</t>
      </text>
    </comment>
    <comment ref="I8" authorId="0" shapeId="0">
      <text>
        <t>PI = PV(inflows) / |Initial Outflow|</t>
      </text>
    </comment>
    <comment ref="J8" authorId="0" shapeId="0">
      <text>
        <t>PI = PV(inflows) / |Initial Outflow|</t>
      </text>
    </comment>
    <comment ref="I9" authorId="0" shapeId="0">
      <text>
        <t>IRR is the discount rate that makes NPV = 0.</t>
      </text>
    </comment>
    <comment ref="J9" authorId="0" shapeId="0">
      <text>
        <t>IRR is the discount rate that makes NPV = 0.</t>
      </text>
    </comment>
    <comment ref="I10" authorId="0" shapeId="0">
      <text>
        <t>MIRR uses WACC for financing and the reinvestment rate for interim cash flows.</t>
      </text>
    </comment>
    <comment ref="J10" authorId="0" shapeId="0">
      <text>
        <t>MIRR uses WACC for financing and the reinvestment rate for interim cash flows.</t>
      </text>
    </comment>
    <comment ref="K13" authorId="0" shapeId="0">
      <text>
        <t>Crossover rate is the discount rate where NPVs of both projects are equal.</t>
      </text>
    </comment>
    <comment ref="I32" authorId="0" shapeId="0">
      <text>
        <t>Assumes divisible projects scale linearly with investment (teaching simplification).</t>
      </text>
    </comment>
    <comment ref="E41" authorId="0" shapeId="0">
      <text>
        <t>Tolerance set to ₹5 for rounding.</t>
      </text>
    </comment>
    <comment ref="E42" authorId="0" shapeId="0">
      <text>
        <t>Checks recomputed PI matches reported PI within 0.001.</t>
      </text>
    </comment>
    <comment ref="E43" authorId="0" shapeId="0">
      <text>
        <t>Tolerance set to ₹10 for rounding.</t>
      </text>
    </comment>
  </commentList>
</comments>
</file>

<file path=xl/comments/comment3.xml><?xml version="1.0" encoding="utf-8"?>
<comments xmlns="http://schemas.openxmlformats.org/spreadsheetml/2006/main">
  <authors>
    <author>Instructor Note</author>
  </authors>
  <commentList>
    <comment ref="C5" authorId="0" shapeId="0">
      <text>
        <t>Enter/adjust WACC here (input). All PV/NPV calculations reference this cell.</t>
      </text>
    </comment>
    <comment ref="C6" authorId="0" shapeId="0">
      <text>
        <t>Reinvestment rate used in MIRR (input).</t>
      </text>
    </comment>
    <comment ref="I7" authorId="0" shapeId="0">
      <text>
        <t>NPV = NPV(WACC, CF1..CF5) + CF0</t>
      </text>
    </comment>
    <comment ref="J7" authorId="0" shapeId="0">
      <text>
        <t>NPV = NPV(WACC, CF1..CF5) + CF0</t>
      </text>
    </comment>
    <comment ref="I8" authorId="0" shapeId="0">
      <text>
        <t>PI = PV(inflows) / |Initial Outflow|</t>
      </text>
    </comment>
    <comment ref="J8" authorId="0" shapeId="0">
      <text>
        <t>PI = PV(inflows) / |Initial Outflow|</t>
      </text>
    </comment>
    <comment ref="I9" authorId="0" shapeId="0">
      <text>
        <t>IRR is the discount rate that makes NPV = 0.</t>
      </text>
    </comment>
    <comment ref="J9" authorId="0" shapeId="0">
      <text>
        <t>IRR is the discount rate that makes NPV = 0.</t>
      </text>
    </comment>
    <comment ref="I10" authorId="0" shapeId="0">
      <text>
        <t>MIRR uses WACC for financing and the reinvestment rate for interim cash flows.</t>
      </text>
    </comment>
    <comment ref="J10" authorId="0" shapeId="0">
      <text>
        <t>MIRR uses WACC for financing and the reinvestment rate for interim cash flows.</t>
      </text>
    </comment>
    <comment ref="K13" authorId="0" shapeId="0">
      <text>
        <t>Crossover rate is the discount rate where NPVs of both projects are equal.</t>
      </text>
    </comment>
    <comment ref="C22" authorId="0" shapeId="0">
      <text>
        <t>After-tax CF = Pre-tax CF × (1 − Tax). Year 5 also includes after-tax salvage.</t>
      </text>
    </comment>
    <comment ref="D22" authorId="0" shapeId="0">
      <text>
        <t>After-tax CF = Pre-tax CF × (1 − Tax). Year 5 also includes after-tax salvage.</t>
      </text>
    </comment>
    <comment ref="C23" authorId="0" shapeId="0">
      <text>
        <t>After-tax CF = Pre-tax CF × (1 − Tax). Year 5 also includes after-tax salvage.</t>
      </text>
    </comment>
    <comment ref="D23" authorId="0" shapeId="0">
      <text>
        <t>After-tax CF = Pre-tax CF × (1 − Tax). Year 5 also includes after-tax salvage.</t>
      </text>
    </comment>
    <comment ref="C24" authorId="0" shapeId="0">
      <text>
        <t>After-tax CF = Pre-tax CF × (1 − Tax). Year 5 also includes after-tax salvage.</t>
      </text>
    </comment>
    <comment ref="D24" authorId="0" shapeId="0">
      <text>
        <t>After-tax CF = Pre-tax CF × (1 − Tax). Year 5 also includes after-tax salvage.</t>
      </text>
    </comment>
    <comment ref="C25" authorId="0" shapeId="0">
      <text>
        <t>After-tax CF = Pre-tax CF × (1 − Tax). Year 5 also includes after-tax salvage.</t>
      </text>
    </comment>
    <comment ref="D25" authorId="0" shapeId="0">
      <text>
        <t>After-tax CF = Pre-tax CF × (1 − Tax). Year 5 also includes after-tax salvage.</t>
      </text>
    </comment>
    <comment ref="C26" authorId="0" shapeId="0">
      <text>
        <t>After-tax CF = Pre-tax CF × (1 − Tax). Year 5 also includes after-tax salvage.</t>
      </text>
    </comment>
    <comment ref="D26" authorId="0" shapeId="0">
      <text>
        <t>After-tax CF = Pre-tax CF × (1 − Tax). Year 5 also includes after-tax salvage.</t>
      </text>
    </comment>
    <comment ref="C27" authorId="0" shapeId="0">
      <text>
        <t>After-tax CF = Pre-tax CF × (1 − Tax). Year 5 also includes after-tax salvage.</t>
      </text>
    </comment>
    <comment ref="D27" authorId="0" shapeId="0">
      <text>
        <t>After-tax CF = Pre-tax CF × (1 − Tax). Year 5 also includes after-tax salvage.</t>
      </text>
    </comment>
    <comment ref="E41" authorId="0" shapeId="0">
      <text>
        <t>Tolerance set to ₹5 for rounding.</t>
      </text>
    </comment>
    <comment ref="E42" authorId="0" shapeId="0">
      <text>
        <t>Checks recomputed PI matches reported PI within 0.001.</t>
      </text>
    </comment>
    <comment ref="E43" authorId="0" shapeId="0">
      <text>
        <t>Tolerance set to ₹10 for rounding.</t>
      </text>
    </comment>
  </commentList>
</comments>
</file>

<file path=xl/comments/comment4.xml><?xml version="1.0" encoding="utf-8"?>
<comments xmlns="http://schemas.openxmlformats.org/spreadsheetml/2006/main">
  <authors>
    <author>Instructor Note</author>
  </authors>
  <commentList>
    <comment ref="C5" authorId="0" shapeId="0">
      <text>
        <t>Enter/adjust WACC here (input). All PV/NPV calculations reference this cell.</t>
      </text>
    </comment>
    <comment ref="C6" authorId="0" shapeId="0">
      <text>
        <t>Reinvestment rate used in MIRR (input).</t>
      </text>
    </comment>
    <comment ref="I7" authorId="0" shapeId="0">
      <text>
        <t>NPV = NPV(WACC, CF1..CF5) + CF0</t>
      </text>
    </comment>
    <comment ref="J7" authorId="0" shapeId="0">
      <text>
        <t>NPV = NPV(WACC, CF1..CF5) + CF0</t>
      </text>
    </comment>
    <comment ref="I8" authorId="0" shapeId="0">
      <text>
        <t>PI = PV(inflows) / |Initial Outflow|</t>
      </text>
    </comment>
    <comment ref="J8" authorId="0" shapeId="0">
      <text>
        <t>PI = PV(inflows) / |Initial Outflow|</t>
      </text>
    </comment>
    <comment ref="I9" authorId="0" shapeId="0">
      <text>
        <t>IRR wrapped with IFERROR + explicit guess to reduce #NUM / convergence issues in Excel.</t>
      </text>
    </comment>
    <comment ref="J9" authorId="0" shapeId="0">
      <text>
        <t>IRR wrapped with IFERROR + explicit guess to reduce #NUM / convergence issues in Excel.</t>
      </text>
    </comment>
    <comment ref="I10" authorId="0" shapeId="0">
      <text>
        <t>MIRR uses WACC for financing and the reinvestment rate for interim cash flows.</t>
      </text>
    </comment>
    <comment ref="J10" authorId="0" shapeId="0">
      <text>
        <t>MIRR uses WACC for financing and the reinvestment rate for interim cash flows.</t>
      </text>
    </comment>
    <comment ref="K13" authorId="0" shapeId="0">
      <text>
        <t>Crossover IRR wrapped with IFERROR + guess to avoid #NUM in Excel.</t>
      </text>
    </comment>
    <comment ref="E41" authorId="0" shapeId="0">
      <text>
        <t>Tolerance set to ₹5 for rounding.</t>
      </text>
    </comment>
    <comment ref="E42" authorId="0" shapeId="0">
      <text>
        <t>Checks recomputed PI matches reported PI within 0.001.</t>
      </text>
    </comment>
    <comment ref="E43" authorId="0" shapeId="0">
      <text>
        <t>Tolerance set to ₹10 for rounding.</t>
      </text>
    </comment>
  </commentList>
</comments>
</file>

<file path=xl/comments/comment5.xml><?xml version="1.0" encoding="utf-8"?>
<comments xmlns="http://schemas.openxmlformats.org/spreadsheetml/2006/main">
  <authors>
    <author>Instructor Note</author>
  </authors>
  <commentList>
    <comment ref="C5" authorId="0" shapeId="0">
      <text>
        <t>Enter/adjust WACC here (input).</t>
      </text>
    </comment>
    <comment ref="C6" authorId="0" shapeId="0">
      <text>
        <t>Reinvestment rate used in MIRR (input).</t>
      </text>
    </comment>
    <comment ref="C27" authorId="0" shapeId="0">
      <text>
        <t>Incremental CF for Aurora = Aurora CF − Existing CF.</t>
      </text>
    </comment>
    <comment ref="C28" authorId="0" shapeId="0">
      <text>
        <t>Incremental CF for Aurora = Aurora CF − Existing CF.</t>
      </text>
    </comment>
    <comment ref="C29" authorId="0" shapeId="0">
      <text>
        <t>Incremental CF for Aurora = Aurora CF − Existing CF.</t>
      </text>
    </comment>
    <comment ref="C30" authorId="0" shapeId="0">
      <text>
        <t>Incremental CF for Aurora = Aurora CF − Existing CF.</t>
      </text>
    </comment>
    <comment ref="C31" authorId="0" shapeId="0">
      <text>
        <t>Incremental CF for Aurora = Aurora CF − Existing CF.</t>
      </text>
    </comment>
    <comment ref="C32" authorId="0" shapeId="0">
      <text>
        <t>Incremental CF for Aurora = Aurora CF − Existing CF.</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J33"/>
  <sheetViews>
    <sheetView tabSelected="1" topLeftCell="A9" workbookViewId="0">
      <selection activeCell="I8" sqref="I8"/>
    </sheetView>
  </sheetViews>
  <sheetFormatPr baseColWidth="8" defaultRowHeight="14.5"/>
  <cols>
    <col width="8.7265625" customWidth="1" style="58" min="1" max="6"/>
    <col width="13.90625" customWidth="1" style="58" min="7" max="7"/>
    <col width="5.6328125" customWidth="1" style="58" min="8" max="8"/>
    <col width="71.6328125" customWidth="1" style="58" min="9" max="9"/>
    <col width="7.1796875" customWidth="1" style="58" min="10" max="10"/>
    <col width="8.7265625" customWidth="1" style="58" min="11" max="16384"/>
  </cols>
  <sheetData>
    <row r="1" ht="31" customHeight="1" s="75">
      <c r="A1" s="57" t="inlineStr">
        <is>
          <t>FINANCIAL MODELING USING EXCEL</t>
        </is>
      </c>
    </row>
    <row r="2"/>
    <row r="3" ht="23.5" customHeight="1" s="75">
      <c r="A3" s="59" t="inlineStr">
        <is>
          <t>Precedent Transaction Valuation Model Using Excel</t>
        </is>
      </c>
    </row>
    <row r="4"/>
    <row r="5" ht="23.5" customHeight="1" s="75">
      <c r="A5" s="60" t="inlineStr">
        <is>
          <t>Deal-Based Valuation of Paytm (PTM) Through Comparable Transactions</t>
        </is>
      </c>
      <c r="I5" s="61" t="inlineStr">
        <is>
          <t>Learning Philosophy</t>
        </is>
      </c>
    </row>
    <row r="6"/>
    <row r="7" ht="28.5" customHeight="1" s="75">
      <c r="A7" s="62" t="inlineStr">
        <is>
          <t>Workbook Purpose</t>
        </is>
      </c>
      <c r="I7" s="63" t="inlineStr">
        <is>
          <t>Capital budgeting decisions are strongest when cash flows are evaluated consistently across multiple value and risk perspectives.</t>
        </is>
      </c>
    </row>
    <row r="8"/>
    <row r="9" ht="132.5" customHeight="1" s="75">
      <c r="A9" s="71" t="inlineStr">
        <is>
          <t>This workbook is designed to analyze capital budgeting decisions involving conventional investment projects, where an initial cash outflow is followed by a series of future cash inflows. It provides a structured Excel-based framework to evaluate project viability using the most widely accepted capital budgeting techniques employed in corporate finance and managerial decision-making.
The workbook emphasizes decision logic and interpretation, not just computation. By applying multiple evaluation criteria to the same set of project cash flows, learners gain a clear understanding of how investment decisions are assessed, why different methods may yield different signals, and how Excel can be used to ensure consistency, transparency, and auditability in capital budgeting analysis.</t>
        </is>
      </c>
    </row>
    <row r="10"/>
    <row r="11"/>
    <row r="12"/>
    <row r="13"/>
    <row r="14"/>
    <row r="15" ht="23.5" customHeight="1" s="75">
      <c r="A15" s="64" t="inlineStr">
        <is>
          <t>Key Concepts Covered</t>
        </is>
      </c>
      <c r="B15" s="65" t="n"/>
      <c r="C15" s="65" t="n"/>
      <c r="D15" s="65" t="n"/>
      <c r="E15" s="65" t="n"/>
      <c r="F15" s="65" t="n"/>
      <c r="G15" s="65" t="n"/>
      <c r="I15" s="66" t="inlineStr">
        <is>
          <t>Excel Functions Used</t>
        </is>
      </c>
    </row>
    <row r="16" ht="311.5" customHeight="1" s="75">
      <c r="A16" s="72" t="inlineStr">
        <is>
          <t>Nature and identification of unconventional cash flows
Multiple sign changes and their impact on IRR computation
Existence and interpretation of multiple IRRs
NPV as the value-consistent decision criterion
Modified Internal Rate of Return (MIRR) and reinvestment assumptions
Comparison of IRR, MIRR, and NPV signals
Decision conflicts and resolution strategies
Suitability of capital budgeting methods under complex cash-flow structures</t>
        </is>
      </c>
      <c r="I16" s="67" t="inlineStr">
        <is>
          <t xml:space="preserve">The following Excel functions are used accurately and completely in this workbook to support analysis of unconventional capital budgeting problems:
NPV – Discounts future cash flows to determine project value under unconventional patterns
IRR – Computes internal rates of return, including cases with multiple IRRs
MIRR – Computes Modified Internal Rate of Return using explicit finance and reinvestment rates
PV – Computes present value of negative cash flows where required
FV – Computes future value of positive cash flows for MIRR calculation
SUM – Aggregates cash flows and valuation components
IF – Applies conditional logic to identify decision conflicts and outcomes
ABS – Maintains disciplined sign conventions for cash-flow treatment
ROUND – Ensures numerical clarity and clean presentation of results
PERCENTAGE CALCULATIONS – Used for discount rates, finance rates, and reinvestment rates
The workbook emphasizes correct cash-flow classification, disciplined reinvestment assumptions, and consistent interpretation of valuation outputs.
</t>
        </is>
      </c>
    </row>
    <row r="17">
      <c r="A17" s="68" t="n"/>
    </row>
    <row r="18">
      <c r="A18" s="68" t="n"/>
      <c r="E18" s="73"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69" t="n"/>
    </row>
    <row r="19">
      <c r="A19" s="68" t="n"/>
    </row>
    <row r="20">
      <c r="A20" s="68" t="n"/>
      <c r="I20" s="69" t="n"/>
    </row>
    <row r="21">
      <c r="A21" s="68" t="n"/>
    </row>
    <row r="22">
      <c r="A22" s="68" t="n"/>
      <c r="I22" s="69" t="n"/>
    </row>
    <row r="23">
      <c r="A23" s="68" t="n"/>
    </row>
    <row r="24">
      <c r="A24" s="68" t="n"/>
      <c r="I24" s="69" t="n"/>
    </row>
    <row r="25">
      <c r="A25" s="68" t="n"/>
    </row>
    <row r="26">
      <c r="A26" s="68" t="n"/>
      <c r="I26" s="69" t="n"/>
    </row>
    <row r="27">
      <c r="A27" s="68" t="n"/>
    </row>
    <row r="28">
      <c r="A28" s="68" t="n"/>
      <c r="I28" s="69" t="n"/>
    </row>
    <row r="29">
      <c r="A29" s="68" t="n"/>
    </row>
    <row r="30">
      <c r="A30" s="68" t="n"/>
      <c r="I30" s="69" t="n"/>
    </row>
    <row r="31">
      <c r="A31" s="68" t="n"/>
      <c r="I31" s="68" t="n"/>
    </row>
    <row r="32">
      <c r="A32" s="68" t="n"/>
      <c r="I32" s="70" t="n"/>
    </row>
    <row r="33">
      <c r="A33" s="68"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0"/>
  <sheetViews>
    <sheetView workbookViewId="0">
      <pane ySplit="5" topLeftCell="A6" activePane="bottomLeft" state="frozen"/>
      <selection pane="bottomLeft" activeCell="A1" sqref="A1:L1"/>
    </sheetView>
  </sheetViews>
  <sheetFormatPr baseColWidth="8" defaultRowHeight="14.5"/>
  <cols>
    <col width="10" customWidth="1" style="75" min="1" max="1"/>
    <col width="48" customWidth="1" style="75" min="2" max="2"/>
    <col width="60" customWidth="1" style="75" min="3" max="3"/>
    <col width="12" customWidth="1" style="75" min="4" max="4"/>
  </cols>
  <sheetData>
    <row r="1">
      <c r="A1" s="74" t="inlineStr">
        <is>
          <t>Capital Budgeting – Upgraded Conventional Problems (Excel Model)</t>
        </is>
      </c>
    </row>
    <row r="2">
      <c r="A2" s="33" t="n"/>
    </row>
    <row r="3">
      <c r="A3" s="76" t="inlineStr">
        <is>
          <t>Click a case below to jump to its model sheet.</t>
        </is>
      </c>
    </row>
    <row r="4"/>
    <row r="5">
      <c r="A5" s="1" t="inlineStr">
        <is>
          <t>Problem</t>
        </is>
      </c>
      <c r="B5" s="1" t="inlineStr">
        <is>
          <t>Case</t>
        </is>
      </c>
      <c r="C5" s="1" t="inlineStr">
        <is>
          <t>New learning point</t>
        </is>
      </c>
      <c r="D5" s="1" t="inlineStr">
        <is>
          <t>Link</t>
        </is>
      </c>
    </row>
    <row r="6">
      <c r="A6" s="2" t="inlineStr">
        <is>
          <t>P1</t>
        </is>
      </c>
      <c r="B6" s="3" t="inlineStr">
        <is>
          <t>Investment Dilemma at ABC Corporation</t>
        </is>
      </c>
      <c r="C6" s="3" t="inlineStr">
        <is>
          <t>NPV vs IRR ranking conflict (mutually exclusive) + MIRR intuition</t>
        </is>
      </c>
      <c r="D6" s="4" t="inlineStr">
        <is>
          <t>Open ➜</t>
        </is>
      </c>
    </row>
    <row r="7">
      <c r="A7" s="2" t="inlineStr">
        <is>
          <t>P2</t>
        </is>
      </c>
      <c r="B7" s="3" t="inlineStr">
        <is>
          <t>Investment Decision for Nova Textiles Pvt. Ltd.</t>
        </is>
      </c>
      <c r="C7" s="3" t="inlineStr">
        <is>
          <t>Capital rationing using Profitability Index (divisible projects)</t>
        </is>
      </c>
      <c r="D7" s="4" t="inlineStr">
        <is>
          <t>Open ➜</t>
        </is>
      </c>
    </row>
    <row r="8">
      <c r="A8" s="2" t="inlineStr">
        <is>
          <t>P3</t>
        </is>
      </c>
      <c r="B8" s="3" t="inlineStr">
        <is>
          <t>Expansion Plans for Zenith Packaging Ltd.</t>
        </is>
      </c>
      <c r="C8" s="3" t="inlineStr">
        <is>
          <t>After-tax cash flows + after-tax salvage value</t>
        </is>
      </c>
      <c r="D8" s="4" t="inlineStr">
        <is>
          <t>Open ➜</t>
        </is>
      </c>
    </row>
    <row r="9">
      <c r="A9" s="2" t="inlineStr">
        <is>
          <t>P4</t>
        </is>
      </c>
      <c r="B9" s="3" t="inlineStr">
        <is>
          <t>Investment Opportunity for Greenfield Tech Pvt. Ltd.</t>
        </is>
      </c>
      <c r="C9" s="3" t="inlineStr">
        <is>
          <t>Sensitivity of NPV to discount rate (7%, base, 10%)</t>
        </is>
      </c>
      <c r="D9" s="4" t="inlineStr">
        <is>
          <t>Open ➜</t>
        </is>
      </c>
    </row>
    <row r="10">
      <c r="A10" s="2" t="inlineStr">
        <is>
          <t>P5</t>
        </is>
      </c>
      <c r="B10" s="3" t="inlineStr">
        <is>
          <t>Strategic Expansion for Nexus Energy Ltd.</t>
        </is>
      </c>
      <c r="C10" s="3" t="inlineStr">
        <is>
          <t>Incremental cash flows (replacement) + value-based recommendation</t>
        </is>
      </c>
      <c r="D10" s="4" t="inlineStr">
        <is>
          <t>Open ➜</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3:C3"/>
    <mergeCell ref="A1:L1"/>
  </mergeCells>
  <hyperlinks>
    <hyperlink ref="D6" location="'P1_ABC_Crossover'!A1" display="Open ➜"/>
    <hyperlink ref="D7" location="'P2_Nova_Rationing'!A1" display="Open ➜"/>
    <hyperlink ref="D8" location="'P3_Zenith_TaxSalvage'!A1" display="Open ➜"/>
    <hyperlink ref="D9" location="'P4_Greenfield_Sensitivity'!A1" display="Open ➜"/>
    <hyperlink ref="D10" location="'P5_Nexus_Incremental'!A1" display="Open ➜"/>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3"/>
  <sheetViews>
    <sheetView workbookViewId="0">
      <pane xSplit="1" ySplit="8" topLeftCell="B36" activePane="bottomRight" state="frozen"/>
      <selection pane="topRight" activeCell="A1" sqref="A1"/>
      <selection pane="bottomLeft" activeCell="A1" sqref="A1"/>
      <selection pane="bottomRight" activeCell="A1" sqref="A1:L1"/>
    </sheetView>
  </sheetViews>
  <sheetFormatPr baseColWidth="8" defaultRowHeight="14.5"/>
  <cols>
    <col width="3" customWidth="1" style="75" min="1" max="1"/>
    <col width="18" customWidth="1" style="75" min="2" max="6"/>
    <col width="3" customWidth="1" style="75" min="7" max="7"/>
    <col width="22" customWidth="1" style="75" min="8" max="8"/>
    <col width="18" customWidth="1" style="75" min="9" max="12"/>
  </cols>
  <sheetData>
    <row r="1">
      <c r="A1" s="74" t="inlineStr">
        <is>
          <t>Investment Dilemma at ABC Corporation</t>
        </is>
      </c>
    </row>
    <row r="2">
      <c r="A2" s="34" t="inlineStr">
        <is>
          <t>⬅ Back to Index</t>
        </is>
      </c>
    </row>
    <row r="3"/>
    <row r="4">
      <c r="B4" s="82" t="inlineStr">
        <is>
          <t>INPUTS</t>
        </is>
      </c>
      <c r="C4" s="78" t="n"/>
      <c r="D4" s="78" t="n"/>
      <c r="E4" s="78" t="n"/>
      <c r="F4" s="79" t="n"/>
      <c r="H4" s="82" t="inlineStr">
        <is>
          <t>OUTPUTS / DECISION</t>
        </is>
      </c>
      <c r="I4" s="78" t="n"/>
      <c r="J4" s="78" t="n"/>
      <c r="K4" s="78" t="n"/>
      <c r="L4" s="79" t="n"/>
    </row>
    <row r="5" ht="15.5" customHeight="1" s="75">
      <c r="B5" s="5" t="inlineStr">
        <is>
          <t>WACC</t>
        </is>
      </c>
      <c r="C5" s="35" t="n">
        <v>0.094</v>
      </c>
      <c r="D5" s="5" t="n"/>
      <c r="E5" s="5" t="n"/>
      <c r="F5" s="5" t="n"/>
      <c r="H5" s="81" t="inlineStr">
        <is>
          <t>Summary Metrics</t>
        </is>
      </c>
      <c r="I5" s="83" t="n"/>
      <c r="J5" s="83" t="n"/>
      <c r="K5" s="83" t="n"/>
      <c r="L5" s="83" t="n"/>
    </row>
    <row r="6" ht="29" customHeight="1" s="75">
      <c r="B6" s="23" t="inlineStr">
        <is>
          <t>Reinvestment Rate (for MIRR)</t>
        </is>
      </c>
      <c r="C6" s="36" t="n">
        <v>0.075</v>
      </c>
      <c r="D6" s="5" t="n"/>
      <c r="E6" s="5" t="n"/>
      <c r="F6" s="5" t="n"/>
      <c r="H6" s="20" t="inlineStr">
        <is>
          <t>Metric</t>
        </is>
      </c>
      <c r="I6" s="20" t="inlineStr">
        <is>
          <t>Project A</t>
        </is>
      </c>
      <c r="J6" s="20" t="inlineStr">
        <is>
          <t>Project B</t>
        </is>
      </c>
      <c r="K6" s="83" t="n"/>
      <c r="L6" s="83" t="n"/>
    </row>
    <row r="7">
      <c r="B7" s="5" t="n"/>
      <c r="C7" s="5" t="n"/>
      <c r="D7" s="5" t="n"/>
      <c r="E7" s="5" t="n"/>
      <c r="F7" s="5" t="n"/>
      <c r="H7" s="83" t="inlineStr">
        <is>
          <t>NPV (₹)</t>
        </is>
      </c>
      <c r="I7" s="88">
        <f>NPV($C$5,C23:C27)+C22</f>
        <v/>
      </c>
      <c r="J7" s="88">
        <f>NPV($C$5,D23:D27)+D22</f>
        <v/>
      </c>
      <c r="K7" s="83" t="n"/>
      <c r="L7" s="83" t="n"/>
    </row>
    <row r="8" ht="15.5" customHeight="1" s="75">
      <c r="B8" s="10" t="inlineStr">
        <is>
          <t>Cash Flows (₹)</t>
        </is>
      </c>
      <c r="C8" s="5" t="n"/>
      <c r="D8" s="5" t="n"/>
      <c r="E8" s="5" t="n"/>
      <c r="F8" s="5" t="n"/>
      <c r="H8" s="83" t="inlineStr">
        <is>
          <t>PI</t>
        </is>
      </c>
      <c r="I8" s="89">
        <f>NPV($C$5,C23:C27)/ABS(C22)</f>
        <v/>
      </c>
      <c r="J8" s="89">
        <f>NPV($C$5,D23:D27)/ABS(D22)</f>
        <v/>
      </c>
      <c r="K8" s="83" t="n"/>
      <c r="L8" s="83" t="n"/>
    </row>
    <row r="9">
      <c r="B9" s="21" t="inlineStr">
        <is>
          <t>Year</t>
        </is>
      </c>
      <c r="C9" s="21" t="inlineStr">
        <is>
          <t>Project A</t>
        </is>
      </c>
      <c r="D9" s="21" t="inlineStr">
        <is>
          <t>Project B</t>
        </is>
      </c>
      <c r="E9" s="5" t="n"/>
      <c r="F9" s="5" t="n"/>
      <c r="H9" s="86" t="inlineStr">
        <is>
          <t>IRR</t>
        </is>
      </c>
      <c r="I9" s="22">
        <f>IRR(C22:C27)</f>
        <v/>
      </c>
      <c r="J9" s="22">
        <f>IRR(D22:D27)</f>
        <v/>
      </c>
      <c r="K9" s="83" t="n"/>
      <c r="L9" s="83" t="n"/>
    </row>
    <row r="10">
      <c r="B10" s="39" t="n">
        <v>0</v>
      </c>
      <c r="C10" s="90" t="n">
        <v>-115000</v>
      </c>
      <c r="D10" s="90" t="n">
        <v>-115000</v>
      </c>
      <c r="E10" s="5" t="n"/>
      <c r="F10" s="5" t="n"/>
      <c r="H10" s="83" t="inlineStr">
        <is>
          <t>MIRR</t>
        </is>
      </c>
      <c r="I10" s="40">
        <f>MIRR(C22:C27,$C$5,$C$6)</f>
        <v/>
      </c>
      <c r="J10" s="40">
        <f>MIRR(D22:D27,$C$5,$C$6)</f>
        <v/>
      </c>
      <c r="K10" s="83" t="n"/>
      <c r="L10" s="83" t="n"/>
    </row>
    <row r="11">
      <c r="B11" s="39" t="n">
        <v>1</v>
      </c>
      <c r="C11" s="90" t="n">
        <v>7188</v>
      </c>
      <c r="D11" s="90" t="n">
        <v>51750</v>
      </c>
      <c r="E11" s="5" t="n"/>
      <c r="F11" s="5" t="n"/>
      <c r="H11" s="84" t="inlineStr">
        <is>
          <t>Crossover Rate (IRR of Incremental CF: Left − Right)</t>
        </is>
      </c>
      <c r="I11" s="78" t="n"/>
      <c r="J11" s="78" t="n"/>
      <c r="K11" s="78" t="n"/>
      <c r="L11" s="79" t="n"/>
    </row>
    <row r="12">
      <c r="B12" s="39" t="n">
        <v>2</v>
      </c>
      <c r="C12" s="90" t="n">
        <v>21562</v>
      </c>
      <c r="D12" s="90" t="n">
        <v>38812</v>
      </c>
      <c r="E12" s="5" t="n"/>
      <c r="F12" s="5" t="n"/>
      <c r="H12" s="9" t="inlineStr">
        <is>
          <t>Year</t>
        </is>
      </c>
      <c r="I12" s="9" t="inlineStr">
        <is>
          <t>ΔCF (Left − Right)</t>
        </is>
      </c>
      <c r="J12" s="83" t="n"/>
      <c r="K12" s="84" t="inlineStr">
        <is>
          <t>Crossover IRR</t>
        </is>
      </c>
      <c r="L12" s="83" t="n"/>
    </row>
    <row r="13">
      <c r="B13" s="39" t="n">
        <v>3</v>
      </c>
      <c r="C13" s="90" t="n">
        <v>40250</v>
      </c>
      <c r="D13" s="90" t="n">
        <v>28750</v>
      </c>
      <c r="E13" s="5" t="n"/>
      <c r="F13" s="5" t="n"/>
      <c r="H13" s="41" t="n">
        <v>0</v>
      </c>
      <c r="I13" s="91">
        <f>C22-D22</f>
        <v/>
      </c>
      <c r="J13" s="83" t="n"/>
      <c r="K13" s="40">
        <f>IRR(I13:I18)</f>
        <v/>
      </c>
      <c r="L13" s="83" t="n"/>
    </row>
    <row r="14">
      <c r="B14" s="39" t="n">
        <v>4</v>
      </c>
      <c r="C14" s="90" t="n">
        <v>50315</v>
      </c>
      <c r="D14" s="90" t="n">
        <v>21563</v>
      </c>
      <c r="E14" s="5" t="n"/>
      <c r="F14" s="5" t="n"/>
      <c r="H14" s="41" t="n">
        <v>1</v>
      </c>
      <c r="I14" s="91">
        <f>C23-D23</f>
        <v/>
      </c>
      <c r="J14" s="83" t="n"/>
      <c r="K14" s="83" t="n"/>
      <c r="L14" s="83" t="n"/>
    </row>
    <row r="15">
      <c r="B15" s="39" t="n">
        <v>5</v>
      </c>
      <c r="C15" s="90" t="n">
        <v>57500</v>
      </c>
      <c r="D15" s="90" t="n">
        <v>14375</v>
      </c>
      <c r="E15" s="5" t="n"/>
      <c r="F15" s="5" t="n"/>
      <c r="H15" s="41" t="n">
        <v>2</v>
      </c>
      <c r="I15" s="91">
        <f>C24-D24</f>
        <v/>
      </c>
      <c r="J15" s="83" t="n"/>
      <c r="K15" s="83" t="n"/>
      <c r="L15" s="83" t="n"/>
    </row>
    <row r="16">
      <c r="H16" s="41" t="n">
        <v>3</v>
      </c>
      <c r="I16" s="91">
        <f>C25-D25</f>
        <v/>
      </c>
      <c r="J16" s="83" t="n"/>
      <c r="K16" s="83" t="n"/>
      <c r="L16" s="83" t="n"/>
    </row>
    <row r="17">
      <c r="H17" s="41" t="n">
        <v>4</v>
      </c>
      <c r="I17" s="91">
        <f>C26-D26</f>
        <v/>
      </c>
      <c r="J17" s="83" t="n"/>
      <c r="K17" s="83" t="n"/>
      <c r="L17" s="83" t="n"/>
    </row>
    <row r="18">
      <c r="H18" s="41" t="n">
        <v>5</v>
      </c>
      <c r="I18" s="91">
        <f>C27-D27</f>
        <v/>
      </c>
      <c r="J18" s="83" t="n"/>
      <c r="K18" s="83" t="n"/>
      <c r="L18" s="83" t="n"/>
    </row>
    <row r="19">
      <c r="H19" s="83" t="n"/>
      <c r="I19" s="83" t="n"/>
      <c r="J19" s="83" t="n"/>
      <c r="K19" s="83" t="n"/>
      <c r="L19" s="83" t="n"/>
    </row>
    <row r="20">
      <c r="B20" s="80" t="inlineStr">
        <is>
          <t>CALCULATIONS</t>
        </is>
      </c>
      <c r="C20" s="78" t="n"/>
      <c r="D20" s="78" t="n"/>
      <c r="E20" s="78" t="n"/>
      <c r="F20" s="79" t="n"/>
      <c r="H20" s="81" t="inlineStr">
        <is>
          <t>Decision (value-based)</t>
        </is>
      </c>
      <c r="I20" s="78" t="n"/>
      <c r="J20" s="78" t="n"/>
      <c r="K20" s="78" t="n"/>
      <c r="L20" s="79" t="n"/>
    </row>
    <row r="21" ht="29" customHeight="1" s="75">
      <c r="B21" s="42" t="inlineStr">
        <is>
          <t>Year</t>
        </is>
      </c>
      <c r="C21" s="42" t="inlineStr">
        <is>
          <t>Project A</t>
        </is>
      </c>
      <c r="D21" s="42" t="inlineStr">
        <is>
          <t>Project B</t>
        </is>
      </c>
      <c r="E21" s="87" t="n"/>
      <c r="F21" s="87" t="n"/>
      <c r="H21" s="86" t="inlineStr">
        <is>
          <t>Recommended project (higher NPV at WACC)</t>
        </is>
      </c>
      <c r="I21" s="25">
        <f>IF(I7&gt;J7, "Project A", "Project B")</f>
        <v/>
      </c>
      <c r="J21" s="83" t="n"/>
      <c r="K21" s="83" t="n"/>
      <c r="L21" s="83" t="n"/>
    </row>
    <row r="22">
      <c r="B22" s="43" t="n">
        <v>0</v>
      </c>
      <c r="C22" s="92">
        <f>C10</f>
        <v/>
      </c>
      <c r="D22" s="92">
        <f>D10</f>
        <v/>
      </c>
      <c r="E22" s="87" t="n"/>
      <c r="F22" s="87" t="n"/>
      <c r="H22" s="83" t="inlineStr">
        <is>
          <t>Note</t>
        </is>
      </c>
      <c r="I22" s="83" t="inlineStr">
        <is>
          <t>For mutually exclusive projects, prioritize NPV at WACC; use IRR/MIRR as supporting evidence.</t>
        </is>
      </c>
      <c r="J22" s="78" t="n"/>
      <c r="K22" s="78" t="n"/>
      <c r="L22" s="79" t="n"/>
    </row>
    <row r="23">
      <c r="B23" s="43" t="n">
        <v>1</v>
      </c>
      <c r="C23" s="92">
        <f>C11</f>
        <v/>
      </c>
      <c r="D23" s="92">
        <f>D11</f>
        <v/>
      </c>
      <c r="E23" s="87" t="n"/>
      <c r="F23" s="87" t="n"/>
      <c r="H23" s="83" t="n"/>
      <c r="I23" s="83" t="n"/>
      <c r="J23" s="83" t="n"/>
      <c r="K23" s="83" t="n"/>
      <c r="L23" s="83" t="n"/>
    </row>
    <row r="24">
      <c r="B24" s="43" t="n">
        <v>2</v>
      </c>
      <c r="C24" s="92">
        <f>C12</f>
        <v/>
      </c>
      <c r="D24" s="92">
        <f>D12</f>
        <v/>
      </c>
      <c r="E24" s="87" t="n"/>
      <c r="F24" s="87" t="n"/>
      <c r="H24" s="83" t="n"/>
      <c r="I24" s="83" t="n"/>
      <c r="J24" s="83" t="n"/>
      <c r="K24" s="83" t="n"/>
      <c r="L24" s="83" t="n"/>
    </row>
    <row r="25">
      <c r="B25" s="43" t="n">
        <v>3</v>
      </c>
      <c r="C25" s="92">
        <f>C13</f>
        <v/>
      </c>
      <c r="D25" s="92">
        <f>D13</f>
        <v/>
      </c>
      <c r="E25" s="87" t="n"/>
      <c r="F25" s="87" t="n"/>
      <c r="H25" s="83" t="n"/>
      <c r="I25" s="83" t="n"/>
      <c r="J25" s="83" t="n"/>
      <c r="K25" s="83" t="n"/>
      <c r="L25" s="83" t="n"/>
    </row>
    <row r="26">
      <c r="B26" s="43" t="n">
        <v>4</v>
      </c>
      <c r="C26" s="92">
        <f>C14</f>
        <v/>
      </c>
      <c r="D26" s="92">
        <f>D14</f>
        <v/>
      </c>
      <c r="E26" s="87" t="n"/>
      <c r="F26" s="87" t="n"/>
      <c r="H26" s="83" t="n"/>
      <c r="I26" s="83" t="n"/>
      <c r="J26" s="83" t="n"/>
      <c r="K26" s="83" t="n"/>
      <c r="L26" s="83" t="n"/>
    </row>
    <row r="27">
      <c r="B27" s="43" t="n">
        <v>5</v>
      </c>
      <c r="C27" s="92">
        <f>C15</f>
        <v/>
      </c>
      <c r="D27" s="92">
        <f>D15</f>
        <v/>
      </c>
      <c r="E27" s="87" t="n"/>
      <c r="F27" s="87" t="n"/>
      <c r="H27" s="83" t="n"/>
      <c r="I27" s="83" t="n"/>
      <c r="J27" s="83" t="n"/>
      <c r="K27" s="83" t="n"/>
      <c r="L27" s="83" t="n"/>
    </row>
    <row r="28">
      <c r="B28" s="87" t="n"/>
      <c r="C28" s="87" t="n"/>
      <c r="D28" s="87" t="n"/>
      <c r="E28" s="87" t="n"/>
      <c r="F28" s="87" t="n"/>
      <c r="H28" s="83" t="n"/>
      <c r="I28" s="83" t="n"/>
      <c r="J28" s="83" t="n"/>
      <c r="K28" s="83" t="n"/>
      <c r="L28" s="83" t="n"/>
    </row>
    <row r="29" ht="31" customHeight="1" s="75">
      <c r="B29" s="16" t="inlineStr">
        <is>
          <t>Present Value of Cash Flows (₹)</t>
        </is>
      </c>
      <c r="C29" s="87" t="n"/>
      <c r="D29" s="87" t="n"/>
      <c r="E29" s="87" t="n"/>
      <c r="F29" s="87" t="n"/>
      <c r="H29" s="83" t="n"/>
      <c r="I29" s="83" t="n"/>
      <c r="J29" s="83" t="n"/>
      <c r="K29" s="83" t="n"/>
      <c r="L29" s="83" t="n"/>
    </row>
    <row r="30">
      <c r="B30" s="42" t="inlineStr">
        <is>
          <t>Year</t>
        </is>
      </c>
      <c r="C30" s="42" t="inlineStr">
        <is>
          <t>Project A</t>
        </is>
      </c>
      <c r="D30" s="42" t="inlineStr">
        <is>
          <t>Project B</t>
        </is>
      </c>
      <c r="E30" s="87" t="n"/>
      <c r="F30" s="87" t="n"/>
      <c r="H30" s="83" t="n"/>
      <c r="I30" s="83" t="n"/>
      <c r="J30" s="83" t="n"/>
      <c r="K30" s="83" t="n"/>
      <c r="L30" s="83" t="n"/>
    </row>
    <row r="31">
      <c r="B31" s="43" t="n">
        <v>0</v>
      </c>
      <c r="C31" s="93">
        <f>C22</f>
        <v/>
      </c>
      <c r="D31" s="93">
        <f>D22</f>
        <v/>
      </c>
      <c r="E31" s="87" t="n"/>
      <c r="F31" s="87" t="n"/>
      <c r="H31" s="83" t="n"/>
      <c r="I31" s="83" t="n"/>
      <c r="J31" s="83" t="n"/>
      <c r="K31" s="83" t="n"/>
      <c r="L31" s="83" t="n"/>
    </row>
    <row r="32">
      <c r="B32" s="43" t="n">
        <v>1</v>
      </c>
      <c r="C32" s="93">
        <f>C23/(1+$C$5)^1</f>
        <v/>
      </c>
      <c r="D32" s="93">
        <f>D23/(1+$C$5)^1</f>
        <v/>
      </c>
      <c r="E32" s="87" t="n"/>
      <c r="F32" s="87" t="n"/>
      <c r="H32" s="83" t="n"/>
      <c r="I32" s="83" t="n"/>
      <c r="J32" s="83" t="n"/>
      <c r="K32" s="83" t="n"/>
      <c r="L32" s="83" t="n"/>
    </row>
    <row r="33">
      <c r="B33" s="43" t="n">
        <v>2</v>
      </c>
      <c r="C33" s="93">
        <f>C24/(1+$C$5)^2</f>
        <v/>
      </c>
      <c r="D33" s="93">
        <f>D24/(1+$C$5)^2</f>
        <v/>
      </c>
      <c r="E33" s="87" t="n"/>
      <c r="F33" s="87" t="n"/>
      <c r="H33" s="83" t="n"/>
      <c r="I33" s="83" t="n"/>
      <c r="J33" s="83" t="n"/>
      <c r="K33" s="83" t="n"/>
      <c r="L33" s="83" t="n"/>
    </row>
    <row r="34">
      <c r="B34" s="43" t="n">
        <v>3</v>
      </c>
      <c r="C34" s="93">
        <f>C25/(1+$C$5)^3</f>
        <v/>
      </c>
      <c r="D34" s="93">
        <f>D25/(1+$C$5)^3</f>
        <v/>
      </c>
      <c r="E34" s="87" t="n"/>
      <c r="F34" s="87" t="n"/>
    </row>
    <row r="35">
      <c r="B35" s="43" t="n">
        <v>4</v>
      </c>
      <c r="C35" s="93">
        <f>C26/(1+$C$5)^4</f>
        <v/>
      </c>
      <c r="D35" s="93">
        <f>D26/(1+$C$5)^4</f>
        <v/>
      </c>
      <c r="E35" s="87" t="n"/>
      <c r="F35" s="87" t="n"/>
    </row>
    <row r="36">
      <c r="B36" s="43" t="n">
        <v>5</v>
      </c>
      <c r="C36" s="93">
        <f>C27/(1+$C$5)^5</f>
        <v/>
      </c>
      <c r="D36" s="93">
        <f>D27/(1+$C$5)^5</f>
        <v/>
      </c>
      <c r="E36" s="87" t="n"/>
      <c r="F36" s="87" t="n"/>
    </row>
    <row r="37">
      <c r="B37" s="87" t="n"/>
      <c r="C37" s="87" t="n"/>
      <c r="D37" s="87" t="n"/>
      <c r="E37" s="87" t="n"/>
      <c r="F37" s="87" t="n"/>
    </row>
    <row r="38">
      <c r="B38" s="77" t="inlineStr">
        <is>
          <t>CHECKS (Consistency)</t>
        </is>
      </c>
      <c r="C38" s="78" t="n"/>
      <c r="D38" s="78" t="n"/>
      <c r="E38" s="78" t="n"/>
      <c r="F38" s="79" t="n"/>
    </row>
    <row r="39">
      <c r="B39" s="28" t="inlineStr">
        <is>
          <t>Check</t>
        </is>
      </c>
      <c r="C39" s="28" t="inlineStr">
        <is>
          <t>Left project</t>
        </is>
      </c>
      <c r="D39" s="28" t="inlineStr">
        <is>
          <t>Right project</t>
        </is>
      </c>
      <c r="E39" s="28" t="inlineStr">
        <is>
          <t>Status</t>
        </is>
      </c>
      <c r="F39" s="18" t="n"/>
    </row>
    <row r="40" ht="29" customHeight="1" s="75">
      <c r="B40" s="18" t="inlineStr">
        <is>
          <t>Year 0 outflow should be negative</t>
        </is>
      </c>
      <c r="C40" s="94">
        <f>C22</f>
        <v/>
      </c>
      <c r="D40" s="94">
        <f>D22</f>
        <v/>
      </c>
      <c r="E40" s="30">
        <f>IF(AND(C22&lt;0,D22&lt;0),"OK","Check sign")</f>
        <v/>
      </c>
      <c r="F40" s="18" t="n"/>
    </row>
    <row r="41" ht="29" customHeight="1" s="75">
      <c r="B41" s="18" t="inlineStr">
        <is>
          <t>NPV at IRR (should be ≈ 0)</t>
        </is>
      </c>
      <c r="C41" s="95">
        <f>NPV(I9,C23:C27)+C22</f>
        <v/>
      </c>
      <c r="D41" s="95">
        <f>NPV(J9,D23:D27)+D22</f>
        <v/>
      </c>
      <c r="E41" s="30">
        <f>IF(AND(ABS(C41)&lt;5,ABS(D41)&lt;5),"OK","Review")</f>
        <v/>
      </c>
      <c r="F41" s="18" t="n"/>
    </row>
    <row r="42" ht="43.5" customHeight="1" s="75">
      <c r="B42" s="18" t="inlineStr">
        <is>
          <t>PI consistency (recompute PV inflows / outflow)</t>
        </is>
      </c>
      <c r="C42" s="96">
        <f>NPV($C$5,C23:C27)/ABS(C22)</f>
        <v/>
      </c>
      <c r="D42" s="96">
        <f>NPV($C$5,D23:D27)/ABS(D22)</f>
        <v/>
      </c>
      <c r="E42" s="30">
        <f>IF(AND(ABS(C42-I8)&lt;0.001,ABS(D42-J8)&lt;0.001),"OK","Review")</f>
        <v/>
      </c>
      <c r="F42" s="18" t="n"/>
    </row>
    <row r="43" ht="43.5" customHeight="1" s="75">
      <c r="B43" s="18" t="inlineStr">
        <is>
          <t>NPV difference at crossover rate (should be ≈ 0)</t>
        </is>
      </c>
      <c r="C43" s="95">
        <f>NPV(K13,C23:C27)+C22</f>
        <v/>
      </c>
      <c r="D43" s="95">
        <f>NPV(K13,D23:D27)+D22</f>
        <v/>
      </c>
      <c r="E43" s="30">
        <f>IF(ABS(C43-D43)&lt;10,"OK","Review")</f>
        <v/>
      </c>
      <c r="F43" s="18" t="n"/>
    </row>
  </sheetData>
  <sheetProtection selectLockedCells="0" selectUnlockedCells="0" sheet="1" objects="1" insertRows="0" insertHyperlinks="1" autoFilter="0" scenarios="1" formatColumns="0" deleteColumns="0" insertColumns="0" pivotTables="0" deleteRows="0" formatCells="0" formatRows="0" sort="0" password="AE3A"/>
  <mergeCells count="8">
    <mergeCell ref="B4:F4"/>
    <mergeCell ref="I22:L22"/>
    <mergeCell ref="H11:L11"/>
    <mergeCell ref="B38:F38"/>
    <mergeCell ref="B20:F20"/>
    <mergeCell ref="H20:L20"/>
    <mergeCell ref="A1:L1"/>
    <mergeCell ref="H4:L4"/>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43"/>
  <sheetViews>
    <sheetView workbookViewId="0">
      <pane xSplit="1" ySplit="8" topLeftCell="B39" activePane="bottomRight" state="frozen"/>
      <selection pane="topRight" activeCell="A1" sqref="A1"/>
      <selection pane="bottomLeft" activeCell="A1" sqref="A1"/>
      <selection pane="bottomRight" activeCell="A1" sqref="A1:L1"/>
    </sheetView>
  </sheetViews>
  <sheetFormatPr baseColWidth="8" defaultRowHeight="14.5"/>
  <cols>
    <col width="3" customWidth="1" style="75" min="1" max="1"/>
    <col width="18" customWidth="1" style="75" min="2" max="6"/>
    <col width="3" customWidth="1" style="75" min="7" max="7"/>
    <col width="22" customWidth="1" style="75" min="8" max="8"/>
    <col width="18" customWidth="1" style="75" min="9" max="12"/>
  </cols>
  <sheetData>
    <row r="1">
      <c r="A1" s="74" t="inlineStr">
        <is>
          <t>Investment Decision for Nova Textiles Pvt. Ltd.</t>
        </is>
      </c>
    </row>
    <row r="2">
      <c r="A2" s="34" t="inlineStr">
        <is>
          <t>⬅ Back to Index</t>
        </is>
      </c>
    </row>
    <row r="3"/>
    <row r="4">
      <c r="B4" s="82" t="inlineStr">
        <is>
          <t>INPUTS</t>
        </is>
      </c>
      <c r="C4" s="78" t="n"/>
      <c r="D4" s="78" t="n"/>
      <c r="E4" s="78" t="n"/>
      <c r="F4" s="79" t="n"/>
      <c r="H4" s="82" t="inlineStr">
        <is>
          <t>OUTPUTS / DECISION</t>
        </is>
      </c>
      <c r="I4" s="78" t="n"/>
      <c r="J4" s="78" t="n"/>
      <c r="K4" s="78" t="n"/>
      <c r="L4" s="79" t="n"/>
    </row>
    <row r="5" ht="15.5" customHeight="1" s="75">
      <c r="B5" s="5" t="inlineStr">
        <is>
          <t>WACC</t>
        </is>
      </c>
      <c r="C5" s="35" t="n">
        <v>0.105</v>
      </c>
      <c r="D5" s="5" t="n"/>
      <c r="E5" s="5" t="n"/>
      <c r="F5" s="5" t="n"/>
      <c r="H5" s="81" t="inlineStr">
        <is>
          <t>Summary Metrics</t>
        </is>
      </c>
      <c r="I5" s="83" t="n"/>
      <c r="J5" s="83" t="n"/>
      <c r="K5" s="83" t="n"/>
      <c r="L5" s="83" t="n"/>
    </row>
    <row r="6" ht="29" customHeight="1" s="75">
      <c r="B6" s="23" t="inlineStr">
        <is>
          <t>Reinvestment Rate (for MIRR)</t>
        </is>
      </c>
      <c r="C6" s="36" t="n">
        <v>0.0825</v>
      </c>
      <c r="D6" s="5" t="n"/>
      <c r="E6" s="5" t="n"/>
      <c r="F6" s="5" t="n"/>
      <c r="H6" s="20" t="inlineStr">
        <is>
          <t>Metric</t>
        </is>
      </c>
      <c r="I6" s="20" t="inlineStr">
        <is>
          <t>Project Loom</t>
        </is>
      </c>
      <c r="J6" s="20" t="inlineStr">
        <is>
          <t>Project Weave</t>
        </is>
      </c>
      <c r="K6" s="83" t="n"/>
      <c r="L6" s="83" t="n"/>
    </row>
    <row r="7">
      <c r="B7" s="5" t="n"/>
      <c r="C7" s="5" t="n"/>
      <c r="D7" s="5" t="n"/>
      <c r="E7" s="5" t="n"/>
      <c r="F7" s="5" t="n"/>
      <c r="H7" s="83" t="inlineStr">
        <is>
          <t>NPV (₹)</t>
        </is>
      </c>
      <c r="I7" s="88">
        <f>NPV($C$5,C23:C27)+C22</f>
        <v/>
      </c>
      <c r="J7" s="88">
        <f>NPV($C$5,D23:D27)+D22</f>
        <v/>
      </c>
      <c r="K7" s="83" t="n"/>
      <c r="L7" s="83" t="n"/>
    </row>
    <row r="8" ht="15.5" customHeight="1" s="75">
      <c r="B8" s="10" t="inlineStr">
        <is>
          <t>Cash Flows (₹)</t>
        </is>
      </c>
      <c r="C8" s="5" t="n"/>
      <c r="D8" s="5" t="n"/>
      <c r="E8" s="5" t="n"/>
      <c r="F8" s="5" t="n"/>
      <c r="H8" s="83" t="inlineStr">
        <is>
          <t>PI</t>
        </is>
      </c>
      <c r="I8" s="89">
        <f>NPV($C$5,C23:C27)/ABS(C22)</f>
        <v/>
      </c>
      <c r="J8" s="89">
        <f>NPV($C$5,D23:D27)/ABS(D22)</f>
        <v/>
      </c>
      <c r="K8" s="83" t="n"/>
      <c r="L8" s="83" t="n"/>
    </row>
    <row r="9">
      <c r="B9" s="21" t="inlineStr">
        <is>
          <t>Year</t>
        </is>
      </c>
      <c r="C9" s="21" t="inlineStr">
        <is>
          <t>Project Loom</t>
        </is>
      </c>
      <c r="D9" s="21" t="inlineStr">
        <is>
          <t>Project Weave</t>
        </is>
      </c>
      <c r="E9" s="5" t="n"/>
      <c r="F9" s="5" t="n"/>
      <c r="H9" s="86" t="inlineStr">
        <is>
          <t>IRR</t>
        </is>
      </c>
      <c r="I9" s="22">
        <f>IRR(C22:C27)</f>
        <v/>
      </c>
      <c r="J9" s="22">
        <f>IRR(D22:D27)</f>
        <v/>
      </c>
      <c r="K9" s="83" t="n"/>
      <c r="L9" s="83" t="n"/>
    </row>
    <row r="10">
      <c r="B10" s="39" t="n">
        <v>0</v>
      </c>
      <c r="C10" s="90" t="n">
        <v>-125000</v>
      </c>
      <c r="D10" s="90" t="n">
        <v>-125000</v>
      </c>
      <c r="E10" s="5" t="n"/>
      <c r="F10" s="5" t="n"/>
      <c r="H10" s="83" t="inlineStr">
        <is>
          <t>MIRR</t>
        </is>
      </c>
      <c r="I10" s="40">
        <f>MIRR(C22:C27,$C$5,$C$6)</f>
        <v/>
      </c>
      <c r="J10" s="40">
        <f>MIRR(D22:D27,$C$5,$C$6)</f>
        <v/>
      </c>
      <c r="K10" s="83" t="n"/>
      <c r="L10" s="83" t="n"/>
    </row>
    <row r="11">
      <c r="B11" s="39" t="n">
        <v>1</v>
      </c>
      <c r="C11" s="90" t="n">
        <v>10000</v>
      </c>
      <c r="D11" s="90" t="n">
        <v>55000</v>
      </c>
      <c r="E11" s="5" t="n"/>
      <c r="F11" s="5" t="n"/>
      <c r="H11" s="84" t="inlineStr">
        <is>
          <t>Crossover Rate (IRR of Incremental CF: Left − Right)</t>
        </is>
      </c>
      <c r="I11" s="78" t="n"/>
      <c r="J11" s="78" t="n"/>
      <c r="K11" s="78" t="n"/>
      <c r="L11" s="79" t="n"/>
    </row>
    <row r="12">
      <c r="B12" s="39" t="n">
        <v>2</v>
      </c>
      <c r="C12" s="90" t="n">
        <v>25000</v>
      </c>
      <c r="D12" s="90" t="n">
        <v>45000</v>
      </c>
      <c r="E12" s="5" t="n"/>
      <c r="F12" s="5" t="n"/>
      <c r="H12" s="9" t="inlineStr">
        <is>
          <t>Year</t>
        </is>
      </c>
      <c r="I12" s="9" t="inlineStr">
        <is>
          <t>ΔCF (Left − Right)</t>
        </is>
      </c>
      <c r="J12" s="83" t="n"/>
      <c r="K12" s="84" t="inlineStr">
        <is>
          <t>Crossover IRR</t>
        </is>
      </c>
      <c r="L12" s="83" t="n"/>
    </row>
    <row r="13">
      <c r="B13" s="39" t="n">
        <v>3</v>
      </c>
      <c r="C13" s="90" t="n">
        <v>40000</v>
      </c>
      <c r="D13" s="90" t="n">
        <v>30000</v>
      </c>
      <c r="E13" s="5" t="n"/>
      <c r="F13" s="5" t="n"/>
      <c r="H13" s="41" t="n">
        <v>0</v>
      </c>
      <c r="I13" s="91">
        <f>C22-D22</f>
        <v/>
      </c>
      <c r="J13" s="83" t="n"/>
      <c r="K13" s="40">
        <f>IRR(I13:I18)</f>
        <v/>
      </c>
      <c r="L13" s="83" t="n"/>
    </row>
    <row r="14">
      <c r="B14" s="39" t="n">
        <v>4</v>
      </c>
      <c r="C14" s="90" t="n">
        <v>50000</v>
      </c>
      <c r="D14" s="90" t="n">
        <v>20000</v>
      </c>
      <c r="E14" s="5" t="n"/>
      <c r="F14" s="5" t="n"/>
      <c r="H14" s="41" t="n">
        <v>1</v>
      </c>
      <c r="I14" s="91">
        <f>C23-D23</f>
        <v/>
      </c>
      <c r="J14" s="83" t="n"/>
      <c r="K14" s="83" t="n"/>
      <c r="L14" s="83" t="n"/>
    </row>
    <row r="15">
      <c r="B15" s="39" t="n">
        <v>5</v>
      </c>
      <c r="C15" s="90" t="n">
        <v>58000</v>
      </c>
      <c r="D15" s="90" t="n">
        <v>15000</v>
      </c>
      <c r="E15" s="5" t="n"/>
      <c r="F15" s="5" t="n"/>
      <c r="H15" s="41" t="n">
        <v>2</v>
      </c>
      <c r="I15" s="91">
        <f>C24-D24</f>
        <v/>
      </c>
      <c r="J15" s="83" t="n"/>
      <c r="K15" s="83" t="n"/>
      <c r="L15" s="83" t="n"/>
    </row>
    <row r="16">
      <c r="B16" s="19" t="inlineStr">
        <is>
          <t>Capital available (₹)</t>
        </is>
      </c>
      <c r="C16" s="90" t="n">
        <v>150000</v>
      </c>
      <c r="H16" s="41" t="n">
        <v>3</v>
      </c>
      <c r="I16" s="91">
        <f>C25-D25</f>
        <v/>
      </c>
      <c r="J16" s="83" t="n"/>
      <c r="K16" s="83" t="n"/>
      <c r="L16" s="83" t="n"/>
    </row>
    <row r="17">
      <c r="H17" s="41" t="n">
        <v>4</v>
      </c>
      <c r="I17" s="91">
        <f>C26-D26</f>
        <v/>
      </c>
      <c r="J17" s="83" t="n"/>
      <c r="K17" s="83" t="n"/>
      <c r="L17" s="83" t="n"/>
    </row>
    <row r="18">
      <c r="H18" s="41" t="n">
        <v>5</v>
      </c>
      <c r="I18" s="91">
        <f>C27-D27</f>
        <v/>
      </c>
      <c r="J18" s="83" t="n"/>
      <c r="K18" s="83" t="n"/>
      <c r="L18" s="83" t="n"/>
    </row>
    <row r="19">
      <c r="H19" s="83" t="n"/>
      <c r="I19" s="83" t="n"/>
      <c r="J19" s="83" t="n"/>
      <c r="K19" s="83" t="n"/>
      <c r="L19" s="83" t="n"/>
    </row>
    <row r="20">
      <c r="B20" s="80" t="inlineStr">
        <is>
          <t>CALCULATIONS</t>
        </is>
      </c>
      <c r="C20" s="78" t="n"/>
      <c r="D20" s="78" t="n"/>
      <c r="E20" s="78" t="n"/>
      <c r="F20" s="79" t="n"/>
      <c r="H20" s="81" t="inlineStr">
        <is>
          <t>Decision (value-based)</t>
        </is>
      </c>
      <c r="I20" s="78" t="n"/>
      <c r="J20" s="78" t="n"/>
      <c r="K20" s="78" t="n"/>
      <c r="L20" s="79" t="n"/>
    </row>
    <row r="21" ht="29" customHeight="1" s="75">
      <c r="B21" s="42" t="inlineStr">
        <is>
          <t>Year</t>
        </is>
      </c>
      <c r="C21" s="42" t="inlineStr">
        <is>
          <t>Project Loom</t>
        </is>
      </c>
      <c r="D21" s="42" t="inlineStr">
        <is>
          <t>Project Weave</t>
        </is>
      </c>
      <c r="E21" s="87" t="n"/>
      <c r="F21" s="87" t="n"/>
      <c r="H21" s="86" t="inlineStr">
        <is>
          <t>Recommended project (higher NPV at WACC)</t>
        </is>
      </c>
      <c r="I21" s="25">
        <f>IF(I7&gt;J7, "Project Loom", "Project Weave")</f>
        <v/>
      </c>
      <c r="J21" s="83" t="n"/>
      <c r="K21" s="83" t="n"/>
      <c r="L21" s="83" t="n"/>
    </row>
    <row r="22">
      <c r="B22" s="43" t="n">
        <v>0</v>
      </c>
      <c r="C22" s="92">
        <f>C10</f>
        <v/>
      </c>
      <c r="D22" s="92">
        <f>D10</f>
        <v/>
      </c>
      <c r="E22" s="87" t="n"/>
      <c r="F22" s="87" t="n"/>
      <c r="H22" s="83" t="inlineStr">
        <is>
          <t>Note</t>
        </is>
      </c>
      <c r="I22" s="83" t="inlineStr">
        <is>
          <t>For mutually exclusive projects, prioritize NPV at WACC; use IRR/MIRR as supporting evidence.</t>
        </is>
      </c>
      <c r="J22" s="78" t="n"/>
      <c r="K22" s="78" t="n"/>
      <c r="L22" s="79" t="n"/>
    </row>
    <row r="23">
      <c r="B23" s="43" t="n">
        <v>1</v>
      </c>
      <c r="C23" s="92">
        <f>C11</f>
        <v/>
      </c>
      <c r="D23" s="92">
        <f>D11</f>
        <v/>
      </c>
      <c r="E23" s="87" t="n"/>
      <c r="F23" s="87" t="n"/>
      <c r="H23" s="83" t="n"/>
      <c r="I23" s="83" t="n"/>
      <c r="J23" s="83" t="n"/>
      <c r="K23" s="83" t="n"/>
      <c r="L23" s="83" t="n"/>
    </row>
    <row r="24">
      <c r="B24" s="43" t="n">
        <v>2</v>
      </c>
      <c r="C24" s="92">
        <f>C12</f>
        <v/>
      </c>
      <c r="D24" s="92">
        <f>D12</f>
        <v/>
      </c>
      <c r="E24" s="87" t="n"/>
      <c r="F24" s="87" t="n"/>
      <c r="H24" s="81" t="inlineStr">
        <is>
          <t>Capital Rationing (Divisible Investment)</t>
        </is>
      </c>
      <c r="I24" s="78" t="n"/>
      <c r="J24" s="78" t="n"/>
      <c r="K24" s="78" t="n"/>
      <c r="L24" s="79" t="n"/>
    </row>
    <row r="25">
      <c r="B25" s="43" t="n">
        <v>3</v>
      </c>
      <c r="C25" s="92">
        <f>C13</f>
        <v/>
      </c>
      <c r="D25" s="92">
        <f>D13</f>
        <v/>
      </c>
      <c r="E25" s="87" t="n"/>
      <c r="F25" s="87" t="n"/>
      <c r="H25" s="83" t="inlineStr">
        <is>
          <t>Capital available (₹)</t>
        </is>
      </c>
      <c r="I25" s="91">
        <f>$C$16</f>
        <v/>
      </c>
      <c r="J25" s="83" t="n"/>
      <c r="K25" s="83" t="n"/>
      <c r="L25" s="83" t="n"/>
    </row>
    <row r="26">
      <c r="B26" s="43" t="n">
        <v>4</v>
      </c>
      <c r="C26" s="92">
        <f>C14</f>
        <v/>
      </c>
      <c r="D26" s="92">
        <f>D14</f>
        <v/>
      </c>
      <c r="E26" s="87" t="n"/>
      <c r="F26" s="87" t="n"/>
      <c r="H26" s="83" t="inlineStr">
        <is>
          <t>Initial per project (₹)</t>
        </is>
      </c>
      <c r="I26" s="91">
        <f>ABS(C22)</f>
        <v/>
      </c>
      <c r="J26" s="83" t="n"/>
      <c r="K26" s="83" t="n"/>
      <c r="L26" s="83" t="n"/>
    </row>
    <row r="27">
      <c r="B27" s="43" t="n">
        <v>5</v>
      </c>
      <c r="C27" s="92">
        <f>C15</f>
        <v/>
      </c>
      <c r="D27" s="92">
        <f>D15</f>
        <v/>
      </c>
      <c r="E27" s="87" t="n"/>
      <c r="F27" s="87" t="n"/>
      <c r="H27" s="83" t="inlineStr">
        <is>
          <t>Higher PI project</t>
        </is>
      </c>
      <c r="I27" s="86">
        <f>IF(I8&gt;J8,"Project Loom","Project Weave")</f>
        <v/>
      </c>
      <c r="J27" s="83" t="n"/>
      <c r="K27" s="83" t="n"/>
      <c r="L27" s="83" t="n"/>
    </row>
    <row r="28">
      <c r="B28" s="87" t="n"/>
      <c r="C28" s="87" t="n"/>
      <c r="D28" s="87" t="n"/>
      <c r="E28" s="87" t="n"/>
      <c r="F28" s="87" t="n"/>
      <c r="H28" s="83" t="inlineStr">
        <is>
          <t>Allocation to higher PI (₹)</t>
        </is>
      </c>
      <c r="I28" s="91">
        <f>MIN($C$16,ABS(C22))</f>
        <v/>
      </c>
      <c r="J28" s="83" t="n"/>
      <c r="K28" s="83" t="n"/>
      <c r="L28" s="83" t="n"/>
    </row>
    <row r="29" ht="31" customHeight="1" s="75">
      <c r="B29" s="16" t="inlineStr">
        <is>
          <t>Present Value of Cash Flows (₹)</t>
        </is>
      </c>
      <c r="C29" s="87" t="n"/>
      <c r="D29" s="87" t="n"/>
      <c r="E29" s="87" t="n"/>
      <c r="F29" s="87" t="n"/>
      <c r="H29" s="83" t="inlineStr">
        <is>
          <t>Remaining capital (₹)</t>
        </is>
      </c>
      <c r="I29" s="91">
        <f>$C$16-I28</f>
        <v/>
      </c>
      <c r="J29" s="83" t="n"/>
      <c r="K29" s="83" t="n"/>
      <c r="L29" s="83" t="n"/>
    </row>
    <row r="30" ht="29" customHeight="1" s="75">
      <c r="B30" s="42" t="inlineStr">
        <is>
          <t>Year</t>
        </is>
      </c>
      <c r="C30" s="42" t="inlineStr">
        <is>
          <t>Project Loom</t>
        </is>
      </c>
      <c r="D30" s="42" t="inlineStr">
        <is>
          <t>Project Weave</t>
        </is>
      </c>
      <c r="E30" s="87" t="n"/>
      <c r="F30" s="87" t="n"/>
      <c r="H30" s="86" t="inlineStr">
        <is>
          <t>Allocation to other project (₹)</t>
        </is>
      </c>
      <c r="I30" s="97">
        <f>MAX(0,I29)</f>
        <v/>
      </c>
      <c r="J30" s="83" t="n"/>
      <c r="K30" s="83" t="n"/>
      <c r="L30" s="83" t="n"/>
    </row>
    <row r="31" ht="29" customHeight="1" s="75">
      <c r="B31" s="43" t="n">
        <v>0</v>
      </c>
      <c r="C31" s="93">
        <f>C22</f>
        <v/>
      </c>
      <c r="D31" s="93">
        <f>D22</f>
        <v/>
      </c>
      <c r="E31" s="87" t="n"/>
      <c r="F31" s="87" t="n"/>
      <c r="H31" s="83" t="inlineStr">
        <is>
          <t>Implied scale of other project</t>
        </is>
      </c>
      <c r="I31" s="89">
        <f>IF(I30=0,0,MIN(1,I30/ABS(C22)))</f>
        <v/>
      </c>
      <c r="J31" s="83" t="n"/>
      <c r="K31" s="83" t="n"/>
      <c r="L31" s="83" t="n"/>
    </row>
    <row r="32" ht="29" customHeight="1" s="75">
      <c r="B32" s="43" t="n">
        <v>1</v>
      </c>
      <c r="C32" s="93">
        <f>C23/(1+$C$5)^1</f>
        <v/>
      </c>
      <c r="D32" s="93">
        <f>D23/(1+$C$5)^1</f>
        <v/>
      </c>
      <c r="E32" s="87" t="n"/>
      <c r="F32" s="87" t="n"/>
      <c r="H32" s="83" t="inlineStr">
        <is>
          <t>Total NPV under allocation (₹)</t>
        </is>
      </c>
      <c r="I32" s="88">
        <f>IF(I8&gt;J8,I7+(J7*I31),J7+(I7*I31))</f>
        <v/>
      </c>
      <c r="J32" s="83" t="n"/>
      <c r="K32" s="83" t="n"/>
      <c r="L32" s="83" t="n"/>
    </row>
    <row r="33">
      <c r="B33" s="43" t="n">
        <v>2</v>
      </c>
      <c r="C33" s="93">
        <f>C24/(1+$C$5)^2</f>
        <v/>
      </c>
      <c r="D33" s="93">
        <f>D24/(1+$C$5)^2</f>
        <v/>
      </c>
      <c r="E33" s="87" t="n"/>
      <c r="F33" s="87" t="n"/>
      <c r="H33" s="83" t="n"/>
      <c r="I33" s="83" t="n"/>
      <c r="J33" s="83" t="n"/>
      <c r="K33" s="83" t="n"/>
      <c r="L33" s="83" t="n"/>
    </row>
    <row r="34">
      <c r="B34" s="43" t="n">
        <v>3</v>
      </c>
      <c r="C34" s="93">
        <f>C25/(1+$C$5)^3</f>
        <v/>
      </c>
      <c r="D34" s="93">
        <f>D25/(1+$C$5)^3</f>
        <v/>
      </c>
      <c r="E34" s="87" t="n"/>
      <c r="F34" s="87" t="n"/>
    </row>
    <row r="35">
      <c r="B35" s="43" t="n">
        <v>4</v>
      </c>
      <c r="C35" s="93">
        <f>C26/(1+$C$5)^4</f>
        <v/>
      </c>
      <c r="D35" s="93">
        <f>D26/(1+$C$5)^4</f>
        <v/>
      </c>
      <c r="E35" s="87" t="n"/>
      <c r="F35" s="87" t="n"/>
    </row>
    <row r="36">
      <c r="B36" s="43" t="n">
        <v>5</v>
      </c>
      <c r="C36" s="93">
        <f>C27/(1+$C$5)^5</f>
        <v/>
      </c>
      <c r="D36" s="93">
        <f>D27/(1+$C$5)^5</f>
        <v/>
      </c>
      <c r="E36" s="87" t="n"/>
      <c r="F36" s="87" t="n"/>
    </row>
    <row r="37">
      <c r="B37" s="87" t="n"/>
      <c r="C37" s="87" t="n"/>
      <c r="D37" s="87" t="n"/>
      <c r="E37" s="87" t="n"/>
      <c r="F37" s="87" t="n"/>
    </row>
    <row r="38">
      <c r="B38" s="77" t="inlineStr">
        <is>
          <t>CHECKS (Consistency)</t>
        </is>
      </c>
      <c r="C38" s="78" t="n"/>
      <c r="D38" s="78" t="n"/>
      <c r="E38" s="78" t="n"/>
      <c r="F38" s="79" t="n"/>
    </row>
    <row r="39">
      <c r="B39" s="28" t="inlineStr">
        <is>
          <t>Check</t>
        </is>
      </c>
      <c r="C39" s="28" t="inlineStr">
        <is>
          <t>Left project</t>
        </is>
      </c>
      <c r="D39" s="28" t="inlineStr">
        <is>
          <t>Right project</t>
        </is>
      </c>
      <c r="E39" s="28" t="inlineStr">
        <is>
          <t>Status</t>
        </is>
      </c>
      <c r="F39" s="18" t="n"/>
    </row>
    <row r="40" ht="29" customHeight="1" s="75">
      <c r="B40" s="18" t="inlineStr">
        <is>
          <t>Year 0 outflow should be negative</t>
        </is>
      </c>
      <c r="C40" s="94">
        <f>C22</f>
        <v/>
      </c>
      <c r="D40" s="94">
        <f>D22</f>
        <v/>
      </c>
      <c r="E40" s="30">
        <f>IF(AND(C22&lt;0,D22&lt;0),"OK","Check sign")</f>
        <v/>
      </c>
      <c r="F40" s="18" t="n"/>
    </row>
    <row r="41" ht="29" customHeight="1" s="75">
      <c r="B41" s="18" t="inlineStr">
        <is>
          <t>NPV at IRR (should be ≈ 0)</t>
        </is>
      </c>
      <c r="C41" s="95">
        <f>NPV(I9,C23:C27)+C22</f>
        <v/>
      </c>
      <c r="D41" s="95">
        <f>NPV(J9,D23:D27)+D22</f>
        <v/>
      </c>
      <c r="E41" s="30">
        <f>IF(AND(ABS(C41)&lt;5,ABS(D41)&lt;5),"OK","Review")</f>
        <v/>
      </c>
      <c r="F41" s="18" t="n"/>
    </row>
    <row r="42" ht="43.5" customHeight="1" s="75">
      <c r="B42" s="18" t="inlineStr">
        <is>
          <t>PI consistency (recompute PV inflows / outflow)</t>
        </is>
      </c>
      <c r="C42" s="96">
        <f>NPV($C$5,C23:C27)/ABS(C22)</f>
        <v/>
      </c>
      <c r="D42" s="96">
        <f>NPV($C$5,D23:D27)/ABS(D22)</f>
        <v/>
      </c>
      <c r="E42" s="30">
        <f>IF(AND(ABS(C42-I8)&lt;0.001,ABS(D42-J8)&lt;0.001),"OK","Review")</f>
        <v/>
      </c>
      <c r="F42" s="18" t="n"/>
    </row>
    <row r="43" ht="43.5" customHeight="1" s="75">
      <c r="B43" s="18" t="inlineStr">
        <is>
          <t>NPV difference at crossover rate (should be ≈ 0)</t>
        </is>
      </c>
      <c r="C43" s="95">
        <f>NPV(K13,C23:C27)+C22</f>
        <v/>
      </c>
      <c r="D43" s="95">
        <f>NPV(K13,D23:D27)+D22</f>
        <v/>
      </c>
      <c r="E43" s="30">
        <f>IF(ABS(C43-D43)&lt;10,"OK","Review")</f>
        <v/>
      </c>
      <c r="F43" s="18" t="n"/>
    </row>
  </sheetData>
  <sheetProtection selectLockedCells="0" selectUnlockedCells="0" sheet="1" objects="1" insertRows="0" insertHyperlinks="1" autoFilter="0" scenarios="1" formatColumns="0" deleteColumns="0" insertColumns="0" pivotTables="0" deleteRows="0" formatCells="0" formatRows="0" sort="0" password="AE3A"/>
  <mergeCells count="9">
    <mergeCell ref="B4:F4"/>
    <mergeCell ref="I22:L22"/>
    <mergeCell ref="H11:L11"/>
    <mergeCell ref="B38:F38"/>
    <mergeCell ref="B20:F20"/>
    <mergeCell ref="H20:L20"/>
    <mergeCell ref="A1:L1"/>
    <mergeCell ref="H24:L24"/>
    <mergeCell ref="H4:L4"/>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43"/>
  <sheetViews>
    <sheetView workbookViewId="0">
      <pane xSplit="1" ySplit="8" topLeftCell="B38" activePane="bottomRight" state="frozen"/>
      <selection pane="topRight" activeCell="A1" sqref="A1"/>
      <selection pane="bottomLeft" activeCell="A1" sqref="A1"/>
      <selection pane="bottomRight" activeCell="A1" sqref="A1:L1"/>
    </sheetView>
  </sheetViews>
  <sheetFormatPr baseColWidth="8" defaultRowHeight="14.5"/>
  <cols>
    <col width="3" customWidth="1" style="75" min="1" max="1"/>
    <col width="18" customWidth="1" style="75" min="2" max="6"/>
    <col width="3" customWidth="1" style="75" min="7" max="7"/>
    <col width="22" customWidth="1" style="75" min="8" max="8"/>
    <col width="18" customWidth="1" style="75" min="9" max="12"/>
  </cols>
  <sheetData>
    <row r="1">
      <c r="A1" s="74" t="inlineStr">
        <is>
          <t>Expansion Plans for Zenith Packaging Ltd.</t>
        </is>
      </c>
    </row>
    <row r="2">
      <c r="A2" s="34" t="inlineStr">
        <is>
          <t>⬅ Back to Index</t>
        </is>
      </c>
    </row>
    <row r="3"/>
    <row r="4">
      <c r="B4" s="82" t="inlineStr">
        <is>
          <t>INPUTS</t>
        </is>
      </c>
      <c r="C4" s="78" t="n"/>
      <c r="D4" s="78" t="n"/>
      <c r="E4" s="78" t="n"/>
      <c r="F4" s="79" t="n"/>
      <c r="H4" s="82" t="inlineStr">
        <is>
          <t>OUTPUTS / DECISION</t>
        </is>
      </c>
      <c r="I4" s="78" t="n"/>
      <c r="J4" s="78" t="n"/>
      <c r="K4" s="78" t="n"/>
      <c r="L4" s="79" t="n"/>
    </row>
    <row r="5" ht="15.5" customHeight="1" s="75">
      <c r="B5" s="5" t="inlineStr">
        <is>
          <t>WACC</t>
        </is>
      </c>
      <c r="C5" s="35" t="n">
        <v>0.0825</v>
      </c>
      <c r="D5" s="5" t="n"/>
      <c r="E5" s="5" t="n"/>
      <c r="F5" s="5" t="n"/>
      <c r="H5" s="81" t="inlineStr">
        <is>
          <t>Summary Metrics</t>
        </is>
      </c>
      <c r="I5" s="83" t="n"/>
      <c r="J5" s="83" t="n"/>
      <c r="K5" s="83" t="n"/>
      <c r="L5" s="83" t="n"/>
    </row>
    <row r="6" ht="29" customHeight="1" s="75">
      <c r="B6" s="23" t="inlineStr">
        <is>
          <t>Reinvestment Rate (for MIRR)</t>
        </is>
      </c>
      <c r="C6" s="36" t="n">
        <v>0.075</v>
      </c>
      <c r="D6" s="5" t="n"/>
      <c r="E6" s="5" t="n"/>
      <c r="F6" s="5" t="n"/>
      <c r="H6" s="20" t="inlineStr">
        <is>
          <t>Metric</t>
        </is>
      </c>
      <c r="I6" s="20" t="inlineStr">
        <is>
          <t>Project Alpha</t>
        </is>
      </c>
      <c r="J6" s="20" t="inlineStr">
        <is>
          <t>Project Beta</t>
        </is>
      </c>
      <c r="K6" s="83" t="n"/>
      <c r="L6" s="83" t="n"/>
    </row>
    <row r="7">
      <c r="B7" s="5" t="n"/>
      <c r="C7" s="5" t="n"/>
      <c r="D7" s="5" t="n"/>
      <c r="E7" s="5" t="n"/>
      <c r="F7" s="5" t="n"/>
      <c r="H7" s="83" t="inlineStr">
        <is>
          <t>NPV (₹)</t>
        </is>
      </c>
      <c r="I7" s="88">
        <f>NPV($C$5,C23:C27)+C22</f>
        <v/>
      </c>
      <c r="J7" s="88">
        <f>NPV($C$5,D23:D27)+D22</f>
        <v/>
      </c>
      <c r="K7" s="83" t="n"/>
      <c r="L7" s="83" t="n"/>
    </row>
    <row r="8" ht="15.5" customHeight="1" s="75">
      <c r="B8" s="10" t="inlineStr">
        <is>
          <t>Cash Flows (₹)</t>
        </is>
      </c>
      <c r="C8" s="5" t="n"/>
      <c r="D8" s="5" t="n"/>
      <c r="E8" s="5" t="n"/>
      <c r="F8" s="5" t="n"/>
      <c r="H8" s="83" t="inlineStr">
        <is>
          <t>PI</t>
        </is>
      </c>
      <c r="I8" s="89">
        <f>NPV($C$5,C23:C27)/ABS(C22)</f>
        <v/>
      </c>
      <c r="J8" s="89">
        <f>NPV($C$5,D23:D27)/ABS(D22)</f>
        <v/>
      </c>
      <c r="K8" s="83" t="n"/>
      <c r="L8" s="83" t="n"/>
    </row>
    <row r="9">
      <c r="B9" s="21" t="inlineStr">
        <is>
          <t>Year</t>
        </is>
      </c>
      <c r="C9" s="21" t="inlineStr">
        <is>
          <t>Project Alpha</t>
        </is>
      </c>
      <c r="D9" s="21" t="inlineStr">
        <is>
          <t>Project Beta</t>
        </is>
      </c>
      <c r="E9" s="5" t="n"/>
      <c r="F9" s="5" t="n"/>
      <c r="H9" s="86" t="inlineStr">
        <is>
          <t>IRR</t>
        </is>
      </c>
      <c r="I9" s="22">
        <f>IRR(C22:C27)</f>
        <v/>
      </c>
      <c r="J9" s="22">
        <f>IRR(D22:D27)</f>
        <v/>
      </c>
      <c r="K9" s="83" t="n"/>
      <c r="L9" s="83" t="n"/>
    </row>
    <row r="10">
      <c r="B10" s="39" t="n">
        <v>0</v>
      </c>
      <c r="C10" s="90" t="n">
        <v>-175000</v>
      </c>
      <c r="D10" s="90" t="n">
        <v>-175000</v>
      </c>
      <c r="E10" s="5" t="n"/>
      <c r="F10" s="5" t="n"/>
      <c r="H10" s="83" t="inlineStr">
        <is>
          <t>MIRR</t>
        </is>
      </c>
      <c r="I10" s="40">
        <f>MIRR(C22:C27,$C$5,$C$6)</f>
        <v/>
      </c>
      <c r="J10" s="40">
        <f>MIRR(D22:D27,$C$5,$C$6)</f>
        <v/>
      </c>
      <c r="K10" s="83" t="n"/>
      <c r="L10" s="83" t="n"/>
    </row>
    <row r="11">
      <c r="B11" s="39" t="n">
        <v>1</v>
      </c>
      <c r="C11" s="90" t="n">
        <v>20000</v>
      </c>
      <c r="D11" s="90" t="n">
        <v>70000</v>
      </c>
      <c r="E11" s="5" t="n"/>
      <c r="F11" s="5" t="n"/>
      <c r="H11" s="84" t="inlineStr">
        <is>
          <t>Crossover Rate (IRR of Incremental CF: Left − Right)</t>
        </is>
      </c>
      <c r="I11" s="78" t="n"/>
      <c r="J11" s="78" t="n"/>
      <c r="K11" s="78" t="n"/>
      <c r="L11" s="79" t="n"/>
    </row>
    <row r="12">
      <c r="B12" s="39" t="n">
        <v>2</v>
      </c>
      <c r="C12" s="90" t="n">
        <v>40000</v>
      </c>
      <c r="D12" s="90" t="n">
        <v>50000</v>
      </c>
      <c r="E12" s="5" t="n"/>
      <c r="F12" s="5" t="n"/>
      <c r="H12" s="9" t="inlineStr">
        <is>
          <t>Year</t>
        </is>
      </c>
      <c r="I12" s="9" t="inlineStr">
        <is>
          <t>ΔCF (Left − Right)</t>
        </is>
      </c>
      <c r="J12" s="83" t="n"/>
      <c r="K12" s="84" t="inlineStr">
        <is>
          <t>Crossover IRR</t>
        </is>
      </c>
      <c r="L12" s="83" t="n"/>
    </row>
    <row r="13">
      <c r="B13" s="39" t="n">
        <v>3</v>
      </c>
      <c r="C13" s="90" t="n">
        <v>50000</v>
      </c>
      <c r="D13" s="90" t="n">
        <v>40000</v>
      </c>
      <c r="E13" s="5" t="n"/>
      <c r="F13" s="5" t="n"/>
      <c r="H13" s="41" t="n">
        <v>0</v>
      </c>
      <c r="I13" s="91">
        <f>C22-D22</f>
        <v/>
      </c>
      <c r="J13" s="83" t="n"/>
      <c r="K13" s="40">
        <f>IRR(I13:I18)</f>
        <v/>
      </c>
      <c r="L13" s="83" t="n"/>
    </row>
    <row r="14">
      <c r="B14" s="39" t="n">
        <v>4</v>
      </c>
      <c r="C14" s="90" t="n">
        <v>60000</v>
      </c>
      <c r="D14" s="90" t="n">
        <v>30000</v>
      </c>
      <c r="E14" s="5" t="n"/>
      <c r="F14" s="5" t="n"/>
      <c r="H14" s="41" t="n">
        <v>1</v>
      </c>
      <c r="I14" s="91">
        <f>C23-D23</f>
        <v/>
      </c>
      <c r="J14" s="83" t="n"/>
      <c r="K14" s="83" t="n"/>
      <c r="L14" s="83" t="n"/>
    </row>
    <row r="15">
      <c r="B15" s="39" t="n">
        <v>5</v>
      </c>
      <c r="C15" s="90" t="n">
        <v>65000</v>
      </c>
      <c r="D15" s="90" t="n">
        <v>25000</v>
      </c>
      <c r="E15" s="5" t="n"/>
      <c r="F15" s="5" t="n"/>
      <c r="H15" s="41" t="n">
        <v>2</v>
      </c>
      <c r="I15" s="91">
        <f>C24-D24</f>
        <v/>
      </c>
      <c r="J15" s="83" t="n"/>
      <c r="K15" s="83" t="n"/>
      <c r="L15" s="83" t="n"/>
    </row>
    <row r="16">
      <c r="B16" s="5" t="inlineStr">
        <is>
          <t>Corporate tax rate</t>
        </is>
      </c>
      <c r="C16" s="35" t="n">
        <v>0.3</v>
      </c>
      <c r="H16" s="41" t="n">
        <v>3</v>
      </c>
      <c r="I16" s="91">
        <f>C25-D25</f>
        <v/>
      </c>
      <c r="J16" s="83" t="n"/>
      <c r="K16" s="83" t="n"/>
      <c r="L16" s="83" t="n"/>
    </row>
    <row r="17" ht="29" customHeight="1" s="75">
      <c r="B17" s="5" t="inlineStr">
        <is>
          <t>Salvage value at end of Year 5 (₹)</t>
        </is>
      </c>
      <c r="C17" s="90" t="n">
        <v>20000</v>
      </c>
      <c r="H17" s="41" t="n">
        <v>4</v>
      </c>
      <c r="I17" s="91">
        <f>C26-D26</f>
        <v/>
      </c>
      <c r="J17" s="83" t="n"/>
      <c r="K17" s="83" t="n"/>
      <c r="L17" s="83" t="n"/>
    </row>
    <row r="18">
      <c r="H18" s="41" t="n">
        <v>5</v>
      </c>
      <c r="I18" s="91">
        <f>C27-D27</f>
        <v/>
      </c>
      <c r="J18" s="83" t="n"/>
      <c r="K18" s="83" t="n"/>
      <c r="L18" s="83" t="n"/>
    </row>
    <row r="19">
      <c r="H19" s="83" t="n"/>
      <c r="I19" s="83" t="n"/>
      <c r="J19" s="83" t="n"/>
      <c r="K19" s="83" t="n"/>
      <c r="L19" s="83" t="n"/>
    </row>
    <row r="20">
      <c r="B20" s="80" t="inlineStr">
        <is>
          <t>CALCULATIONS</t>
        </is>
      </c>
      <c r="C20" s="78" t="n"/>
      <c r="D20" s="78" t="n"/>
      <c r="E20" s="78" t="n"/>
      <c r="F20" s="79" t="n"/>
      <c r="H20" s="81" t="inlineStr">
        <is>
          <t>Decision (value-based)</t>
        </is>
      </c>
      <c r="I20" s="78" t="n"/>
      <c r="J20" s="78" t="n"/>
      <c r="K20" s="78" t="n"/>
      <c r="L20" s="79" t="n"/>
    </row>
    <row r="21" ht="29" customHeight="1" s="75">
      <c r="B21" s="42" t="inlineStr">
        <is>
          <t>Year</t>
        </is>
      </c>
      <c r="C21" s="42" t="inlineStr">
        <is>
          <t>Project Alpha</t>
        </is>
      </c>
      <c r="D21" s="42" t="inlineStr">
        <is>
          <t>Project Beta</t>
        </is>
      </c>
      <c r="E21" s="87" t="n"/>
      <c r="F21" s="87" t="n"/>
      <c r="H21" s="86" t="inlineStr">
        <is>
          <t>Recommended project (higher NPV at WACC)</t>
        </is>
      </c>
      <c r="I21" s="25">
        <f>IF(I7&gt;J7, "Project Alpha", "Project Beta")</f>
        <v/>
      </c>
      <c r="J21" s="83" t="n"/>
      <c r="K21" s="83" t="n"/>
      <c r="L21" s="83" t="n"/>
    </row>
    <row r="22">
      <c r="B22" s="43" t="n">
        <v>0</v>
      </c>
      <c r="C22" s="92">
        <f>C10</f>
        <v/>
      </c>
      <c r="D22" s="92">
        <f>D10</f>
        <v/>
      </c>
      <c r="E22" s="87" t="n"/>
      <c r="F22" s="87" t="n"/>
      <c r="H22" s="83" t="inlineStr">
        <is>
          <t>Note</t>
        </is>
      </c>
      <c r="I22" s="83" t="inlineStr">
        <is>
          <t>For mutually exclusive projects, prioritize NPV at WACC; use IRR/MIRR as supporting evidence.</t>
        </is>
      </c>
      <c r="J22" s="78" t="n"/>
      <c r="K22" s="78" t="n"/>
      <c r="L22" s="79" t="n"/>
    </row>
    <row r="23">
      <c r="B23" s="43" t="n">
        <v>1</v>
      </c>
      <c r="C23" s="92">
        <f>C11*(1-$C$16)</f>
        <v/>
      </c>
      <c r="D23" s="92">
        <f>D11*(1-$C$16)</f>
        <v/>
      </c>
      <c r="E23" s="87" t="n"/>
      <c r="F23" s="87" t="n"/>
      <c r="H23" s="83" t="n"/>
      <c r="I23" s="83" t="n"/>
      <c r="J23" s="83" t="n"/>
      <c r="K23" s="83" t="n"/>
      <c r="L23" s="83" t="n"/>
    </row>
    <row r="24">
      <c r="B24" s="43" t="n">
        <v>2</v>
      </c>
      <c r="C24" s="92">
        <f>C12*(1-$C$16)</f>
        <v/>
      </c>
      <c r="D24" s="92">
        <f>D12*(1-$C$16)</f>
        <v/>
      </c>
      <c r="E24" s="87" t="n"/>
      <c r="F24" s="87" t="n"/>
      <c r="H24" s="83" t="n"/>
      <c r="I24" s="83" t="n"/>
      <c r="J24" s="83" t="n"/>
      <c r="K24" s="83" t="n"/>
      <c r="L24" s="83" t="n"/>
    </row>
    <row r="25">
      <c r="B25" s="43" t="n">
        <v>3</v>
      </c>
      <c r="C25" s="92">
        <f>C13*(1-$C$16)</f>
        <v/>
      </c>
      <c r="D25" s="92">
        <f>D13*(1-$C$16)</f>
        <v/>
      </c>
      <c r="E25" s="87" t="n"/>
      <c r="F25" s="87" t="n"/>
      <c r="H25" s="83" t="n"/>
      <c r="I25" s="83" t="n"/>
      <c r="J25" s="83" t="n"/>
      <c r="K25" s="83" t="n"/>
      <c r="L25" s="83" t="n"/>
    </row>
    <row r="26">
      <c r="B26" s="43" t="n">
        <v>4</v>
      </c>
      <c r="C26" s="92">
        <f>C14*(1-$C$16)</f>
        <v/>
      </c>
      <c r="D26" s="92">
        <f>D14*(1-$C$16)</f>
        <v/>
      </c>
      <c r="E26" s="87" t="n"/>
      <c r="F26" s="87" t="n"/>
      <c r="H26" s="83" t="n"/>
      <c r="I26" s="83" t="n"/>
      <c r="J26" s="83" t="n"/>
      <c r="K26" s="83" t="n"/>
      <c r="L26" s="83" t="n"/>
    </row>
    <row r="27">
      <c r="B27" s="43" t="n">
        <v>5</v>
      </c>
      <c r="C27" s="92">
        <f>(C15*(1-$C$16))+($C$17*(1-$C$16))</f>
        <v/>
      </c>
      <c r="D27" s="92">
        <f>(D15*(1-$C$16))+($C$17*(1-$C$16))</f>
        <v/>
      </c>
      <c r="E27" s="87" t="n"/>
      <c r="F27" s="87" t="n"/>
      <c r="H27" s="83" t="n"/>
      <c r="I27" s="83" t="n"/>
      <c r="J27" s="83" t="n"/>
      <c r="K27" s="83" t="n"/>
      <c r="L27" s="83" t="n"/>
    </row>
    <row r="28">
      <c r="B28" s="87" t="n"/>
      <c r="C28" s="87" t="n"/>
      <c r="D28" s="87" t="n"/>
      <c r="E28" s="87" t="n"/>
      <c r="F28" s="87" t="n"/>
      <c r="H28" s="83" t="n"/>
      <c r="I28" s="83" t="n"/>
      <c r="J28" s="83" t="n"/>
      <c r="K28" s="83" t="n"/>
      <c r="L28" s="83" t="n"/>
    </row>
    <row r="29" ht="31" customHeight="1" s="75">
      <c r="B29" s="16" t="inlineStr">
        <is>
          <t>Present Value of Cash Flows (₹)</t>
        </is>
      </c>
      <c r="C29" s="87" t="n"/>
      <c r="D29" s="87" t="n"/>
      <c r="E29" s="87" t="n"/>
      <c r="F29" s="87" t="n"/>
      <c r="H29" s="83" t="n"/>
      <c r="I29" s="83" t="n"/>
      <c r="J29" s="83" t="n"/>
      <c r="K29" s="83" t="n"/>
      <c r="L29" s="83" t="n"/>
    </row>
    <row r="30">
      <c r="B30" s="42" t="inlineStr">
        <is>
          <t>Year</t>
        </is>
      </c>
      <c r="C30" s="42" t="inlineStr">
        <is>
          <t>Project Alpha</t>
        </is>
      </c>
      <c r="D30" s="42" t="inlineStr">
        <is>
          <t>Project Beta</t>
        </is>
      </c>
      <c r="E30" s="87" t="n"/>
      <c r="F30" s="87" t="n"/>
      <c r="H30" s="83" t="n"/>
      <c r="I30" s="83" t="n"/>
      <c r="J30" s="83" t="n"/>
      <c r="K30" s="83" t="n"/>
      <c r="L30" s="83" t="n"/>
    </row>
    <row r="31">
      <c r="B31" s="43" t="n">
        <v>0</v>
      </c>
      <c r="C31" s="93">
        <f>C22</f>
        <v/>
      </c>
      <c r="D31" s="93">
        <f>D22</f>
        <v/>
      </c>
      <c r="E31" s="87" t="n"/>
      <c r="F31" s="87" t="n"/>
      <c r="H31" s="83" t="n"/>
      <c r="I31" s="83" t="n"/>
      <c r="J31" s="83" t="n"/>
      <c r="K31" s="83" t="n"/>
      <c r="L31" s="83" t="n"/>
    </row>
    <row r="32">
      <c r="B32" s="43" t="n">
        <v>1</v>
      </c>
      <c r="C32" s="93">
        <f>C23/(1+$C$5)^1</f>
        <v/>
      </c>
      <c r="D32" s="93">
        <f>D23/(1+$C$5)^1</f>
        <v/>
      </c>
      <c r="E32" s="87" t="n"/>
      <c r="F32" s="87" t="n"/>
      <c r="H32" s="83" t="n"/>
      <c r="I32" s="83" t="n"/>
      <c r="J32" s="83" t="n"/>
      <c r="K32" s="83" t="n"/>
      <c r="L32" s="83" t="n"/>
    </row>
    <row r="33">
      <c r="B33" s="43" t="n">
        <v>2</v>
      </c>
      <c r="C33" s="93">
        <f>C24/(1+$C$5)^2</f>
        <v/>
      </c>
      <c r="D33" s="93">
        <f>D24/(1+$C$5)^2</f>
        <v/>
      </c>
      <c r="E33" s="87" t="n"/>
      <c r="F33" s="87" t="n"/>
      <c r="H33" s="83" t="n"/>
      <c r="I33" s="83" t="n"/>
      <c r="J33" s="83" t="n"/>
      <c r="K33" s="83" t="n"/>
      <c r="L33" s="83" t="n"/>
    </row>
    <row r="34">
      <c r="B34" s="43" t="n">
        <v>3</v>
      </c>
      <c r="C34" s="93">
        <f>C25/(1+$C$5)^3</f>
        <v/>
      </c>
      <c r="D34" s="93">
        <f>D25/(1+$C$5)^3</f>
        <v/>
      </c>
      <c r="E34" s="87" t="n"/>
      <c r="F34" s="87" t="n"/>
    </row>
    <row r="35">
      <c r="B35" s="43" t="n">
        <v>4</v>
      </c>
      <c r="C35" s="93">
        <f>C26/(1+$C$5)^4</f>
        <v/>
      </c>
      <c r="D35" s="93">
        <f>D26/(1+$C$5)^4</f>
        <v/>
      </c>
      <c r="E35" s="87" t="n"/>
      <c r="F35" s="87" t="n"/>
    </row>
    <row r="36">
      <c r="B36" s="43" t="n">
        <v>5</v>
      </c>
      <c r="C36" s="93">
        <f>C27/(1+$C$5)^5</f>
        <v/>
      </c>
      <c r="D36" s="93">
        <f>D27/(1+$C$5)^5</f>
        <v/>
      </c>
      <c r="E36" s="87" t="n"/>
      <c r="F36" s="87" t="n"/>
    </row>
    <row r="37">
      <c r="B37" s="87" t="n"/>
      <c r="C37" s="87" t="n"/>
      <c r="D37" s="87" t="n"/>
      <c r="E37" s="87" t="n"/>
      <c r="F37" s="87" t="n"/>
    </row>
    <row r="38">
      <c r="B38" s="77" t="inlineStr">
        <is>
          <t>CHECKS (Consistency)</t>
        </is>
      </c>
      <c r="C38" s="78" t="n"/>
      <c r="D38" s="78" t="n"/>
      <c r="E38" s="78" t="n"/>
      <c r="F38" s="79" t="n"/>
    </row>
    <row r="39">
      <c r="B39" s="28" t="inlineStr">
        <is>
          <t>Check</t>
        </is>
      </c>
      <c r="C39" s="28" t="inlineStr">
        <is>
          <t>Left project</t>
        </is>
      </c>
      <c r="D39" s="28" t="inlineStr">
        <is>
          <t>Right project</t>
        </is>
      </c>
      <c r="E39" s="28" t="inlineStr">
        <is>
          <t>Status</t>
        </is>
      </c>
      <c r="F39" s="18" t="n"/>
    </row>
    <row r="40" ht="29" customHeight="1" s="75">
      <c r="B40" s="18" t="inlineStr">
        <is>
          <t>Year 0 outflow should be negative</t>
        </is>
      </c>
      <c r="C40" s="94">
        <f>C22</f>
        <v/>
      </c>
      <c r="D40" s="94">
        <f>D22</f>
        <v/>
      </c>
      <c r="E40" s="30">
        <f>IF(AND(C22&lt;0,D22&lt;0),"OK","Check sign")</f>
        <v/>
      </c>
      <c r="F40" s="18" t="n"/>
    </row>
    <row r="41" ht="29" customHeight="1" s="75">
      <c r="B41" s="18" t="inlineStr">
        <is>
          <t>NPV at IRR (should be ≈ 0)</t>
        </is>
      </c>
      <c r="C41" s="95">
        <f>NPV(I9,C23:C27)+C22</f>
        <v/>
      </c>
      <c r="D41" s="95">
        <f>NPV(J9,D23:D27)+D22</f>
        <v/>
      </c>
      <c r="E41" s="30">
        <f>IF(AND(ABS(C41)&lt;5,ABS(D41)&lt;5),"OK","Review")</f>
        <v/>
      </c>
      <c r="F41" s="18" t="n"/>
    </row>
    <row r="42" ht="43.5" customHeight="1" s="75">
      <c r="B42" s="18" t="inlineStr">
        <is>
          <t>PI consistency (recompute PV inflows / outflow)</t>
        </is>
      </c>
      <c r="C42" s="96">
        <f>NPV($C$5,C23:C27)/ABS(C22)</f>
        <v/>
      </c>
      <c r="D42" s="96">
        <f>NPV($C$5,D23:D27)/ABS(D22)</f>
        <v/>
      </c>
      <c r="E42" s="30">
        <f>IF(AND(ABS(C42-I8)&lt;0.001,ABS(D42-J8)&lt;0.001),"OK","Review")</f>
        <v/>
      </c>
      <c r="F42" s="18" t="n"/>
    </row>
    <row r="43" ht="43.5" customHeight="1" s="75">
      <c r="B43" s="18" t="inlineStr">
        <is>
          <t>NPV difference at crossover rate (should be ≈ 0)</t>
        </is>
      </c>
      <c r="C43" s="95">
        <f>NPV(K13,C23:C27)+C22</f>
        <v/>
      </c>
      <c r="D43" s="95">
        <f>NPV(K13,D23:D27)+D22</f>
        <v/>
      </c>
      <c r="E43" s="30">
        <f>IF(ABS(C43-D43)&lt;10,"OK","Review")</f>
        <v/>
      </c>
      <c r="F43" s="18" t="n"/>
    </row>
  </sheetData>
  <sheetProtection selectLockedCells="0" selectUnlockedCells="0" sheet="1" objects="1" insertRows="0" insertHyperlinks="1" autoFilter="0" scenarios="1" formatColumns="0" deleteColumns="0" insertColumns="0" pivotTables="0" deleteRows="0" formatCells="0" formatRows="0" sort="0" password="AE3A"/>
  <mergeCells count="8">
    <mergeCell ref="B4:F4"/>
    <mergeCell ref="I22:L22"/>
    <mergeCell ref="H11:L11"/>
    <mergeCell ref="B38:F38"/>
    <mergeCell ref="B20:F20"/>
    <mergeCell ref="H20:L20"/>
    <mergeCell ref="A1:L1"/>
    <mergeCell ref="H4:L4"/>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43"/>
  <sheetViews>
    <sheetView workbookViewId="0">
      <pane xSplit="1" ySplit="8" topLeftCell="B9" activePane="bottomRight" state="frozen"/>
      <selection pane="topRight" activeCell="A1" sqref="A1"/>
      <selection pane="bottomLeft" activeCell="A1" sqref="A1"/>
      <selection pane="bottomRight" activeCell="J29" sqref="J29"/>
    </sheetView>
  </sheetViews>
  <sheetFormatPr baseColWidth="8" defaultRowHeight="14.5"/>
  <cols>
    <col width="3" customWidth="1" style="75" min="1" max="1"/>
    <col width="18" customWidth="1" style="75" min="2" max="6"/>
    <col width="3" customWidth="1" style="75" min="7" max="7"/>
    <col width="22" customWidth="1" style="75" min="8" max="8"/>
    <col width="18" customWidth="1" style="75" min="9" max="12"/>
  </cols>
  <sheetData>
    <row r="1">
      <c r="A1" s="74" t="inlineStr">
        <is>
          <t>Investment Opportunity for Greenfield Tech Pvt. Ltd.</t>
        </is>
      </c>
    </row>
    <row r="2">
      <c r="A2" s="34" t="inlineStr">
        <is>
          <t>⬅ Back to Index</t>
        </is>
      </c>
    </row>
    <row r="3"/>
    <row r="4">
      <c r="B4" s="82" t="inlineStr">
        <is>
          <t>INPUTS</t>
        </is>
      </c>
      <c r="C4" s="78" t="n"/>
      <c r="D4" s="78" t="n"/>
      <c r="E4" s="78" t="n"/>
      <c r="F4" s="79" t="n"/>
      <c r="H4" s="82" t="inlineStr">
        <is>
          <t>OUTPUTS / DECISION</t>
        </is>
      </c>
      <c r="I4" s="78" t="n"/>
      <c r="J4" s="78" t="n"/>
      <c r="K4" s="78" t="n"/>
      <c r="L4" s="79" t="n"/>
    </row>
    <row r="5" ht="15.5" customHeight="1" s="75">
      <c r="B5" s="5" t="inlineStr">
        <is>
          <t>WACC</t>
        </is>
      </c>
      <c r="C5" s="35" t="n">
        <v>0.08749999999999999</v>
      </c>
      <c r="D5" s="5" t="n"/>
      <c r="E5" s="5" t="n"/>
      <c r="F5" s="5" t="n"/>
      <c r="H5" s="81" t="inlineStr">
        <is>
          <t>Summary Metrics</t>
        </is>
      </c>
      <c r="I5" s="83" t="n"/>
      <c r="J5" s="83" t="n"/>
      <c r="K5" s="83" t="n"/>
      <c r="L5" s="83" t="n"/>
    </row>
    <row r="6" ht="29" customHeight="1" s="75">
      <c r="B6" s="23" t="inlineStr">
        <is>
          <t>Reinvestment Rate (for MIRR)</t>
        </is>
      </c>
      <c r="C6" s="36" t="n">
        <v>0.08</v>
      </c>
      <c r="D6" s="5" t="n"/>
      <c r="E6" s="5" t="n"/>
      <c r="F6" s="5" t="n"/>
      <c r="H6" s="20" t="inlineStr">
        <is>
          <t>Metric</t>
        </is>
      </c>
      <c r="I6" s="20" t="inlineStr">
        <is>
          <t>Project Solar</t>
        </is>
      </c>
      <c r="J6" s="20" t="inlineStr">
        <is>
          <t>Project Wind</t>
        </is>
      </c>
      <c r="K6" s="83" t="n"/>
      <c r="L6" s="83" t="n"/>
    </row>
    <row r="7">
      <c r="B7" s="5" t="n"/>
      <c r="C7" s="5" t="n"/>
      <c r="D7" s="5" t="n"/>
      <c r="E7" s="5" t="n"/>
      <c r="F7" s="5" t="n"/>
      <c r="H7" s="83" t="inlineStr">
        <is>
          <t>NPV (₹)</t>
        </is>
      </c>
      <c r="I7" s="88">
        <f>NPV($C$5,C23:C27)+C22</f>
        <v/>
      </c>
      <c r="J7" s="88">
        <f>NPV($C$5,D23:D27)+D22</f>
        <v/>
      </c>
      <c r="K7" s="83" t="n"/>
      <c r="L7" s="83" t="n"/>
    </row>
    <row r="8" ht="15.5" customHeight="1" s="75">
      <c r="B8" s="10" t="inlineStr">
        <is>
          <t>Cash Flows (₹)</t>
        </is>
      </c>
      <c r="C8" s="5" t="n"/>
      <c r="D8" s="5" t="n"/>
      <c r="E8" s="5" t="n"/>
      <c r="F8" s="5" t="n"/>
      <c r="H8" s="83" t="inlineStr">
        <is>
          <t>PI</t>
        </is>
      </c>
      <c r="I8" s="89">
        <f>NPV($C$5,C23:C27)/ABS(C22)</f>
        <v/>
      </c>
      <c r="J8" s="89">
        <f>NPV($C$5,D23:D27)/ABS(D22)</f>
        <v/>
      </c>
      <c r="K8" s="83" t="n"/>
      <c r="L8" s="83" t="n"/>
    </row>
    <row r="9">
      <c r="B9" s="21" t="inlineStr">
        <is>
          <t>Year</t>
        </is>
      </c>
      <c r="C9" s="21" t="inlineStr">
        <is>
          <t>Project Solar</t>
        </is>
      </c>
      <c r="D9" s="21" t="inlineStr">
        <is>
          <t>Project Wind</t>
        </is>
      </c>
      <c r="E9" s="5" t="n"/>
      <c r="F9" s="5" t="n"/>
      <c r="H9" s="86" t="inlineStr">
        <is>
          <t>IRR</t>
        </is>
      </c>
      <c r="I9" s="22">
        <f>IFERROR(IRR(C22:C27,0.1),IRR(C22:C27,0.01))</f>
        <v/>
      </c>
      <c r="J9" s="22">
        <f>IFERROR(IRR(D22:D27,0.1),IRR(D22:D27,0.01))</f>
        <v/>
      </c>
      <c r="K9" s="83" t="n"/>
      <c r="L9" s="83" t="n"/>
    </row>
    <row r="10">
      <c r="B10" s="39" t="n">
        <v>0</v>
      </c>
      <c r="C10" s="90" t="n">
        <v>-200000</v>
      </c>
      <c r="D10" s="90" t="n">
        <v>-200000</v>
      </c>
      <c r="E10" s="5" t="n"/>
      <c r="F10" s="5" t="n"/>
      <c r="H10" s="83" t="inlineStr">
        <is>
          <t>MIRR</t>
        </is>
      </c>
      <c r="I10" s="40">
        <f>MIRR(C22:C27,$C$5,$C$6)</f>
        <v/>
      </c>
      <c r="J10" s="40">
        <f>MIRR(D22:D27,$C$5,$C$6)</f>
        <v/>
      </c>
      <c r="K10" s="83" t="n"/>
      <c r="L10" s="83" t="n"/>
    </row>
    <row r="11">
      <c r="B11" s="39" t="n">
        <v>1</v>
      </c>
      <c r="C11" s="90" t="n">
        <v>30000</v>
      </c>
      <c r="D11" s="90" t="n">
        <v>80000</v>
      </c>
      <c r="E11" s="5" t="n"/>
      <c r="F11" s="5" t="n"/>
      <c r="H11" s="84" t="inlineStr">
        <is>
          <t>Crossover Rate (IRR of Incremental CF: Left − Right)</t>
        </is>
      </c>
      <c r="I11" s="78" t="n"/>
      <c r="J11" s="78" t="n"/>
      <c r="K11" s="78" t="n"/>
      <c r="L11" s="79" t="n"/>
    </row>
    <row r="12">
      <c r="B12" s="39" t="n">
        <v>2</v>
      </c>
      <c r="C12" s="90" t="n">
        <v>47500</v>
      </c>
      <c r="D12" s="90" t="n">
        <v>57500</v>
      </c>
      <c r="E12" s="5" t="n"/>
      <c r="F12" s="5" t="n"/>
      <c r="H12" s="9" t="inlineStr">
        <is>
          <t>Year</t>
        </is>
      </c>
      <c r="I12" s="9" t="inlineStr">
        <is>
          <t>ΔCF (Left − Right)</t>
        </is>
      </c>
      <c r="J12" s="83" t="n"/>
      <c r="K12" s="84" t="inlineStr">
        <is>
          <t>Crossover IRR</t>
        </is>
      </c>
      <c r="L12" s="83" t="n"/>
    </row>
    <row r="13">
      <c r="B13" s="39" t="n">
        <v>3</v>
      </c>
      <c r="C13" s="90" t="n">
        <v>55000</v>
      </c>
      <c r="D13" s="90" t="n">
        <v>45000</v>
      </c>
      <c r="E13" s="5" t="n"/>
      <c r="F13" s="5" t="n"/>
      <c r="H13" s="41" t="n">
        <v>0</v>
      </c>
      <c r="I13" s="91">
        <f>C22-D22</f>
        <v/>
      </c>
      <c r="J13" s="83" t="n"/>
      <c r="K13" s="40">
        <f>IFERROR(IRR(I13:I18,0.1),IRR(I13:I18,0.01))</f>
        <v/>
      </c>
      <c r="L13" s="83" t="n"/>
    </row>
    <row r="14">
      <c r="B14" s="39" t="n">
        <v>4</v>
      </c>
      <c r="C14" s="90" t="n">
        <v>65000</v>
      </c>
      <c r="D14" s="90" t="n">
        <v>35000</v>
      </c>
      <c r="E14" s="5" t="n"/>
      <c r="F14" s="5" t="n"/>
      <c r="H14" s="41" t="n">
        <v>1</v>
      </c>
      <c r="I14" s="91">
        <f>C23-D23</f>
        <v/>
      </c>
      <c r="J14" s="83" t="n"/>
      <c r="K14" s="83" t="n"/>
      <c r="L14" s="83" t="n"/>
    </row>
    <row r="15">
      <c r="B15" s="39" t="n">
        <v>5</v>
      </c>
      <c r="C15" s="90" t="n">
        <v>70000</v>
      </c>
      <c r="D15" s="90" t="n">
        <v>30000</v>
      </c>
      <c r="E15" s="5" t="n"/>
      <c r="F15" s="5" t="n"/>
      <c r="H15" s="41" t="n">
        <v>2</v>
      </c>
      <c r="I15" s="91">
        <f>C24-D24</f>
        <v/>
      </c>
      <c r="J15" s="83" t="n"/>
      <c r="K15" s="83" t="n"/>
      <c r="L15" s="83" t="n"/>
    </row>
    <row r="16" ht="29" customHeight="1" s="75">
      <c r="B16" s="19" t="inlineStr">
        <is>
          <t>Sensitivity discount rates</t>
        </is>
      </c>
      <c r="C16" s="5" t="n"/>
      <c r="H16" s="41" t="n">
        <v>3</v>
      </c>
      <c r="I16" s="91">
        <f>C25-D25</f>
        <v/>
      </c>
      <c r="J16" s="83" t="n"/>
      <c r="K16" s="83" t="n"/>
      <c r="L16" s="83" t="n"/>
    </row>
    <row r="17">
      <c r="B17" s="11" t="inlineStr">
        <is>
          <t>Rate</t>
        </is>
      </c>
      <c r="C17" s="5" t="n"/>
      <c r="H17" s="41" t="n">
        <v>4</v>
      </c>
      <c r="I17" s="91">
        <f>C26-D26</f>
        <v/>
      </c>
      <c r="J17" s="83" t="n"/>
      <c r="K17" s="83" t="n"/>
      <c r="L17" s="83" t="n"/>
    </row>
    <row r="18">
      <c r="B18" s="35" t="n">
        <v>0.07000000000000001</v>
      </c>
      <c r="C18" s="5" t="n"/>
      <c r="H18" s="41" t="n">
        <v>5</v>
      </c>
      <c r="I18" s="91">
        <f>C27-D27</f>
        <v/>
      </c>
      <c r="J18" s="83" t="n"/>
      <c r="K18" s="83" t="n"/>
      <c r="L18" s="83" t="n"/>
    </row>
    <row r="19">
      <c r="B19" s="35" t="n">
        <v>0.08749999999999999</v>
      </c>
      <c r="C19" s="5" t="n"/>
      <c r="H19" s="83" t="n"/>
      <c r="I19" s="83" t="n"/>
      <c r="J19" s="83" t="n"/>
      <c r="K19" s="83" t="n"/>
      <c r="L19" s="83" t="n"/>
    </row>
    <row r="20">
      <c r="B20" s="85" t="inlineStr">
        <is>
          <t>CALCULATIONS</t>
        </is>
      </c>
      <c r="C20" s="78" t="n"/>
      <c r="D20" s="78" t="n"/>
      <c r="E20" s="78" t="n"/>
      <c r="F20" s="79" t="n"/>
      <c r="H20" s="81" t="inlineStr">
        <is>
          <t>Decision (value-based)</t>
        </is>
      </c>
      <c r="I20" s="78" t="n"/>
      <c r="J20" s="78" t="n"/>
      <c r="K20" s="78" t="n"/>
      <c r="L20" s="79" t="n"/>
    </row>
    <row r="21" ht="29" customHeight="1" s="75">
      <c r="B21" s="42" t="inlineStr">
        <is>
          <t>Year</t>
        </is>
      </c>
      <c r="C21" s="42" t="inlineStr">
        <is>
          <t>Project Solar</t>
        </is>
      </c>
      <c r="D21" s="42" t="inlineStr">
        <is>
          <t>Project Wind</t>
        </is>
      </c>
      <c r="E21" s="87" t="n"/>
      <c r="F21" s="87" t="n"/>
      <c r="H21" s="86" t="inlineStr">
        <is>
          <t>Recommended project (higher NPV at WACC)</t>
        </is>
      </c>
      <c r="I21" s="25">
        <f>IF(I7&gt;J7, "Project Solar", "Project Wind")</f>
        <v/>
      </c>
      <c r="J21" s="83" t="n"/>
      <c r="K21" s="83" t="n"/>
      <c r="L21" s="83" t="n"/>
    </row>
    <row r="22">
      <c r="B22" s="43" t="n">
        <v>0</v>
      </c>
      <c r="C22" s="92">
        <f>C10</f>
        <v/>
      </c>
      <c r="D22" s="92">
        <f>D10</f>
        <v/>
      </c>
      <c r="E22" s="87" t="n"/>
      <c r="F22" s="87" t="n"/>
      <c r="H22" s="83" t="inlineStr">
        <is>
          <t>Note</t>
        </is>
      </c>
      <c r="I22" s="83" t="inlineStr">
        <is>
          <t>For mutually exclusive projects, prioritize NPV at WACC; use IRR/MIRR as supporting evidence.</t>
        </is>
      </c>
      <c r="J22" s="78" t="n"/>
      <c r="K22" s="78" t="n"/>
      <c r="L22" s="79" t="n"/>
    </row>
    <row r="23">
      <c r="B23" s="43" t="n">
        <v>1</v>
      </c>
      <c r="C23" s="92">
        <f>C11</f>
        <v/>
      </c>
      <c r="D23" s="92">
        <f>D11</f>
        <v/>
      </c>
      <c r="E23" s="87" t="n"/>
      <c r="F23" s="87" t="n"/>
      <c r="H23" s="83" t="n"/>
      <c r="I23" s="83" t="n"/>
      <c r="J23" s="83" t="n"/>
      <c r="K23" s="83" t="n"/>
      <c r="L23" s="83" t="n"/>
    </row>
    <row r="24">
      <c r="B24" s="43" t="n">
        <v>2</v>
      </c>
      <c r="C24" s="92">
        <f>C12</f>
        <v/>
      </c>
      <c r="D24" s="92">
        <f>D12</f>
        <v/>
      </c>
      <c r="E24" s="87" t="n"/>
      <c r="F24" s="87" t="n"/>
      <c r="H24" s="81" t="inlineStr">
        <is>
          <t>Sensitivity: NPV vs Discount Rate</t>
        </is>
      </c>
      <c r="I24" s="78" t="n"/>
      <c r="J24" s="78" t="n"/>
      <c r="K24" s="78" t="n"/>
      <c r="L24" s="79" t="n"/>
    </row>
    <row r="25">
      <c r="B25" s="43" t="n">
        <v>3</v>
      </c>
      <c r="C25" s="92">
        <f>C13</f>
        <v/>
      </c>
      <c r="D25" s="92">
        <f>D13</f>
        <v/>
      </c>
      <c r="E25" s="87" t="n"/>
      <c r="F25" s="87" t="n"/>
      <c r="H25" s="9" t="inlineStr">
        <is>
          <t>Discount rate</t>
        </is>
      </c>
      <c r="I25" s="9" t="inlineStr">
        <is>
          <t>NPV – Project Solar</t>
        </is>
      </c>
      <c r="J25" s="9" t="inlineStr">
        <is>
          <t>NPV – Project Wind</t>
        </is>
      </c>
      <c r="K25" s="83" t="n"/>
      <c r="L25" s="83" t="n"/>
    </row>
    <row r="26">
      <c r="B26" s="43" t="n">
        <v>4</v>
      </c>
      <c r="C26" s="92">
        <f>C14</f>
        <v/>
      </c>
      <c r="D26" s="92">
        <f>D14</f>
        <v/>
      </c>
      <c r="E26" s="87" t="n"/>
      <c r="F26" s="87" t="n"/>
      <c r="H26" s="40">
        <f>$B$18</f>
        <v/>
      </c>
      <c r="I26" s="88">
        <f>NPV($B$18,C23:C27)+C22</f>
        <v/>
      </c>
      <c r="J26" s="88">
        <f>NPV($B$18,D23:D27)+D22</f>
        <v/>
      </c>
      <c r="K26" s="83" t="n"/>
      <c r="L26" s="83" t="n"/>
    </row>
    <row r="27">
      <c r="B27" s="43" t="n">
        <v>5</v>
      </c>
      <c r="C27" s="92">
        <f>C15</f>
        <v/>
      </c>
      <c r="D27" s="92">
        <f>D15</f>
        <v/>
      </c>
      <c r="E27" s="87" t="n"/>
      <c r="F27" s="87" t="n"/>
      <c r="H27" s="40">
        <f>$B$19</f>
        <v/>
      </c>
      <c r="I27" s="88">
        <f>NPV($B$19,C23:C27)+C22</f>
        <v/>
      </c>
      <c r="J27" s="88">
        <f>NPV($B$19,D23:D27)+D22</f>
        <v/>
      </c>
      <c r="K27" s="83" t="n"/>
      <c r="L27" s="83" t="n"/>
    </row>
    <row r="28">
      <c r="B28" s="87" t="n"/>
      <c r="C28" s="87" t="n"/>
      <c r="D28" s="87" t="n"/>
      <c r="E28" s="87" t="n"/>
      <c r="F28" s="87" t="n"/>
      <c r="H28" s="40">
        <f>$B$20</f>
        <v/>
      </c>
      <c r="I28" s="88">
        <f>NPV($B$18,C23:C27)+C22</f>
        <v/>
      </c>
      <c r="J28" s="88">
        <f>NPV($B$19,D23:D27)+D22</f>
        <v/>
      </c>
      <c r="K28" s="83" t="n"/>
      <c r="L28" s="83" t="n"/>
    </row>
    <row r="29" ht="31" customHeight="1" s="75">
      <c r="B29" s="16" t="inlineStr">
        <is>
          <t>Present Value of Cash Flows (₹)</t>
        </is>
      </c>
      <c r="C29" s="87" t="n"/>
      <c r="D29" s="87" t="n"/>
      <c r="E29" s="87" t="n"/>
      <c r="F29" s="87" t="n"/>
      <c r="H29" s="83" t="n"/>
      <c r="I29" s="83" t="n"/>
      <c r="J29" s="83" t="n"/>
      <c r="K29" s="83" t="n"/>
      <c r="L29" s="83" t="n"/>
    </row>
    <row r="30">
      <c r="B30" s="42" t="inlineStr">
        <is>
          <t>Year</t>
        </is>
      </c>
      <c r="C30" s="42" t="inlineStr">
        <is>
          <t>Project Solar</t>
        </is>
      </c>
      <c r="D30" s="42" t="inlineStr">
        <is>
          <t>Project Wind</t>
        </is>
      </c>
      <c r="E30" s="87" t="n"/>
      <c r="F30" s="87" t="n"/>
      <c r="H30" s="86" t="inlineStr">
        <is>
          <t>Interpretation</t>
        </is>
      </c>
      <c r="I30" s="86" t="inlineStr">
        <is>
          <t>The project whose NPV changes more across rates is more discount-rate sensitive (riskier).</t>
        </is>
      </c>
      <c r="J30" s="78" t="n"/>
      <c r="K30" s="78" t="n"/>
      <c r="L30" s="79" t="n"/>
    </row>
    <row r="31">
      <c r="B31" s="43" t="n">
        <v>0</v>
      </c>
      <c r="C31" s="93">
        <f>C22</f>
        <v/>
      </c>
      <c r="D31" s="93">
        <f>D22</f>
        <v/>
      </c>
      <c r="E31" s="87" t="n"/>
      <c r="F31" s="87" t="n"/>
      <c r="H31" s="83" t="n"/>
      <c r="I31" s="83" t="n"/>
      <c r="J31" s="83" t="n"/>
      <c r="K31" s="83" t="n"/>
      <c r="L31" s="83" t="n"/>
    </row>
    <row r="32">
      <c r="B32" s="43" t="n">
        <v>1</v>
      </c>
      <c r="C32" s="93">
        <f>C23/(1+$C$5)^1</f>
        <v/>
      </c>
      <c r="D32" s="93">
        <f>D23/(1+$C$5)^1</f>
        <v/>
      </c>
      <c r="E32" s="87" t="n"/>
      <c r="F32" s="87" t="n"/>
      <c r="H32" s="83" t="n"/>
      <c r="I32" s="83" t="n"/>
      <c r="J32" s="83" t="n"/>
      <c r="K32" s="83" t="n"/>
      <c r="L32" s="83" t="n"/>
    </row>
    <row r="33">
      <c r="B33" s="43" t="n">
        <v>2</v>
      </c>
      <c r="C33" s="93">
        <f>C24/(1+$C$5)^2</f>
        <v/>
      </c>
      <c r="D33" s="93">
        <f>D24/(1+$C$5)^2</f>
        <v/>
      </c>
      <c r="E33" s="87" t="n"/>
      <c r="F33" s="87" t="n"/>
      <c r="H33" s="83" t="n"/>
      <c r="I33" s="83" t="n"/>
      <c r="J33" s="83" t="n"/>
      <c r="K33" s="83" t="n"/>
      <c r="L33" s="83" t="n"/>
    </row>
    <row r="34">
      <c r="B34" s="43" t="n">
        <v>3</v>
      </c>
      <c r="C34" s="93">
        <f>C25/(1+$C$5)^3</f>
        <v/>
      </c>
      <c r="D34" s="93">
        <f>D25/(1+$C$5)^3</f>
        <v/>
      </c>
      <c r="E34" s="87" t="n"/>
      <c r="F34" s="87" t="n"/>
    </row>
    <row r="35">
      <c r="B35" s="43" t="n">
        <v>4</v>
      </c>
      <c r="C35" s="93">
        <f>C26/(1+$C$5)^4</f>
        <v/>
      </c>
      <c r="D35" s="93">
        <f>D26/(1+$C$5)^4</f>
        <v/>
      </c>
      <c r="E35" s="87" t="n"/>
      <c r="F35" s="87" t="n"/>
    </row>
    <row r="36">
      <c r="B36" s="43" t="n">
        <v>5</v>
      </c>
      <c r="C36" s="93">
        <f>C27/(1+$C$5)^5</f>
        <v/>
      </c>
      <c r="D36" s="93">
        <f>D27/(1+$C$5)^5</f>
        <v/>
      </c>
      <c r="E36" s="87" t="n"/>
      <c r="F36" s="87" t="n"/>
    </row>
    <row r="37">
      <c r="B37" s="87" t="n"/>
      <c r="C37" s="87" t="n"/>
      <c r="D37" s="87" t="n"/>
      <c r="E37" s="87" t="n"/>
      <c r="F37" s="87" t="n"/>
    </row>
    <row r="38">
      <c r="B38" s="77" t="inlineStr">
        <is>
          <t>CHECKS (Consistency)</t>
        </is>
      </c>
      <c r="C38" s="78" t="n"/>
      <c r="D38" s="78" t="n"/>
      <c r="E38" s="78" t="n"/>
      <c r="F38" s="79" t="n"/>
    </row>
    <row r="39">
      <c r="B39" s="28" t="inlineStr">
        <is>
          <t>Check</t>
        </is>
      </c>
      <c r="C39" s="28" t="inlineStr">
        <is>
          <t>Left project</t>
        </is>
      </c>
      <c r="D39" s="28" t="inlineStr">
        <is>
          <t>Right project</t>
        </is>
      </c>
      <c r="E39" s="28" t="inlineStr">
        <is>
          <t>Status</t>
        </is>
      </c>
      <c r="F39" s="18" t="n"/>
    </row>
    <row r="40" ht="29" customHeight="1" s="75">
      <c r="B40" s="18" t="inlineStr">
        <is>
          <t>Year 0 outflow should be negative</t>
        </is>
      </c>
      <c r="C40" s="94">
        <f>C22</f>
        <v/>
      </c>
      <c r="D40" s="94">
        <f>D22</f>
        <v/>
      </c>
      <c r="E40" s="30">
        <f>IF(AND(C22&lt;0,D22&lt;0),"OK","Check sign")</f>
        <v/>
      </c>
      <c r="F40" s="18" t="n"/>
    </row>
    <row r="41" ht="29" customHeight="1" s="75">
      <c r="B41" s="18" t="inlineStr">
        <is>
          <t>NPV at IRR (should be ≈ 0)</t>
        </is>
      </c>
      <c r="C41" s="95">
        <f>NPV(I9,C23:C27)+C22</f>
        <v/>
      </c>
      <c r="D41" s="95">
        <f>NPV(J9,D23:D27)+D22</f>
        <v/>
      </c>
      <c r="E41" s="30">
        <f>IF(AND(ABS(C41)&lt;5,ABS(D41)&lt;5),"OK","Review")</f>
        <v/>
      </c>
      <c r="F41" s="18" t="n"/>
    </row>
    <row r="42" ht="43.5" customHeight="1" s="75">
      <c r="B42" s="18" t="inlineStr">
        <is>
          <t>PI consistency (recompute PV inflows / outflow)</t>
        </is>
      </c>
      <c r="C42" s="96">
        <f>NPV($C$5,C23:C27)/ABS(C22)</f>
        <v/>
      </c>
      <c r="D42" s="96">
        <f>NPV($C$5,D23:D27)/ABS(D22)</f>
        <v/>
      </c>
      <c r="E42" s="30">
        <f>IF(AND(ABS(C42-I8)&lt;0.001,ABS(D42-J8)&lt;0.001),"OK","Review")</f>
        <v/>
      </c>
      <c r="F42" s="18" t="n"/>
    </row>
    <row r="43" ht="43.5" customHeight="1" s="75">
      <c r="B43" s="18" t="inlineStr">
        <is>
          <t>NPV difference at crossover rate (should be ≈ 0)</t>
        </is>
      </c>
      <c r="C43" s="95">
        <f>NPV(K13,C23:C27)+C22</f>
        <v/>
      </c>
      <c r="D43" s="95">
        <f>NPV(K13,D23:D27)+D22</f>
        <v/>
      </c>
      <c r="E43" s="30">
        <f>IF(ABS(C43-D43)&lt;10,"OK","Review")</f>
        <v/>
      </c>
      <c r="F43" s="18" t="n"/>
    </row>
  </sheetData>
  <sheetProtection selectLockedCells="0" selectUnlockedCells="0" sheet="1" objects="1" insertRows="0" insertHyperlinks="1" autoFilter="0" scenarios="1" formatColumns="0" deleteColumns="0" insertColumns="0" pivotTables="0" deleteRows="0" formatCells="0" formatRows="0" sort="0" password="AE3A"/>
  <mergeCells count="10">
    <mergeCell ref="B4:F4"/>
    <mergeCell ref="I22:L22"/>
    <mergeCell ref="H11:L11"/>
    <mergeCell ref="B38:F38"/>
    <mergeCell ref="B20:F20"/>
    <mergeCell ref="H20:L20"/>
    <mergeCell ref="A1:L1"/>
    <mergeCell ref="H24:L24"/>
    <mergeCell ref="I30:L30"/>
    <mergeCell ref="H4:L4"/>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49"/>
  <sheetViews>
    <sheetView workbookViewId="0">
      <pane xSplit="1" ySplit="8" topLeftCell="B46" activePane="bottomRight" state="frozen"/>
      <selection pane="topRight" activeCell="A1" sqref="A1"/>
      <selection pane="bottomLeft" activeCell="A1" sqref="A1"/>
      <selection pane="bottomRight" activeCell="E55" sqref="E55"/>
    </sheetView>
  </sheetViews>
  <sheetFormatPr baseColWidth="8" defaultRowHeight="14.5"/>
  <cols>
    <col width="3" customWidth="1" style="75" min="1" max="1"/>
    <col width="18" customWidth="1" style="75" min="2" max="6"/>
    <col width="3" customWidth="1" style="75" min="7" max="7"/>
    <col width="22" customWidth="1" style="75" min="8" max="8"/>
    <col width="18" customWidth="1" style="75" min="9" max="12"/>
  </cols>
  <sheetData>
    <row r="1">
      <c r="A1" s="74" t="inlineStr">
        <is>
          <t>Strategic Expansion for Nexus Energy Ltd.</t>
        </is>
      </c>
    </row>
    <row r="2">
      <c r="A2" s="34" t="inlineStr">
        <is>
          <t>⬅ Back to Index</t>
        </is>
      </c>
    </row>
    <row r="3"/>
    <row r="4">
      <c r="B4" s="82" t="inlineStr">
        <is>
          <t>INPUTS</t>
        </is>
      </c>
      <c r="C4" s="78" t="n"/>
      <c r="D4" s="78" t="n"/>
      <c r="E4" s="78" t="n"/>
      <c r="F4" s="79" t="n"/>
      <c r="H4" s="82" t="inlineStr">
        <is>
          <t>OUTPUTS / DECISION</t>
        </is>
      </c>
      <c r="I4" s="78" t="n"/>
      <c r="J4" s="78" t="n"/>
      <c r="K4" s="78" t="n"/>
      <c r="L4" s="79" t="n"/>
    </row>
    <row r="5" ht="15.5" customHeight="1" s="75">
      <c r="B5" s="5" t="inlineStr">
        <is>
          <t>WACC</t>
        </is>
      </c>
      <c r="C5" s="6" t="n">
        <v>0.08749999999999999</v>
      </c>
      <c r="D5" s="5" t="n"/>
      <c r="E5" s="5" t="n"/>
      <c r="F5" s="5" t="n"/>
      <c r="H5" s="81" t="inlineStr">
        <is>
          <t>Summary Metrics</t>
        </is>
      </c>
      <c r="I5" s="83" t="n"/>
      <c r="J5" s="83" t="n"/>
      <c r="K5" s="83" t="n"/>
      <c r="L5" s="83" t="n"/>
    </row>
    <row r="6" ht="29" customHeight="1" s="75">
      <c r="B6" s="5" t="inlineStr">
        <is>
          <t>Reinvestment Rate (for MIRR)</t>
        </is>
      </c>
      <c r="C6" s="6" t="n">
        <v>0.08</v>
      </c>
      <c r="D6" s="5" t="n"/>
      <c r="E6" s="5" t="n"/>
      <c r="F6" s="5" t="n"/>
      <c r="H6" s="9" t="inlineStr">
        <is>
          <t>Metric</t>
        </is>
      </c>
      <c r="I6" s="9" t="inlineStr">
        <is>
          <t>Project Aurora</t>
        </is>
      </c>
      <c r="J6" s="9" t="inlineStr">
        <is>
          <t>Project Blaze</t>
        </is>
      </c>
      <c r="K6" s="83" t="n"/>
      <c r="L6" s="83" t="n"/>
    </row>
    <row r="7">
      <c r="B7" s="5" t="n"/>
      <c r="C7" s="5" t="n"/>
      <c r="D7" s="5" t="n"/>
      <c r="E7" s="5" t="n"/>
      <c r="F7" s="5" t="n"/>
      <c r="H7" s="83" t="inlineStr">
        <is>
          <t>NPV (₹)</t>
        </is>
      </c>
      <c r="I7" s="98">
        <f>NPV($C$5,C28:C32)+C27</f>
        <v/>
      </c>
      <c r="J7" s="98">
        <f>NPV($C$5,D28:D32)+D27</f>
        <v/>
      </c>
      <c r="K7" s="83" t="n"/>
      <c r="L7" s="83" t="n"/>
    </row>
    <row r="8" ht="15.5" customHeight="1" s="75">
      <c r="B8" s="10" t="inlineStr">
        <is>
          <t>Cash Flows (₹)</t>
        </is>
      </c>
      <c r="C8" s="5" t="n"/>
      <c r="D8" s="5" t="n"/>
      <c r="E8" s="5" t="n"/>
      <c r="F8" s="5" t="n"/>
      <c r="H8" s="83" t="inlineStr">
        <is>
          <t>PI</t>
        </is>
      </c>
      <c r="I8" s="99">
        <f>NPV($C$5,C28:C32)/ABS(C27)</f>
        <v/>
      </c>
      <c r="J8" s="99">
        <f>NPV($C$5,D28:D32)/ABS(D27)</f>
        <v/>
      </c>
      <c r="K8" s="83" t="n"/>
      <c r="L8" s="83" t="n"/>
    </row>
    <row r="9">
      <c r="B9" s="11" t="inlineStr">
        <is>
          <t>Year</t>
        </is>
      </c>
      <c r="C9" s="11" t="inlineStr">
        <is>
          <t>Project Aurora</t>
        </is>
      </c>
      <c r="D9" s="11" t="inlineStr">
        <is>
          <t>Project Blaze</t>
        </is>
      </c>
      <c r="E9" s="5" t="n"/>
      <c r="F9" s="5" t="n"/>
      <c r="H9" s="83" t="inlineStr">
        <is>
          <t>IRR</t>
        </is>
      </c>
      <c r="I9" s="50">
        <f>IFERROR(IRR(C27:C32,0.1),IFERROR(IRR(C27:C32,-0.5),IFERROR(IRR(C27:C32,0.5),IRR(C27:C32,0.01))))</f>
        <v/>
      </c>
      <c r="J9" s="50">
        <f>IFERROR(IRR(D27:D32,0.1),IFERROR(IRR(D27:D32,-0.5),IFERROR(IRR(D27:D32,0.5),IRR(D27:D32,0.01))))</f>
        <v/>
      </c>
      <c r="K9" s="83" t="n"/>
      <c r="L9" s="83" t="n"/>
    </row>
    <row r="10">
      <c r="B10" s="5" t="n">
        <v>0</v>
      </c>
      <c r="C10" s="100" t="n">
        <v>-250000</v>
      </c>
      <c r="D10" s="100" t="n">
        <v>-250000</v>
      </c>
      <c r="E10" s="5" t="n"/>
      <c r="F10" s="5" t="n"/>
      <c r="H10" s="83" t="inlineStr">
        <is>
          <t>MIRR</t>
        </is>
      </c>
      <c r="I10" s="50">
        <f>MIRR(C27:C32,$C$5,$C$6)</f>
        <v/>
      </c>
      <c r="J10" s="50">
        <f>MIRR(D27:D32,$C$5,$C$6)</f>
        <v/>
      </c>
      <c r="K10" s="83" t="n"/>
      <c r="L10" s="83" t="n"/>
    </row>
    <row r="11">
      <c r="B11" s="5" t="n">
        <v>1</v>
      </c>
      <c r="C11" s="100" t="n">
        <v>40000</v>
      </c>
      <c r="D11" s="100" t="n">
        <v>105000</v>
      </c>
      <c r="E11" s="5" t="n"/>
      <c r="F11" s="5" t="n"/>
      <c r="H11" s="84" t="inlineStr">
        <is>
          <t>Crossover Rate (IRR of Incremental CF: Left − Right)</t>
        </is>
      </c>
      <c r="I11" s="78" t="n"/>
      <c r="J11" s="78" t="n"/>
      <c r="K11" s="78" t="n"/>
      <c r="L11" s="79" t="n"/>
    </row>
    <row r="12">
      <c r="B12" s="5" t="n">
        <v>2</v>
      </c>
      <c r="C12" s="100" t="n">
        <v>55000</v>
      </c>
      <c r="D12" s="100" t="n">
        <v>80000</v>
      </c>
      <c r="E12" s="5" t="n"/>
      <c r="F12" s="5" t="n"/>
      <c r="H12" s="9" t="inlineStr">
        <is>
          <t>Year</t>
        </is>
      </c>
      <c r="I12" s="9" t="inlineStr">
        <is>
          <t>ΔCF (Left − Right)</t>
        </is>
      </c>
      <c r="J12" s="83" t="n"/>
      <c r="K12" s="84" t="inlineStr">
        <is>
          <t>Crossover IRR</t>
        </is>
      </c>
      <c r="L12" s="83" t="n"/>
    </row>
    <row r="13">
      <c r="B13" s="5" t="n">
        <v>3</v>
      </c>
      <c r="C13" s="100" t="n">
        <v>75000</v>
      </c>
      <c r="D13" s="100" t="n">
        <v>60000</v>
      </c>
      <c r="E13" s="5" t="n"/>
      <c r="F13" s="5" t="n"/>
      <c r="H13" s="83" t="n">
        <v>0</v>
      </c>
      <c r="I13" s="101">
        <f>C27-D27</f>
        <v/>
      </c>
      <c r="J13" s="83" t="n"/>
      <c r="K13" s="12">
        <f>IFERROR(IRR(I13:I18,0.1),IFERROR(IRR(I13:I18,-0.5),IFERROR(IRR(I13:I18,0.5),IRR(I13:I18,0.01))))</f>
        <v/>
      </c>
      <c r="L13" s="83" t="n"/>
    </row>
    <row r="14">
      <c r="B14" s="5" t="n">
        <v>4</v>
      </c>
      <c r="C14" s="100" t="n">
        <v>85000</v>
      </c>
      <c r="D14" s="100" t="n">
        <v>40000</v>
      </c>
      <c r="E14" s="5" t="n"/>
      <c r="F14" s="5" t="n"/>
      <c r="H14" s="83" t="n">
        <v>1</v>
      </c>
      <c r="I14" s="101">
        <f>C28-D28</f>
        <v/>
      </c>
      <c r="J14" s="83" t="n"/>
      <c r="K14" s="83" t="n"/>
      <c r="L14" s="83" t="n"/>
    </row>
    <row r="15">
      <c r="B15" s="5" t="n">
        <v>5</v>
      </c>
      <c r="C15" s="100" t="n">
        <v>90000</v>
      </c>
      <c r="D15" s="100" t="n">
        <v>30000</v>
      </c>
      <c r="E15" s="5" t="n"/>
      <c r="F15" s="5" t="n"/>
      <c r="H15" s="83" t="n">
        <v>2</v>
      </c>
      <c r="I15" s="101">
        <f>C29-D29</f>
        <v/>
      </c>
      <c r="J15" s="83" t="n"/>
      <c r="K15" s="83" t="n"/>
      <c r="L15" s="83" t="n"/>
    </row>
    <row r="16" ht="43.5" customHeight="1" s="75">
      <c r="B16" s="19" t="inlineStr">
        <is>
          <t>Existing project CF (₹) (used only for Aurora incremental)</t>
        </is>
      </c>
      <c r="C16" s="5" t="n"/>
      <c r="H16" s="83" t="n">
        <v>3</v>
      </c>
      <c r="I16" s="101">
        <f>C30-D30</f>
        <v/>
      </c>
      <c r="J16" s="83" t="n"/>
      <c r="K16" s="83" t="n"/>
      <c r="L16" s="83" t="n"/>
    </row>
    <row r="17">
      <c r="B17" s="11" t="inlineStr">
        <is>
          <t>Year</t>
        </is>
      </c>
      <c r="C17" s="11" t="inlineStr">
        <is>
          <t>Existing CF</t>
        </is>
      </c>
      <c r="H17" s="83" t="n">
        <v>4</v>
      </c>
      <c r="I17" s="101">
        <f>C31-D31</f>
        <v/>
      </c>
      <c r="J17" s="83" t="n"/>
      <c r="K17" s="83" t="n"/>
      <c r="L17" s="83" t="n"/>
    </row>
    <row r="18">
      <c r="B18" s="5" t="n">
        <v>0</v>
      </c>
      <c r="C18" s="100" t="n">
        <v>0</v>
      </c>
      <c r="H18" s="83" t="n">
        <v>5</v>
      </c>
      <c r="I18" s="101">
        <f>C32-D32</f>
        <v/>
      </c>
      <c r="J18" s="83" t="n"/>
      <c r="K18" s="83" t="n"/>
      <c r="L18" s="83" t="n"/>
    </row>
    <row r="19">
      <c r="B19" s="5" t="n">
        <v>1</v>
      </c>
      <c r="C19" s="100" t="n">
        <v>25000</v>
      </c>
      <c r="H19" s="83" t="n"/>
      <c r="I19" s="83" t="n"/>
      <c r="J19" s="83" t="n"/>
      <c r="K19" s="83" t="n"/>
      <c r="L19" s="83" t="n"/>
    </row>
    <row r="20">
      <c r="B20" s="5" t="n">
        <v>2</v>
      </c>
      <c r="C20" s="100" t="n">
        <v>25000</v>
      </c>
      <c r="H20" s="81" t="inlineStr">
        <is>
          <t>Decision (value-based)</t>
        </is>
      </c>
      <c r="I20" s="78" t="n"/>
      <c r="J20" s="78" t="n"/>
      <c r="K20" s="78" t="n"/>
      <c r="L20" s="79" t="n"/>
    </row>
    <row r="21" ht="29" customHeight="1" s="75">
      <c r="B21" s="5" t="n">
        <v>3</v>
      </c>
      <c r="C21" s="100" t="n">
        <v>25000</v>
      </c>
      <c r="H21" s="83" t="inlineStr">
        <is>
          <t>Recommended project (higher NPV at WACC)</t>
        </is>
      </c>
      <c r="I21" s="84">
        <f>IF(I7&gt;J7,"Project Aurora","Project Blaze")</f>
        <v/>
      </c>
      <c r="J21" s="78" t="n"/>
      <c r="K21" s="78" t="n"/>
      <c r="L21" s="79" t="n"/>
    </row>
    <row r="22">
      <c r="B22" s="5" t="n">
        <v>4</v>
      </c>
      <c r="C22" s="100" t="n">
        <v>25000</v>
      </c>
      <c r="H22" s="83" t="inlineStr">
        <is>
          <t>Note</t>
        </is>
      </c>
      <c r="I22" s="83" t="inlineStr">
        <is>
          <t>For mutually exclusive projects, prioritize NPV at WACC; use IRR/MIRR as supporting evidence.</t>
        </is>
      </c>
      <c r="J22" s="78" t="n"/>
      <c r="K22" s="78" t="n"/>
      <c r="L22" s="79" t="n"/>
    </row>
    <row r="23">
      <c r="B23" s="5" t="n">
        <v>5</v>
      </c>
      <c r="C23" s="100" t="n">
        <v>25000</v>
      </c>
      <c r="H23" s="83" t="n"/>
      <c r="I23" s="83" t="n"/>
      <c r="J23" s="83" t="n"/>
      <c r="K23" s="83" t="n"/>
      <c r="L23" s="83" t="n"/>
    </row>
    <row r="24">
      <c r="H24" s="83" t="n"/>
      <c r="I24" s="83" t="n"/>
      <c r="J24" s="83" t="n"/>
      <c r="K24" s="83" t="n"/>
      <c r="L24" s="83" t="n"/>
    </row>
    <row r="25">
      <c r="B25" s="80" t="inlineStr">
        <is>
          <t>CALCULATIONS</t>
        </is>
      </c>
      <c r="C25" s="78" t="n"/>
      <c r="D25" s="78" t="n"/>
      <c r="E25" s="78" t="n"/>
      <c r="F25" s="79" t="n"/>
      <c r="H25" s="83" t="n"/>
      <c r="I25" s="83" t="n"/>
      <c r="J25" s="83" t="n"/>
      <c r="K25" s="83" t="n"/>
      <c r="L25" s="83" t="n"/>
    </row>
    <row r="26">
      <c r="B26" s="80" t="inlineStr">
        <is>
          <t>Year</t>
        </is>
      </c>
      <c r="C26" s="80" t="inlineStr">
        <is>
          <t>Project Aurora</t>
        </is>
      </c>
      <c r="D26" s="80" t="inlineStr">
        <is>
          <t>Project Blaze</t>
        </is>
      </c>
      <c r="E26" s="87" t="n"/>
      <c r="F26" s="87" t="n"/>
      <c r="H26" s="83" t="n"/>
      <c r="I26" s="83" t="n"/>
      <c r="J26" s="83" t="n"/>
      <c r="K26" s="83" t="n"/>
      <c r="L26" s="83" t="n"/>
    </row>
    <row r="27">
      <c r="B27" s="87" t="n">
        <v>0</v>
      </c>
      <c r="C27" s="102">
        <f>C10-C18</f>
        <v/>
      </c>
      <c r="D27" s="102">
        <f>D10</f>
        <v/>
      </c>
      <c r="E27" s="87" t="n"/>
      <c r="F27" s="87" t="n"/>
      <c r="H27" s="83" t="n"/>
      <c r="I27" s="83" t="n"/>
      <c r="J27" s="83" t="n"/>
      <c r="K27" s="83" t="n"/>
      <c r="L27" s="83" t="n"/>
    </row>
    <row r="28">
      <c r="B28" s="87" t="n">
        <v>1</v>
      </c>
      <c r="C28" s="102">
        <f>C11-C19</f>
        <v/>
      </c>
      <c r="D28" s="102">
        <f>D11</f>
        <v/>
      </c>
      <c r="E28" s="87" t="n"/>
      <c r="F28" s="87" t="n"/>
      <c r="H28" s="83" t="n"/>
      <c r="I28" s="83" t="n"/>
      <c r="J28" s="83" t="n"/>
      <c r="K28" s="83" t="n"/>
      <c r="L28" s="83" t="n"/>
    </row>
    <row r="29">
      <c r="B29" s="87" t="n">
        <v>2</v>
      </c>
      <c r="C29" s="102">
        <f>C12-C20</f>
        <v/>
      </c>
      <c r="D29" s="102">
        <f>D12</f>
        <v/>
      </c>
      <c r="E29" s="87" t="n"/>
      <c r="F29" s="87" t="n"/>
      <c r="H29" s="83" t="n"/>
      <c r="I29" s="83" t="n"/>
      <c r="J29" s="83" t="n"/>
      <c r="K29" s="83" t="n"/>
      <c r="L29" s="83" t="n"/>
    </row>
    <row r="30">
      <c r="B30" s="87" t="n">
        <v>3</v>
      </c>
      <c r="C30" s="102">
        <f>C13-C21</f>
        <v/>
      </c>
      <c r="D30" s="102">
        <f>D13</f>
        <v/>
      </c>
      <c r="E30" s="87" t="n"/>
      <c r="F30" s="87" t="n"/>
      <c r="H30" s="83" t="n"/>
      <c r="I30" s="83" t="n"/>
      <c r="J30" s="83" t="n"/>
      <c r="K30" s="83" t="n"/>
      <c r="L30" s="83" t="n"/>
    </row>
    <row r="31">
      <c r="B31" s="87" t="n">
        <v>4</v>
      </c>
      <c r="C31" s="102">
        <f>C14-C22</f>
        <v/>
      </c>
      <c r="D31" s="102">
        <f>D14</f>
        <v/>
      </c>
      <c r="E31" s="87" t="n"/>
      <c r="F31" s="87" t="n"/>
      <c r="H31" s="83" t="n"/>
      <c r="I31" s="83" t="n"/>
      <c r="J31" s="83" t="n"/>
      <c r="K31" s="83" t="n"/>
      <c r="L31" s="83" t="n"/>
    </row>
    <row r="32">
      <c r="B32" s="87" t="n">
        <v>5</v>
      </c>
      <c r="C32" s="102">
        <f>C15-C23</f>
        <v/>
      </c>
      <c r="D32" s="102">
        <f>D15</f>
        <v/>
      </c>
      <c r="E32" s="87" t="n"/>
      <c r="F32" s="87" t="n"/>
      <c r="H32" s="83" t="n"/>
      <c r="I32" s="83" t="n"/>
      <c r="J32" s="83" t="n"/>
      <c r="K32" s="83" t="n"/>
      <c r="L32" s="83" t="n"/>
    </row>
    <row r="33">
      <c r="B33" s="87" t="n"/>
      <c r="C33" s="87" t="n"/>
      <c r="D33" s="87" t="n"/>
      <c r="E33" s="87" t="n"/>
      <c r="F33" s="87" t="n"/>
      <c r="H33" s="83" t="n"/>
      <c r="I33" s="83" t="n"/>
      <c r="J33" s="83" t="n"/>
      <c r="K33" s="83" t="n"/>
      <c r="L33" s="83" t="n"/>
    </row>
    <row r="34" ht="31" customHeight="1" s="75">
      <c r="B34" s="16" t="inlineStr">
        <is>
          <t>Present Value of Cash Flows (₹)</t>
        </is>
      </c>
      <c r="C34" s="87" t="n"/>
      <c r="D34" s="87" t="n"/>
      <c r="E34" s="87" t="n"/>
      <c r="F34" s="87" t="n"/>
    </row>
    <row r="35">
      <c r="B35" s="80" t="inlineStr">
        <is>
          <t>Year</t>
        </is>
      </c>
      <c r="C35" s="80" t="inlineStr">
        <is>
          <t>Project Aurora</t>
        </is>
      </c>
      <c r="D35" s="80" t="inlineStr">
        <is>
          <t>Project Blaze</t>
        </is>
      </c>
      <c r="E35" s="87" t="n"/>
      <c r="F35" s="87" t="n"/>
    </row>
    <row r="36">
      <c r="B36" s="87" t="n">
        <v>0</v>
      </c>
      <c r="C36" s="103">
        <f>C27</f>
        <v/>
      </c>
      <c r="D36" s="103">
        <f>D27</f>
        <v/>
      </c>
      <c r="E36" s="87" t="n"/>
      <c r="F36" s="87" t="n"/>
    </row>
    <row r="37">
      <c r="B37" s="87" t="n">
        <v>1</v>
      </c>
      <c r="C37" s="103">
        <f>C28/(1+$C$5)^1</f>
        <v/>
      </c>
      <c r="D37" s="103">
        <f>D28/(1+$C$5)^1</f>
        <v/>
      </c>
      <c r="E37" s="87" t="n"/>
      <c r="F37" s="87" t="n"/>
    </row>
    <row r="38">
      <c r="B38" s="87" t="n">
        <v>2</v>
      </c>
      <c r="C38" s="103">
        <f>C29/(1+$C$5)^2</f>
        <v/>
      </c>
      <c r="D38" s="103">
        <f>D29/(1+$C$5)^2</f>
        <v/>
      </c>
      <c r="E38" s="87" t="n"/>
      <c r="F38" s="87" t="n"/>
    </row>
    <row r="39">
      <c r="B39" s="87" t="n">
        <v>3</v>
      </c>
      <c r="C39" s="103">
        <f>C30/(1+$C$5)^3</f>
        <v/>
      </c>
      <c r="D39" s="103">
        <f>D30/(1+$C$5)^3</f>
        <v/>
      </c>
      <c r="E39" s="87" t="n"/>
      <c r="F39" s="87" t="n"/>
    </row>
    <row r="40">
      <c r="B40" s="87" t="n">
        <v>4</v>
      </c>
      <c r="C40" s="103">
        <f>C31/(1+$C$5)^4</f>
        <v/>
      </c>
      <c r="D40" s="103">
        <f>D31/(1+$C$5)^4</f>
        <v/>
      </c>
      <c r="E40" s="87" t="n"/>
      <c r="F40" s="87" t="n"/>
    </row>
    <row r="41">
      <c r="B41" s="87" t="n">
        <v>5</v>
      </c>
      <c r="C41" s="103">
        <f>C32/(1+$C$5)^5</f>
        <v/>
      </c>
      <c r="D41" s="103">
        <f>D32/(1+$C$5)^5</f>
        <v/>
      </c>
      <c r="E41" s="87" t="n"/>
      <c r="F41" s="87" t="n"/>
    </row>
    <row r="42"/>
    <row r="43"/>
    <row r="44">
      <c r="B44" s="82" t="inlineStr">
        <is>
          <t>CHECKS (Consistency)</t>
        </is>
      </c>
      <c r="C44" s="78" t="n"/>
      <c r="D44" s="78" t="n"/>
      <c r="E44" s="78" t="n"/>
      <c r="F44" s="79" t="n"/>
    </row>
    <row r="45">
      <c r="B45" s="17" t="inlineStr">
        <is>
          <t>Check</t>
        </is>
      </c>
      <c r="C45" s="17" t="inlineStr">
        <is>
          <t>Left project</t>
        </is>
      </c>
      <c r="D45" s="17" t="inlineStr">
        <is>
          <t>Right project</t>
        </is>
      </c>
      <c r="E45" s="17" t="inlineStr">
        <is>
          <t>Status</t>
        </is>
      </c>
      <c r="F45" s="18" t="n"/>
    </row>
    <row r="46" ht="29" customHeight="1" s="75">
      <c r="B46" s="18" t="inlineStr">
        <is>
          <t>Year 0 outflow should be negative</t>
        </is>
      </c>
      <c r="C46" s="104">
        <f>C27</f>
        <v/>
      </c>
      <c r="D46" s="104">
        <f>D27</f>
        <v/>
      </c>
      <c r="E46" s="18">
        <f>IF(AND(C27&lt;0,D27&lt;0),"OK","Check sign")</f>
        <v/>
      </c>
      <c r="F46" s="18" t="n"/>
    </row>
    <row r="47" ht="29" customHeight="1" s="75">
      <c r="B47" s="18" t="inlineStr">
        <is>
          <t>NPV at IRR (should be ≈ 0)</t>
        </is>
      </c>
      <c r="C47" s="105">
        <f>IFERROR(NPV($I$9,C28:C32)+C27,"")</f>
        <v/>
      </c>
      <c r="D47" s="105">
        <f>IFERROR(NPV($J$9,D28:D32)+D27,"")</f>
        <v/>
      </c>
      <c r="E47" s="18">
        <f>IF(AND(ISNUMBER(C47),ISNUMBER(D47),ABS(C47)&lt;5,ABS(D47)&lt;5),"OK","Review")</f>
        <v/>
      </c>
      <c r="F47" s="18" t="n"/>
    </row>
    <row r="48" ht="43.5" customHeight="1" s="75">
      <c r="B48" s="18" t="inlineStr">
        <is>
          <t>PI consistency (recompute PV inflows / outflow)</t>
        </is>
      </c>
      <c r="C48" s="106">
        <f>NPV($C$5,C28:C32)/ABS(C27)</f>
        <v/>
      </c>
      <c r="D48" s="106">
        <f>NPV($C$5,D28:D32)/ABS(D27)</f>
        <v/>
      </c>
      <c r="E48" s="18">
        <f>IF(AND(ISNUMBER(C48),ISNUMBER(D48),ISNUMBER(I8),ISNUMBER(J8),ABS(C48-I8)&lt;0.001,ABS(D48-J8)&lt;0.001),"OK","Review")</f>
        <v/>
      </c>
      <c r="F48" s="18" t="n"/>
    </row>
    <row r="49" ht="43.5" customHeight="1" s="75">
      <c r="B49" s="18" t="inlineStr">
        <is>
          <t>NPV difference at crossover rate (should be ≈ 0)</t>
        </is>
      </c>
      <c r="C49" s="105">
        <f>IFERROR(NPV($K$13,C28:C32)+C27,"")</f>
        <v/>
      </c>
      <c r="D49" s="105">
        <f>IFERROR(NPV($K$13,D28:D32)+D27,"")</f>
        <v/>
      </c>
      <c r="E49" s="18">
        <f>IF(AND(ISNUMBER(C49),ISNUMBER(D49),ABS(C49-D49)&lt;10),"OK","Review")</f>
        <v/>
      </c>
      <c r="F49" s="18" t="n"/>
    </row>
  </sheetData>
  <sheetProtection selectLockedCells="0" selectUnlockedCells="0" sheet="1" objects="1" insertRows="0" insertHyperlinks="1" autoFilter="0" scenarios="1" formatColumns="0" deleteColumns="0" insertColumns="0" pivotTables="0" deleteRows="0" formatCells="0" formatRows="0" sort="0" password="AE3A"/>
  <mergeCells count="9">
    <mergeCell ref="B4:F4"/>
    <mergeCell ref="I22:L22"/>
    <mergeCell ref="B44:F44"/>
    <mergeCell ref="H11:L11"/>
    <mergeCell ref="H20:L20"/>
    <mergeCell ref="I21:L21"/>
    <mergeCell ref="B25:F25"/>
    <mergeCell ref="A1:L1"/>
    <mergeCell ref="H4:L4"/>
  </mergeCells>
  <hyperlinks>
    <hyperlink ref="A2" location="'INDEX'!A1" display="⬅ Back to Index"/>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2025-12-21T14:31:42Z</dcterms:created>
  <dcterms:modified xmlns:dcterms="http://purl.org/dc/terms/" xmlns:xsi="http://www.w3.org/2001/XMLSchema-instance" xsi:type="dcterms:W3CDTF">2026-01-02T07:32:17Z</dcterms:modified>
  <cp:lastModifiedBy>srikanthyadav444p</cp:lastModifiedBy>
</cp:coreProperties>
</file>