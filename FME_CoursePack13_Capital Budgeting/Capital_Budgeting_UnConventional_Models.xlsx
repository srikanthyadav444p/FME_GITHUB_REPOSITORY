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U1_Zenith_BaseDate" sheetId="3" state="visible" r:id="rId3"/>
    <sheet xmlns:r="http://schemas.openxmlformats.org/officeDocument/2006/relationships" name="U2_Zest_SignChange" sheetId="4" state="visible" r:id="rId4"/>
    <sheet xmlns:r="http://schemas.openxmlformats.org/officeDocument/2006/relationships" name="U3_Spark_Inflation" sheetId="5" state="visible" r:id="rId5"/>
    <sheet xmlns:r="http://schemas.openxmlformats.org/officeDocument/2006/relationships" name="U4_Bright_WorkingCapital" sheetId="6" state="visible" r:id="rId6"/>
    <sheet xmlns:r="http://schemas.openxmlformats.org/officeDocument/2006/relationships" name="U5_Radiant_Scenarios" sheetId="7" state="visible" r:id="rId7"/>
    <sheet xmlns:r="http://schemas.openxmlformats.org/officeDocument/2006/relationships" name="U6_Horizon_Payback" sheetId="8" state="visible" r:id="rId8"/>
  </sheets>
  <definedNames/>
  <calcPr calcId="191029" fullCalcOnLoad="1"/>
</workbook>
</file>

<file path=xl/styles.xml><?xml version="1.0" encoding="utf-8"?>
<styleSheet xmlns="http://schemas.openxmlformats.org/spreadsheetml/2006/main">
  <numFmts count="5">
    <numFmt numFmtId="164" formatCode="dd\-mmm\-yyyy"/>
    <numFmt numFmtId="165" formatCode="\₹\ ###,##0"/>
    <numFmt numFmtId="166" formatCode="0.0000"/>
    <numFmt numFmtId="167" formatCode="0.000000"/>
    <numFmt numFmtId="168" formatCode="\₹\ ###,##0.00"/>
  </numFmts>
  <fonts count="14">
    <font>
      <name val="Calibri"/>
      <family val="2"/>
      <color theme="1"/>
      <sz val="11"/>
      <scheme val="minor"/>
    </font>
    <font>
      <name val="Calibri"/>
      <family val="2"/>
      <b val="1"/>
      <sz val="16"/>
    </font>
    <font>
      <name val="Calibri"/>
      <family val="2"/>
      <b val="1"/>
      <sz val="11"/>
    </font>
    <font>
      <name val="Calibri"/>
      <family val="2"/>
      <b val="1"/>
      <color rgb="FFFFFFFF"/>
      <sz val="11"/>
    </font>
    <font>
      <name val="Calibri"/>
      <family val="2"/>
      <b val="1"/>
      <color rgb="FF1F4E79"/>
      <sz val="11"/>
      <u val="single"/>
    </font>
    <font>
      <name val="Calibri"/>
      <family val="2"/>
      <b val="1"/>
      <sz val="12"/>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1"/>
      <sz val="18"/>
      <scheme val="minor"/>
    </font>
    <font>
      <name val="Calibri"/>
      <family val="2"/>
      <b val="1"/>
      <color theme="7" tint="-0.249977111117893"/>
      <sz val="18"/>
      <scheme val="minor"/>
    </font>
    <font>
      <name val="Cambria"/>
      <family val="1"/>
      <i val="1"/>
      <color theme="9" tint="-0.249977111117893"/>
      <sz val="11"/>
      <scheme val="major"/>
    </font>
  </fonts>
  <fills count="14">
    <fill>
      <patternFill/>
    </fill>
    <fill>
      <patternFill patternType="gray125"/>
    </fill>
    <fill>
      <patternFill patternType="solid">
        <fgColor rgb="FF1F4E79"/>
      </patternFill>
    </fill>
    <fill>
      <patternFill patternType="solid">
        <fgColor rgb="FF2F75B5"/>
      </patternFill>
    </fill>
    <fill>
      <patternFill patternType="solid">
        <fgColor rgb="FFD9EAF7"/>
      </patternFill>
    </fill>
    <fill>
      <patternFill patternType="solid">
        <fgColor rgb="FFEFEFEF"/>
      </patternFill>
    </fill>
    <fill>
      <patternFill patternType="solid">
        <fgColor rgb="FFDFF2D8"/>
      </patternFill>
    </fill>
    <fill>
      <patternFill patternType="solid">
        <fgColor rgb="FFFFE6CC"/>
      </patternFill>
    </fill>
    <fill>
      <patternFill patternType="solid">
        <fgColor theme="8" tint="0.3999755851924192"/>
        <bgColor indexed="64"/>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6">
    <border>
      <left/>
      <right/>
      <top/>
      <bottom/>
      <diagonal/>
    </border>
    <border>
      <left style="thin">
        <color rgb="FF9E9E9E"/>
      </left>
      <right style="thin">
        <color rgb="FF9E9E9E"/>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right/>
      <top style="thin">
        <color rgb="FF9E9E9E"/>
      </top>
      <bottom/>
      <diagonal/>
    </border>
    <border>
      <left/>
      <right style="thin">
        <color rgb="FF9E9E9E"/>
      </right>
      <top style="thin">
        <color rgb="FF9E9E9E"/>
      </top>
      <bottom/>
      <diagonal/>
    </border>
  </borders>
  <cellStyleXfs count="2">
    <xf numFmtId="0" fontId="6" fillId="0" borderId="0"/>
    <xf numFmtId="0" fontId="6" fillId="0" borderId="0"/>
  </cellStyleXfs>
  <cellXfs count="83">
    <xf numFmtId="0" fontId="0" fillId="0" borderId="0" pivotButton="0" quotePrefix="0" xfId="0"/>
    <xf numFmtId="0" fontId="3"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0" applyAlignment="1" pivotButton="0" quotePrefix="0" xfId="0">
      <alignment horizontal="left" vertical="center"/>
    </xf>
    <xf numFmtId="0" fontId="3" fillId="6" borderId="1" applyAlignment="1" pivotButton="0" quotePrefix="0" xfId="0">
      <alignment horizontal="left" vertical="top" wrapText="1"/>
    </xf>
    <xf numFmtId="0" fontId="0" fillId="6" borderId="1" applyAlignment="1" pivotButton="0" quotePrefix="0" xfId="0">
      <alignment horizontal="left" vertical="top" wrapText="1"/>
    </xf>
    <xf numFmtId="0" fontId="0" fillId="4" borderId="1" applyAlignment="1" pivotButton="0" quotePrefix="0" xfId="0">
      <alignment horizontal="left" vertical="top" wrapText="1"/>
    </xf>
    <xf numFmtId="0" fontId="5" fillId="6" borderId="1" applyAlignment="1" pivotButton="0" quotePrefix="0" xfId="0">
      <alignment horizontal="left" vertical="top" wrapText="1"/>
    </xf>
    <xf numFmtId="0" fontId="2" fillId="6" borderId="1" applyAlignment="1" pivotButton="0" quotePrefix="0" xfId="0">
      <alignment horizontal="left" vertical="top" wrapText="1"/>
    </xf>
    <xf numFmtId="0" fontId="0" fillId="7" borderId="1" applyAlignment="1" pivotButton="0" quotePrefix="0" xfId="0">
      <alignment horizontal="left" vertical="top" wrapText="1"/>
    </xf>
    <xf numFmtId="0" fontId="5" fillId="4" borderId="1" applyAlignment="1" pivotButton="0" quotePrefix="0" xfId="0">
      <alignment horizontal="left" vertical="top" wrapText="1"/>
    </xf>
    <xf numFmtId="0" fontId="3" fillId="7" borderId="1" applyAlignment="1" pivotButton="0" quotePrefix="0" xfId="0">
      <alignment horizontal="left" vertical="top" wrapText="1"/>
    </xf>
    <xf numFmtId="0" fontId="3" fillId="4" borderId="1" applyAlignment="1" pivotButton="0" quotePrefix="0" xfId="0">
      <alignment horizontal="left" vertical="top" wrapText="1"/>
    </xf>
    <xf numFmtId="164" fontId="0" fillId="6" borderId="1" applyAlignment="1" pivotButton="0" quotePrefix="0" xfId="0">
      <alignment horizontal="center" vertical="center" wrapText="1"/>
    </xf>
    <xf numFmtId="165" fontId="0" fillId="6" borderId="1" applyAlignment="1" pivotButton="0" quotePrefix="0" xfId="0">
      <alignment horizontal="right" vertical="center" wrapText="1"/>
    </xf>
    <xf numFmtId="164" fontId="0" fillId="0" borderId="0" applyAlignment="1" pivotButton="0" quotePrefix="0" xfId="0">
      <alignment horizontal="center" vertical="center" wrapText="1"/>
    </xf>
    <xf numFmtId="165" fontId="0" fillId="0" borderId="0" applyAlignment="1" pivotButton="0" quotePrefix="0" xfId="0">
      <alignment horizontal="right" vertical="center" wrapText="1"/>
    </xf>
    <xf numFmtId="0" fontId="3" fillId="5" borderId="1" applyAlignment="1" pivotButton="0" quotePrefix="0" xfId="0">
      <alignment horizontal="left" vertical="top" wrapText="1"/>
    </xf>
    <xf numFmtId="0" fontId="0" fillId="5" borderId="1" applyAlignment="1" pivotButton="0" quotePrefix="0" xfId="0">
      <alignment horizontal="left" vertical="top" wrapText="1"/>
    </xf>
    <xf numFmtId="0" fontId="2" fillId="5" borderId="1" applyAlignment="1" pivotButton="0" quotePrefix="0" xfId="0">
      <alignment horizontal="left" vertical="top" wrapText="1"/>
    </xf>
    <xf numFmtId="166" fontId="0" fillId="5" borderId="1" applyAlignment="1" pivotButton="0" quotePrefix="0" xfId="0">
      <alignment horizontal="left" vertical="top" wrapText="1"/>
    </xf>
    <xf numFmtId="167" fontId="0" fillId="5" borderId="1" applyAlignment="1" pivotButton="0" quotePrefix="0" xfId="0">
      <alignment horizontal="left" vertical="top" wrapText="1"/>
    </xf>
    <xf numFmtId="165" fontId="0" fillId="4" borderId="1" applyAlignment="1" pivotButton="0" quotePrefix="0" xfId="0">
      <alignment horizontal="right" vertical="center" wrapText="1"/>
    </xf>
    <xf numFmtId="0" fontId="0" fillId="0" borderId="0" applyAlignment="1" pivotButton="0" quotePrefix="0" xfId="0">
      <alignment horizontal="left" vertical="center"/>
    </xf>
    <xf numFmtId="0" fontId="0"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0" borderId="0" applyAlignment="1" pivotButton="0" quotePrefix="0" xfId="0">
      <alignment vertical="center" wrapText="1"/>
    </xf>
    <xf numFmtId="10" fontId="0" fillId="4" borderId="1" applyAlignment="1" pivotButton="0" quotePrefix="0" xfId="0">
      <alignment horizontal="center" vertical="center" wrapText="1"/>
    </xf>
    <xf numFmtId="0" fontId="0" fillId="4" borderId="1" applyAlignment="1" pivotButton="0" quotePrefix="0" xfId="0">
      <alignment vertical="center" wrapText="1"/>
    </xf>
    <xf numFmtId="0" fontId="5" fillId="6" borderId="1" applyAlignment="1" pivotButton="0" quotePrefix="0" xfId="0">
      <alignment horizontal="center" vertical="center" wrapText="1"/>
    </xf>
    <xf numFmtId="0" fontId="0" fillId="6" borderId="1" applyAlignment="1" pivotButton="0" quotePrefix="0" xfId="0">
      <alignment vertical="center" wrapText="1"/>
    </xf>
    <xf numFmtId="164" fontId="0" fillId="4" borderId="1" applyAlignment="1" pivotButton="0" quotePrefix="0" xfId="0">
      <alignment horizontal="center" vertical="center" wrapText="1"/>
    </xf>
    <xf numFmtId="168" fontId="0" fillId="6" borderId="1" applyAlignment="1" pivotButton="0" quotePrefix="0" xfId="0">
      <alignment horizontal="right" vertical="center" wrapText="1"/>
    </xf>
    <xf numFmtId="10" fontId="0"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0" fillId="7" borderId="1" applyAlignment="1" pivotButton="0" quotePrefix="0" xfId="0">
      <alignment vertical="center" wrapText="1"/>
    </xf>
    <xf numFmtId="0" fontId="0" fillId="4" borderId="1" applyAlignment="1" pivotButton="0" quotePrefix="0" xfId="0">
      <alignment horizontal="right" vertical="center" wrapText="1"/>
    </xf>
    <xf numFmtId="0" fontId="0" fillId="5" borderId="1" applyAlignment="1" pivotButton="0" quotePrefix="0" xfId="0">
      <alignment vertical="center" wrapText="1"/>
    </xf>
    <xf numFmtId="168" fontId="0" fillId="5" borderId="1" applyAlignment="1" pivotButton="0" quotePrefix="0" xfId="0">
      <alignment horizontal="right" vertical="center" wrapText="1"/>
    </xf>
    <xf numFmtId="0" fontId="0" fillId="6" borderId="1" applyAlignment="1" pivotButton="0" quotePrefix="0" xfId="0">
      <alignment horizontal="center" vertical="center" wrapText="1"/>
    </xf>
    <xf numFmtId="168" fontId="0" fillId="6" borderId="1" applyAlignment="1" pivotButton="0" quotePrefix="0" xfId="0">
      <alignment horizontal="center" vertical="center" wrapText="1"/>
    </xf>
    <xf numFmtId="166" fontId="0" fillId="6" borderId="1" applyAlignment="1" pivotButton="0" quotePrefix="0" xfId="0">
      <alignment horizontal="center" vertical="center" wrapText="1"/>
    </xf>
    <xf numFmtId="0" fontId="8" fillId="0" borderId="0" applyAlignment="1" pivotButton="0" quotePrefix="0" xfId="1">
      <alignment vertical="center"/>
    </xf>
    <xf numFmtId="0" fontId="6" fillId="0" borderId="0" pivotButton="0" quotePrefix="0" xfId="1"/>
    <xf numFmtId="0" fontId="9" fillId="0" borderId="0" applyAlignment="1" pivotButton="0" quotePrefix="0" xfId="1">
      <alignment vertical="center"/>
    </xf>
    <xf numFmtId="0" fontId="10" fillId="0" borderId="0" pivotButton="0" quotePrefix="0" xfId="1"/>
    <xf numFmtId="0" fontId="11" fillId="8" borderId="0" applyAlignment="1" pivotButton="0" quotePrefix="0" xfId="0">
      <alignment vertical="center"/>
    </xf>
    <xf numFmtId="0" fontId="12" fillId="0" borderId="0" applyAlignment="1" pivotButton="0" quotePrefix="0" xfId="1">
      <alignment vertical="center"/>
    </xf>
    <xf numFmtId="0" fontId="13" fillId="0" borderId="0" applyAlignment="1" pivotButton="0" quotePrefix="0" xfId="0">
      <alignment wrapText="1"/>
    </xf>
    <xf numFmtId="0" fontId="11" fillId="10" borderId="0" applyAlignment="1" pivotButton="0" quotePrefix="0" xfId="1">
      <alignment vertical="center"/>
    </xf>
    <xf numFmtId="0" fontId="6" fillId="10" borderId="0" pivotButton="0" quotePrefix="0" xfId="1"/>
    <xf numFmtId="0" fontId="11" fillId="11" borderId="0" applyAlignment="1" pivotButton="0" quotePrefix="0" xfId="1">
      <alignment vertical="center"/>
    </xf>
    <xf numFmtId="0" fontId="7" fillId="12" borderId="0" applyAlignment="1" pivotButton="0" quotePrefix="0" xfId="1">
      <alignment vertical="top" wrapText="1"/>
    </xf>
    <xf numFmtId="0" fontId="6" fillId="0" borderId="0" applyAlignment="1" pivotButton="0" quotePrefix="0" xfId="1">
      <alignment horizontal="left" vertical="center" indent="1"/>
    </xf>
    <xf numFmtId="0" fontId="7" fillId="0" borderId="0" pivotButton="0" quotePrefix="0" xfId="1"/>
    <xf numFmtId="0" fontId="7" fillId="0" borderId="0" applyAlignment="1" pivotButton="0" quotePrefix="0" xfId="1">
      <alignment horizontal="left" vertical="center" indent="1"/>
    </xf>
    <xf numFmtId="0" fontId="6" fillId="9" borderId="0" applyAlignment="1" pivotButton="0" quotePrefix="0" xfId="1">
      <alignment horizontal="justify" vertical="justify" wrapText="1"/>
    </xf>
    <xf numFmtId="0" fontId="6" fillId="9" borderId="0" applyAlignment="1" pivotButton="0" quotePrefix="0" xfId="1">
      <alignment horizontal="left" vertical="top" wrapText="1"/>
    </xf>
    <xf numFmtId="0" fontId="6" fillId="13" borderId="0" applyAlignment="1" pivotButton="0" quotePrefix="0" xfId="1">
      <alignment horizontal="justify" vertical="justify" wrapText="1"/>
    </xf>
    <xf numFmtId="0" fontId="1" fillId="0" borderId="0" applyAlignment="1" pivotButton="0" quotePrefix="0" xfId="0">
      <alignment horizontal="center" vertical="center" wrapText="1"/>
    </xf>
    <xf numFmtId="0" fontId="0" fillId="0" borderId="0" pivotButton="0" quotePrefix="0" xfId="0"/>
    <xf numFmtId="0" fontId="2" fillId="0" borderId="0" applyAlignment="1" pivotButton="0" quotePrefix="0" xfId="0">
      <alignment horizontal="center" vertical="top" wrapText="1"/>
    </xf>
    <xf numFmtId="0" fontId="3" fillId="5" borderId="1" applyAlignment="1" pivotButton="0" quotePrefix="0" xfId="0">
      <alignment horizontal="center" vertical="center" wrapText="1"/>
    </xf>
    <xf numFmtId="0" fontId="0" fillId="0" borderId="2" applyAlignment="1" pivotButton="0" quotePrefix="0" xfId="0">
      <alignment vertical="center" wrapText="1"/>
    </xf>
    <xf numFmtId="0" fontId="0" fillId="0" borderId="3" applyAlignment="1" pivotButton="0" quotePrefix="0" xfId="0">
      <alignment vertical="center" wrapText="1"/>
    </xf>
    <xf numFmtId="0" fontId="3" fillId="3" borderId="1" applyAlignment="1" pivotButton="0" quotePrefix="0" xfId="0">
      <alignment horizontal="center" vertical="center" wrapText="1"/>
    </xf>
    <xf numFmtId="0" fontId="3" fillId="6" borderId="1" applyAlignment="1" pivotButton="0" quotePrefix="0" xfId="0">
      <alignment horizontal="center" vertical="center" wrapText="1"/>
    </xf>
    <xf numFmtId="0" fontId="1" fillId="0" borderId="0" applyAlignment="1" pivotButton="0" quotePrefix="0" xfId="0">
      <alignment horizontal="left" vertical="top" wrapText="1"/>
    </xf>
    <xf numFmtId="0" fontId="0" fillId="0" borderId="0" applyAlignment="1" pivotButton="0" quotePrefix="0" xfId="0">
      <alignment vertical="center" wrapText="1"/>
    </xf>
    <xf numFmtId="0" fontId="1" fillId="0" borderId="0" applyAlignment="1" pivotButton="0" quotePrefix="0" xfId="0">
      <alignment horizontal="center" vertical="top" wrapText="1"/>
    </xf>
    <xf numFmtId="0" fontId="0" fillId="0" borderId="2" pivotButton="0" quotePrefix="0" xfId="0"/>
    <xf numFmtId="0" fontId="0" fillId="0" borderId="3" pivotButton="0" quotePrefix="0" xfId="0"/>
    <xf numFmtId="168" fontId="0" fillId="6" borderId="1" applyAlignment="1" pivotButton="0" quotePrefix="0" xfId="0">
      <alignment horizontal="right" vertical="center" wrapText="1"/>
    </xf>
    <xf numFmtId="165" fontId="0" fillId="4" borderId="1" applyAlignment="1" pivotButton="0" quotePrefix="0" xfId="0">
      <alignment horizontal="right" vertical="center" wrapText="1"/>
    </xf>
    <xf numFmtId="165" fontId="0" fillId="6" borderId="1" applyAlignment="1" pivotButton="0" quotePrefix="0" xfId="0">
      <alignment horizontal="right" vertical="center" wrapText="1"/>
    </xf>
    <xf numFmtId="165" fontId="0" fillId="0" borderId="0" applyAlignment="1" pivotButton="0" quotePrefix="0" xfId="0">
      <alignment horizontal="right" vertical="center" wrapText="1"/>
    </xf>
    <xf numFmtId="166" fontId="0" fillId="5" borderId="1" applyAlignment="1" pivotButton="0" quotePrefix="0" xfId="0">
      <alignment horizontal="left" vertical="top" wrapText="1"/>
    </xf>
    <xf numFmtId="167" fontId="0" fillId="5" borderId="1" applyAlignment="1" pivotButton="0" quotePrefix="0" xfId="0">
      <alignment horizontal="left" vertical="top" wrapText="1"/>
    </xf>
    <xf numFmtId="168" fontId="0" fillId="5" borderId="1" applyAlignment="1" pivotButton="0" quotePrefix="0" xfId="0">
      <alignment horizontal="right" vertical="center" wrapText="1"/>
    </xf>
    <xf numFmtId="168" fontId="0" fillId="6" borderId="1" applyAlignment="1" pivotButton="0" quotePrefix="0" xfId="0">
      <alignment horizontal="center" vertical="center" wrapText="1"/>
    </xf>
    <xf numFmtId="166" fontId="0" fillId="6" borderId="1" applyAlignment="1" pivotButton="0" quotePrefix="0" xfId="0">
      <alignment horizontal="center" vertical="center" wrapText="1"/>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Instructor Note</author>
  </authors>
  <commentList>
    <comment ref="C6" authorId="0" shapeId="0">
      <text>
        <t>If XIRR fails (#NUM), adjust guess (e.g., 0.05, 0.10, -0.20).</t>
      </text>
    </comment>
    <comment ref="C7" authorId="0" shapeId="0">
      <text>
        <t>Enter approval date. Sheet computes an additional XNPV as-of approval by adding a 0 cash flow at approval date.</t>
      </text>
    </comment>
    <comment ref="J7" authorId="0" shapeId="0">
      <text>
        <t>XNPV discounts each cash flow using exact day-count from the first date in the date range.</t>
      </text>
    </comment>
    <comment ref="J22" authorId="0" shapeId="0">
      <text>
        <t>Uses helper list with a 0 cash flow at approval date as the first date (value 'as of approval').</t>
      </text>
    </comment>
  </commentList>
</comments>
</file>

<file path=xl/comments/comment2.xml><?xml version="1.0" encoding="utf-8"?>
<comments xmlns="http://schemas.openxmlformats.org/spreadsheetml/2006/main">
  <authors>
    <author>Instructor Note</author>
  </authors>
  <commentList>
    <comment ref="C6" authorId="0" shapeId="0">
      <text>
        <t>If XIRR fails (#NUM), adjust guess (e.g., 0.05, 0.10, -0.20).</t>
      </text>
    </comment>
    <comment ref="J7" authorId="0" shapeId="0">
      <text>
        <t>XNPV discounts each cash flow using exact day-count from the first date in the date range.</t>
      </text>
    </comment>
    <comment ref="J22" authorId="0" shapeId="0">
      <text>
        <t>MIRR-style return for irregular timing: PV(negative at finance rate) vs FV(positive at reinvestment rate).</t>
      </text>
    </comment>
  </commentList>
</comments>
</file>

<file path=xl/comments/comment3.xml><?xml version="1.0" encoding="utf-8"?>
<comments xmlns="http://schemas.openxmlformats.org/spreadsheetml/2006/main">
  <authors>
    <author>Instructor Note</author>
  </authors>
  <commentList>
    <comment ref="C6" authorId="0" shapeId="0">
      <text>
        <t>If XIRR fails (#NUM), adjust guess (e.g., 0.05, 0.10, -0.20).</t>
      </text>
    </comment>
    <comment ref="C7" authorId="0" shapeId="0">
      <text>
        <t>Used to deflate cash flows into real terms.</t>
      </text>
    </comment>
    <comment ref="J7" authorId="0" shapeId="0">
      <text>
        <t>XNPV discounts each cash flow using exact day-count from the first date in the date range.</t>
      </text>
    </comment>
    <comment ref="J23" authorId="0" shapeId="0">
      <text>
        <t>Deflates cash flows by inflation and discounts at the real rate using exact timing.</t>
      </text>
    </comment>
  </commentList>
</comments>
</file>

<file path=xl/comments/comment4.xml><?xml version="1.0" encoding="utf-8"?>
<comments xmlns="http://schemas.openxmlformats.org/spreadsheetml/2006/main">
  <authors>
    <author>Instructor Note</author>
  </authors>
  <commentList>
    <comment ref="C6" authorId="0" shapeId="0">
      <text>
        <t>If XIRR fails (#NUM), adjust guess (e.g., 0.05, 0.10, -0.20).</t>
      </text>
    </comment>
    <comment ref="J7" authorId="0" shapeId="0">
      <text>
        <t>XNPV discounts each cash flow using exact day-count from the first date in the date range.</t>
      </text>
    </comment>
    <comment ref="J22" authorId="0" shapeId="0">
      <text>
        <t>Adds WC lock-up &amp; release to the schedule before computing XNPV (helper list keeps blanks as zeros).</t>
      </text>
    </comment>
  </commentList>
</comments>
</file>

<file path=xl/comments/comment5.xml><?xml version="1.0" encoding="utf-8"?>
<comments xmlns="http://schemas.openxmlformats.org/spreadsheetml/2006/main">
  <authors>
    <author>Instructor Note</author>
  </authors>
  <commentList>
    <comment ref="C6" authorId="0" shapeId="0">
      <text>
        <t>If XIRR fails (#NUM), adjust guess (e.g., 0.05, 0.10, -0.20).</t>
      </text>
    </comment>
    <comment ref="J7" authorId="0" shapeId="0">
      <text>
        <t>XNPV discounts each cash flow using exact day-count from the first date in the date range.</t>
      </text>
    </comment>
    <comment ref="C8" authorId="0" shapeId="0">
      <text>
        <t>Tag delayed inflows using DELAY in Tag/Notes column.</t>
      </text>
    </comment>
    <comment ref="K21" authorId="0" shapeId="0">
      <text>
        <t>Scenario B shifts dates for rows tagged DELAY and discounts at higher Scenario B WACC.</t>
      </text>
    </comment>
  </commentList>
</comments>
</file>

<file path=xl/comments/comment6.xml><?xml version="1.0" encoding="utf-8"?>
<comments xmlns="http://schemas.openxmlformats.org/spreadsheetml/2006/main">
  <authors>
    <author>Instructor Note</author>
  </authors>
  <commentList>
    <comment ref="C6" authorId="0" shapeId="0">
      <text>
        <t>If XIRR fails (#NUM), adjust guess (e.g., 0.05, 0.10, -0.20).</t>
      </text>
    </comment>
    <comment ref="J7" authorId="0" shapeId="0">
      <text>
        <t>XNPV discounts each cash flow using exact day-count from the first date in the date range.</t>
      </text>
    </comment>
    <comment ref="J21" authorId="0" shapeId="0">
      <text>
        <t>Requires modern Excel (XLOOKUP with array condition). Otherwise, find first row where Cum PV becomes positive.</t>
      </text>
    </comment>
  </commentList>
</comment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91313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J33"/>
  <sheetViews>
    <sheetView tabSelected="1" workbookViewId="0">
      <selection activeCell="I8" sqref="I8"/>
    </sheetView>
  </sheetViews>
  <sheetFormatPr baseColWidth="8" defaultRowHeight="14.5"/>
  <cols>
    <col width="8.7265625" customWidth="1" style="45" min="1" max="6"/>
    <col width="13.90625" customWidth="1" style="45" min="7" max="7"/>
    <col width="5.6328125" customWidth="1" style="45" min="8" max="8"/>
    <col width="71.6328125" customWidth="1" style="45" min="9" max="9"/>
    <col width="7.1796875" customWidth="1" style="45" min="10" max="10"/>
    <col width="8.7265625" customWidth="1" style="45" min="11" max="16384"/>
  </cols>
  <sheetData>
    <row r="1" ht="31" customHeight="1" s="62">
      <c r="A1" s="44" t="inlineStr">
        <is>
          <t>FINANCIAL MODELING USING EXCEL</t>
        </is>
      </c>
    </row>
    <row r="2"/>
    <row r="3" ht="23.5" customHeight="1" s="62">
      <c r="A3" s="46" t="inlineStr">
        <is>
          <t>Capital Budgeting – Unconventional Cash Flow Models Using Excel</t>
        </is>
      </c>
    </row>
    <row r="4"/>
    <row r="5" ht="23.5" customHeight="1" s="62">
      <c r="A5" s="47" t="inlineStr">
        <is>
          <t>Multiple IRR Challenges, Modified IRR, and Decision Consistency Analysis</t>
        </is>
      </c>
      <c r="I5" s="48" t="inlineStr">
        <is>
          <t>Learning Philosophy</t>
        </is>
      </c>
    </row>
    <row r="6"/>
    <row r="7" ht="28.5" customHeight="1" s="62">
      <c r="A7" s="49" t="inlineStr">
        <is>
          <t>Workbook Purpose</t>
        </is>
      </c>
      <c r="I7" s="50" t="inlineStr">
        <is>
          <t>When cash flows are unconventional, valuation discipline—not shortcut metrics—must guide investment decisions.</t>
        </is>
      </c>
    </row>
    <row r="8"/>
    <row r="9" ht="132.5" customHeight="1" s="62">
      <c r="A9" s="58" t="inlineStr">
        <is>
          <t>This workbook is designed to evaluate capital budgeting decisions involving unconventional cash flow patterns, where project cash flows change sign more than once over the project life. Such projects create analytical challenges for standard decision rules, particularly the Internal Rate of Return (IRR) method.
The workbook uses Excel to demonstrate how unconventional cash flows affect project evaluation, why multiple IRRs may arise, and how alternative measures such as Modified Internal Rate of Return (MIRR) and Net Present Value (NPV) provide clearer decision guidance. The emphasis is on conceptual understanding, analytical discipline, and correct interpretation rather than mechanical computation.</t>
        </is>
      </c>
    </row>
    <row r="10"/>
    <row r="11"/>
    <row r="12"/>
    <row r="13"/>
    <row r="14"/>
    <row r="15" ht="23.5" customHeight="1" s="62">
      <c r="A15" s="51" t="inlineStr">
        <is>
          <t>Key Concepts Covered</t>
        </is>
      </c>
      <c r="B15" s="52" t="n"/>
      <c r="C15" s="52" t="n"/>
      <c r="D15" s="52" t="n"/>
      <c r="E15" s="52" t="n"/>
      <c r="F15" s="52" t="n"/>
      <c r="G15" s="52" t="n"/>
      <c r="I15" s="53" t="inlineStr">
        <is>
          <t>Excel Functions Used</t>
        </is>
      </c>
    </row>
    <row r="16" ht="311.5" customHeight="1" s="62">
      <c r="A16" s="59" t="inlineStr">
        <is>
          <t>Nature and identification of unconventional cash flows
Multiple sign changes and their impact on IRR computation
Existence and interpretation of multiple IRRs
NPV as the value-consistent decision criterion
Modified Internal Rate of Return (MIRR) and reinvestment assumptions
Comparison of IRR, MIRR, and NPV signals
Decision conflicts and resolution strategies
Suitability of capital budgeting methods under complex cash-flow structures</t>
        </is>
      </c>
      <c r="I16" s="54" t="inlineStr">
        <is>
          <t xml:space="preserve">The following Excel functions are used accurately and completely across the five Paper LBO problems in this workbook to support deal structuring and return estimation:
SUM – Aggregates sources and uses of funds and valuation components
IF – Applies conditional logic for simplified deal rules and assumptions
XIRR – Computes the internal rate of return to equity investors
XNPV – Used for structured consistency checks and value validation blocks
ABS – Maintains disciplined cash-flow sign conventions
ROUND – Ensures numerical clarity and clean presentation of results
MAX / MIN – Applies logical bounds to leverage, repayment, and valuation assumptions
PERCENTAGE CALCULATIONS – Used for leverage ratios, exit multiples, ownership, and return interpretation
The workbook emphasizes assumption clarity, correct cash-flow direction, and consistent linkage between entry assumptions, exit outcomes, and equity returns across all problems.
</t>
        </is>
      </c>
    </row>
    <row r="17">
      <c r="A17" s="55" t="n"/>
    </row>
    <row r="18">
      <c r="A18" s="55" t="n"/>
      <c r="E18" s="60"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56" t="n"/>
    </row>
    <row r="19">
      <c r="A19" s="55" t="n"/>
    </row>
    <row r="20">
      <c r="A20" s="55" t="n"/>
      <c r="I20" s="56" t="n"/>
    </row>
    <row r="21">
      <c r="A21" s="55" t="n"/>
    </row>
    <row r="22">
      <c r="A22" s="55" t="n"/>
      <c r="I22" s="56" t="n"/>
    </row>
    <row r="23">
      <c r="A23" s="55" t="n"/>
    </row>
    <row r="24">
      <c r="A24" s="55" t="n"/>
      <c r="I24" s="56" t="n"/>
    </row>
    <row r="25">
      <c r="A25" s="55" t="n"/>
    </row>
    <row r="26">
      <c r="A26" s="55" t="n"/>
      <c r="I26" s="56" t="n"/>
    </row>
    <row r="27">
      <c r="A27" s="55" t="n"/>
    </row>
    <row r="28">
      <c r="A28" s="55" t="n"/>
      <c r="I28" s="56" t="n"/>
    </row>
    <row r="29">
      <c r="A29" s="55" t="n"/>
    </row>
    <row r="30">
      <c r="A30" s="55" t="n"/>
      <c r="I30" s="56" t="n"/>
    </row>
    <row r="31">
      <c r="A31" s="55" t="n"/>
      <c r="I31" s="55" t="n"/>
    </row>
    <row r="32">
      <c r="A32" s="55" t="n"/>
      <c r="I32" s="57" t="n"/>
    </row>
    <row r="33">
      <c r="A33" s="55"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9"/>
  <sheetViews>
    <sheetView workbookViewId="0">
      <pane ySplit="5" topLeftCell="A6" activePane="bottomLeft" state="frozen"/>
      <selection pane="bottomLeft" activeCell="D15" sqref="D15"/>
    </sheetView>
  </sheetViews>
  <sheetFormatPr baseColWidth="8" defaultRowHeight="14.5"/>
  <cols>
    <col width="10" customWidth="1" style="62" min="1" max="1"/>
    <col width="28" customWidth="1" style="62" min="2" max="2"/>
    <col width="52" customWidth="1" style="62" min="3" max="3"/>
    <col width="12" customWidth="1" style="62" min="4" max="4"/>
  </cols>
  <sheetData>
    <row r="1">
      <c r="A1" s="61" t="inlineStr">
        <is>
          <t>Unconventional Capital Budgeting Models (XNPV / XIRR) – 6 Cases</t>
        </is>
      </c>
    </row>
    <row r="2">
      <c r="A2" s="24" t="n"/>
    </row>
    <row r="3">
      <c r="A3" s="63" t="inlineStr">
        <is>
          <t>Enter dates &amp; cash flows in blue cells on each case sheet. Outputs update automatically.</t>
        </is>
      </c>
    </row>
    <row r="4"/>
    <row r="5">
      <c r="A5" s="1" t="inlineStr">
        <is>
          <t>Case</t>
        </is>
      </c>
      <c r="B5" s="1" t="inlineStr">
        <is>
          <t>Sheet</t>
        </is>
      </c>
      <c r="C5" s="1" t="inlineStr">
        <is>
          <t>Embedded twist</t>
        </is>
      </c>
      <c r="D5" s="1" t="inlineStr">
        <is>
          <t>Link</t>
        </is>
      </c>
    </row>
    <row r="6">
      <c r="A6" s="2" t="inlineStr">
        <is>
          <t>Case 1</t>
        </is>
      </c>
      <c r="B6" s="25" t="inlineStr">
        <is>
          <t>U1_Zenith_BaseDate</t>
        </is>
      </c>
      <c r="C6" s="25" t="inlineStr">
        <is>
          <t>Approval-date vs first cash flow timing</t>
        </is>
      </c>
      <c r="D6" s="3" t="inlineStr">
        <is>
          <t>Open ➜</t>
        </is>
      </c>
    </row>
    <row r="7">
      <c r="A7" s="2" t="inlineStr">
        <is>
          <t>Case 2</t>
        </is>
      </c>
      <c r="B7" s="25" t="inlineStr">
        <is>
          <t>U2_Zest_SignChange</t>
        </is>
      </c>
      <c r="C7" s="25" t="inlineStr">
        <is>
          <t>Midstream extra outflow + reinvestment realism</t>
        </is>
      </c>
      <c r="D7" s="3" t="inlineStr">
        <is>
          <t>Open ➜</t>
        </is>
      </c>
    </row>
    <row r="8">
      <c r="A8" s="2" t="inlineStr">
        <is>
          <t>Case 3</t>
        </is>
      </c>
      <c r="B8" s="25" t="inlineStr">
        <is>
          <t>U3_Spark_Inflation</t>
        </is>
      </c>
      <c r="C8" s="25" t="inlineStr">
        <is>
          <t>Nominal vs real consistency with inflation</t>
        </is>
      </c>
      <c r="D8" s="3" t="inlineStr">
        <is>
          <t>Open ➜</t>
        </is>
      </c>
    </row>
    <row r="9">
      <c r="A9" s="2" t="inlineStr">
        <is>
          <t>Case 4</t>
        </is>
      </c>
      <c r="B9" s="25" t="inlineStr">
        <is>
          <t>U4_Bright_WorkingCapital</t>
        </is>
      </c>
      <c r="C9" s="25" t="inlineStr">
        <is>
          <t>Working-capital lock-up &amp; release cash flows</t>
        </is>
      </c>
      <c r="D9" s="3" t="inlineStr">
        <is>
          <t>Open ➜</t>
        </is>
      </c>
    </row>
    <row r="10">
      <c r="A10" s="2" t="inlineStr">
        <is>
          <t>Case 5</t>
        </is>
      </c>
      <c r="B10" s="25" t="inlineStr">
        <is>
          <t>U5_Radiant_Scenarios</t>
        </is>
      </c>
      <c r="C10" s="25" t="inlineStr">
        <is>
          <t>Delay + risk premium scenario comparison</t>
        </is>
      </c>
      <c r="D10" s="3" t="inlineStr">
        <is>
          <t>Open ➜</t>
        </is>
      </c>
    </row>
    <row r="11">
      <c r="A11" s="2" t="inlineStr">
        <is>
          <t>Case 6</t>
        </is>
      </c>
      <c r="B11" s="25" t="inlineStr">
        <is>
          <t>U6_Horizon_Payback</t>
        </is>
      </c>
      <c r="C11" s="25" t="inlineStr">
        <is>
          <t>Discounted payback with irregular dates</t>
        </is>
      </c>
      <c r="D11" s="3" t="inlineStr">
        <is>
          <t>Open ➜</t>
        </is>
      </c>
    </row>
    <row r="12">
      <c r="A12" s="26" t="n"/>
      <c r="B12" s="27" t="n"/>
      <c r="C12" s="27" t="n"/>
      <c r="D12" s="26" t="n"/>
    </row>
    <row r="13">
      <c r="A13" s="26" t="n"/>
      <c r="B13" s="27" t="n"/>
      <c r="C13" s="27" t="n"/>
      <c r="D13" s="26" t="n"/>
    </row>
    <row r="14">
      <c r="A14" s="26" t="n"/>
      <c r="B14" s="27" t="n"/>
      <c r="C14" s="27" t="n"/>
      <c r="D14" s="26" t="n"/>
    </row>
    <row r="15">
      <c r="A15" s="26" t="n"/>
      <c r="B15" s="27" t="n"/>
      <c r="C15" s="27" t="n"/>
      <c r="D15" s="26" t="n"/>
    </row>
    <row r="16">
      <c r="A16" s="26" t="n"/>
      <c r="B16" s="27" t="n"/>
      <c r="C16" s="27" t="n"/>
      <c r="D16" s="26" t="n"/>
    </row>
    <row r="17">
      <c r="A17" s="26" t="n"/>
      <c r="B17" s="27" t="n"/>
      <c r="C17" s="27" t="n"/>
      <c r="D17" s="26" t="n"/>
    </row>
    <row r="18">
      <c r="A18" s="26" t="n"/>
      <c r="B18" s="27" t="n"/>
      <c r="C18" s="27" t="n"/>
      <c r="D18" s="26" t="n"/>
    </row>
    <row r="19">
      <c r="A19" s="26" t="n"/>
      <c r="B19" s="27" t="n"/>
      <c r="C19" s="27" t="n"/>
      <c r="D19" s="26" t="n"/>
    </row>
  </sheetData>
  <sheetProtection selectLockedCells="0" selectUnlockedCells="0" sheet="1" objects="1" insertRows="0" insertHyperlinks="1" autoFilter="0" scenarios="1" formatColumns="0" deleteColumns="0" insertColumns="0" pivotTables="0" deleteRows="0" formatCells="0" formatRows="0" sort="0" password="AE3A"/>
  <mergeCells count="2">
    <mergeCell ref="A1:N1"/>
    <mergeCell ref="A3:E3"/>
  </mergeCells>
  <hyperlinks>
    <hyperlink ref="D6" location="'U1_Zenith_BaseDate'!A1" display="Open ➜"/>
    <hyperlink ref="D7" location="'U2_Zest_SignChange'!A1" display="Open ➜"/>
    <hyperlink ref="D8" location="'U3_Spark_Inflation'!A1" display="Open ➜"/>
    <hyperlink ref="D9" location="'U4_Bright_WorkingCapital'!A1" display="Open ➜"/>
    <hyperlink ref="D10" location="'U5_Radiant_Scenarios'!A1" display="Open ➜"/>
    <hyperlink ref="D11" location="'U6_Horizon_Payback'!A1" display="Open ➜"/>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0"/>
  <sheetViews>
    <sheetView workbookViewId="0">
      <pane xSplit="1" ySplit="13" topLeftCell="B14" activePane="bottomRight" state="frozen"/>
      <selection pane="topRight" activeCell="A1" sqref="A1"/>
      <selection pane="bottomLeft" activeCell="A1" sqref="A1"/>
      <selection pane="bottomRight" activeCell="A1" sqref="A1:N1"/>
    </sheetView>
  </sheetViews>
  <sheetFormatPr baseColWidth="8" defaultRowHeight="14.5"/>
  <cols>
    <col width="3" customWidth="1" style="62" min="1" max="1"/>
    <col width="18" customWidth="1" style="62" min="2" max="4"/>
    <col width="16" customWidth="1" style="62" min="5" max="5"/>
    <col width="14" customWidth="1" style="62" min="6" max="6"/>
    <col width="16" customWidth="1" style="62" min="7" max="7"/>
    <col width="3" customWidth="1" style="62" min="8" max="8"/>
    <col width="22" customWidth="1" style="62" min="9" max="9"/>
    <col width="18" customWidth="1" style="62" min="10" max="14"/>
  </cols>
  <sheetData>
    <row r="1">
      <c r="A1" s="69" t="inlineStr">
        <is>
          <t>Case 1 – Project Zenith (SunGlow Systems)</t>
        </is>
      </c>
    </row>
    <row r="2">
      <c r="A2" s="4" t="inlineStr">
        <is>
          <t>⬅ Back to Index</t>
        </is>
      </c>
      <c r="B2" s="70" t="n"/>
      <c r="C2" s="70" t="n"/>
      <c r="D2" s="70" t="n"/>
      <c r="E2" s="70" t="n"/>
      <c r="F2" s="70" t="n"/>
      <c r="G2" s="70" t="n"/>
      <c r="H2" s="70" t="n"/>
      <c r="I2" s="70" t="n"/>
      <c r="J2" s="70" t="n"/>
      <c r="K2" s="70" t="n"/>
      <c r="L2" s="70" t="n"/>
      <c r="M2" s="70" t="n"/>
      <c r="N2" s="70" t="n"/>
    </row>
    <row r="3">
      <c r="A3" s="70" t="n"/>
      <c r="B3" s="70" t="n"/>
      <c r="C3" s="70" t="n"/>
      <c r="D3" s="70" t="n"/>
      <c r="E3" s="70" t="n"/>
      <c r="F3" s="70" t="n"/>
      <c r="G3" s="70" t="n"/>
      <c r="H3" s="70" t="n"/>
      <c r="I3" s="70" t="n"/>
      <c r="J3" s="70" t="n"/>
      <c r="K3" s="70" t="n"/>
      <c r="L3" s="70" t="n"/>
      <c r="M3" s="70" t="n"/>
      <c r="N3" s="70" t="n"/>
    </row>
    <row r="4">
      <c r="A4" s="70" t="n"/>
      <c r="B4" s="67" t="inlineStr">
        <is>
          <t>INPUTS</t>
        </is>
      </c>
      <c r="C4" s="72" t="n"/>
      <c r="D4" s="72" t="n"/>
      <c r="E4" s="72" t="n"/>
      <c r="F4" s="72" t="n"/>
      <c r="G4" s="73" t="n"/>
      <c r="H4" s="70" t="n"/>
      <c r="I4" s="68" t="inlineStr">
        <is>
          <t>OUTPUTS / DECISION</t>
        </is>
      </c>
      <c r="J4" s="72" t="n"/>
      <c r="K4" s="72" t="n"/>
      <c r="L4" s="72" t="n"/>
      <c r="M4" s="72" t="n"/>
      <c r="N4" s="73" t="n"/>
    </row>
    <row r="5" ht="29" customHeight="1" s="62">
      <c r="A5" s="70" t="n"/>
      <c r="B5" s="7" t="inlineStr">
        <is>
          <t>WACC / Discount rate</t>
        </is>
      </c>
      <c r="C5" s="29" t="n">
        <v>0.1</v>
      </c>
      <c r="D5" s="30" t="n"/>
      <c r="E5" s="30" t="n"/>
      <c r="F5" s="30" t="n"/>
      <c r="G5" s="30" t="n"/>
      <c r="H5" s="70" t="n"/>
      <c r="I5" s="31" t="inlineStr">
        <is>
          <t>Key Outputs</t>
        </is>
      </c>
      <c r="J5" s="32" t="n"/>
      <c r="K5" s="32" t="n"/>
      <c r="L5" s="32" t="n"/>
      <c r="M5" s="32" t="n"/>
      <c r="N5" s="32" t="n"/>
    </row>
    <row r="6">
      <c r="A6" s="70" t="n"/>
      <c r="B6" s="7" t="inlineStr">
        <is>
          <t>XIRR Guess</t>
        </is>
      </c>
      <c r="C6" s="29" t="n">
        <v>0.1</v>
      </c>
      <c r="D6" s="30" t="n"/>
      <c r="E6" s="30" t="n"/>
      <c r="F6" s="30" t="n"/>
      <c r="G6" s="30" t="n"/>
      <c r="H6" s="70" t="n"/>
      <c r="I6" s="5" t="inlineStr">
        <is>
          <t>Metric</t>
        </is>
      </c>
      <c r="J6" s="5" t="inlineStr">
        <is>
          <t>Value</t>
        </is>
      </c>
      <c r="K6" s="32" t="n"/>
      <c r="L6" s="32" t="n"/>
      <c r="M6" s="32" t="n"/>
      <c r="N6" s="32" t="n"/>
    </row>
    <row r="7" ht="29" customHeight="1" s="62">
      <c r="A7" s="70" t="n"/>
      <c r="B7" s="7" t="inlineStr">
        <is>
          <t>Approval / Board date</t>
        </is>
      </c>
      <c r="C7" s="33" t="n">
        <v>43070</v>
      </c>
      <c r="D7" s="30" t="n"/>
      <c r="E7" s="30" t="n"/>
      <c r="F7" s="30" t="n"/>
      <c r="G7" s="30" t="n"/>
      <c r="H7" s="70" t="n"/>
      <c r="I7" s="6" t="inlineStr">
        <is>
          <t>XNPV (₹)</t>
        </is>
      </c>
      <c r="J7" s="74">
        <f>IFERROR(XNPV($C$5,$D$14:$D$33,$C$14:$C$33),"")</f>
        <v/>
      </c>
      <c r="K7" s="32" t="n"/>
      <c r="L7" s="32" t="n"/>
      <c r="M7" s="32" t="n"/>
      <c r="N7" s="32" t="n"/>
    </row>
    <row r="8">
      <c r="A8" s="70" t="n"/>
      <c r="B8" s="30" t="n"/>
      <c r="C8" s="30" t="n"/>
      <c r="D8" s="30" t="n"/>
      <c r="E8" s="30" t="n"/>
      <c r="F8" s="30" t="n"/>
      <c r="G8" s="30" t="n"/>
      <c r="H8" s="70" t="n"/>
      <c r="I8" s="6" t="inlineStr">
        <is>
          <t>XIRR (%)</t>
        </is>
      </c>
      <c r="J8" s="35">
        <f>IFERROR(XIRR($D$14:$D$33,$C$14:$C$33,$C$6),"")</f>
        <v/>
      </c>
      <c r="K8" s="32" t="n"/>
      <c r="L8" s="32" t="n"/>
      <c r="M8" s="32" t="n"/>
      <c r="N8" s="32" t="n"/>
    </row>
    <row r="9">
      <c r="A9" s="70" t="n"/>
      <c r="B9" s="30" t="n"/>
      <c r="C9" s="30" t="n"/>
      <c r="D9" s="30" t="n"/>
      <c r="E9" s="30" t="n"/>
      <c r="F9" s="30" t="n"/>
      <c r="G9" s="30" t="n"/>
      <c r="H9" s="70" t="n"/>
      <c r="I9" s="6" t="inlineStr">
        <is>
          <t>Decision</t>
        </is>
      </c>
      <c r="J9" s="9">
        <f>IF(J7="","",IF(J7&gt;0,"ACCEPT (XNPV&gt;0)","REJECT (XNPV≤0)"))</f>
        <v/>
      </c>
      <c r="K9" s="32" t="n"/>
      <c r="L9" s="32" t="n"/>
      <c r="M9" s="32" t="n"/>
      <c r="N9" s="32" t="n"/>
    </row>
    <row r="10">
      <c r="A10" s="70" t="n"/>
      <c r="B10" s="30" t="n"/>
      <c r="C10" s="30" t="n"/>
      <c r="D10" s="30" t="n"/>
      <c r="E10" s="30" t="n"/>
      <c r="F10" s="30" t="n"/>
      <c r="G10" s="30" t="n"/>
      <c r="H10" s="70" t="n"/>
      <c r="I10" s="32" t="n"/>
      <c r="J10" s="32" t="n"/>
      <c r="K10" s="32" t="n"/>
      <c r="L10" s="32" t="n"/>
      <c r="M10" s="32" t="n"/>
      <c r="N10" s="32" t="n"/>
    </row>
    <row r="11" ht="15.5" customHeight="1" s="62">
      <c r="A11" s="70" t="n"/>
      <c r="B11" s="30" t="n"/>
      <c r="C11" s="30" t="n"/>
      <c r="D11" s="30" t="n"/>
      <c r="E11" s="30" t="n"/>
      <c r="F11" s="30" t="n"/>
      <c r="G11" s="30" t="n"/>
      <c r="H11" s="70" t="n"/>
      <c r="I11" s="36" t="inlineStr">
        <is>
          <t>Checks</t>
        </is>
      </c>
      <c r="J11" s="37" t="n"/>
      <c r="K11" s="37" t="n"/>
      <c r="L11" s="32" t="n"/>
      <c r="M11" s="32" t="n"/>
      <c r="N11" s="32" t="n"/>
    </row>
    <row r="12" ht="62" customHeight="1" s="62">
      <c r="A12" s="70" t="n"/>
      <c r="B12" s="11" t="inlineStr">
        <is>
          <t>Cash Flow Schedule (enter dates &amp; cash flows)</t>
        </is>
      </c>
      <c r="C12" s="30" t="n"/>
      <c r="D12" s="30" t="n"/>
      <c r="E12" s="30" t="n"/>
      <c r="F12" s="30" t="n"/>
      <c r="G12" s="30" t="n"/>
      <c r="H12" s="70" t="n"/>
      <c r="I12" s="12" t="inlineStr">
        <is>
          <t>Check</t>
        </is>
      </c>
      <c r="J12" s="12" t="inlineStr">
        <is>
          <t>Status</t>
        </is>
      </c>
      <c r="K12" s="37" t="n"/>
      <c r="L12" s="32" t="n"/>
      <c r="M12" s="32" t="n"/>
      <c r="N12" s="32" t="n"/>
    </row>
    <row r="13">
      <c r="A13" s="70" t="n"/>
      <c r="B13" s="13" t="inlineStr">
        <is>
          <t>#</t>
        </is>
      </c>
      <c r="C13" s="13" t="inlineStr">
        <is>
          <t>Date</t>
        </is>
      </c>
      <c r="D13" s="13" t="inlineStr">
        <is>
          <t>Cash Flow (₹)</t>
        </is>
      </c>
      <c r="E13" s="13" t="inlineStr">
        <is>
          <t>Tag/Notes</t>
        </is>
      </c>
      <c r="F13" s="30" t="n"/>
      <c r="G13" s="30" t="n"/>
      <c r="H13" s="70" t="n"/>
      <c r="I13" s="10" t="inlineStr">
        <is>
          <t>Dates increasing?</t>
        </is>
      </c>
      <c r="J13" s="10">
        <f>IF(COUNT($C$14:$C$33)&lt;2,"",IF(SUMPRODUCT(--($C$15:$C$33&lt;&gt;""),--($C$14:$C$32&lt;&gt;""),--($C$15:$C$33&lt;$C$14:$C$32))=0,"OK","Review"))</f>
        <v/>
      </c>
      <c r="K13" s="37" t="n"/>
      <c r="L13" s="9" t="inlineStr">
        <is>
          <t>Helper dates</t>
        </is>
      </c>
      <c r="M13" s="9" t="inlineStr">
        <is>
          <t>Helper CF</t>
        </is>
      </c>
      <c r="N13" s="32" t="n"/>
    </row>
    <row r="14" ht="29" customHeight="1" s="62">
      <c r="A14" s="70" t="n"/>
      <c r="B14" s="38" t="n">
        <v>1</v>
      </c>
      <c r="C14" s="33" t="n">
        <v>43101</v>
      </c>
      <c r="D14" s="75" t="n">
        <v>-10000</v>
      </c>
      <c r="E14" s="30" t="n"/>
      <c r="F14" s="30" t="n"/>
      <c r="G14" s="30" t="n"/>
      <c r="H14" s="70" t="n"/>
      <c r="I14" s="10" t="inlineStr">
        <is>
          <t>Has at least one (-) and one (+) CF?</t>
        </is>
      </c>
      <c r="J14" s="10">
        <f>IF(AND(COUNTIF($D$14:$D$33,"&lt;0")&gt;=1,COUNTIF($D$14:$D$33,"&gt;0")&gt;=1),"OK","Review")</f>
        <v/>
      </c>
      <c r="K14" s="37" t="n"/>
      <c r="L14" s="14">
        <f>IF($C$7="",$C$14,$C$7)</f>
        <v/>
      </c>
      <c r="M14" s="76" t="n">
        <v>0</v>
      </c>
      <c r="N14" s="32" t="n"/>
    </row>
    <row r="15" ht="29" customHeight="1" s="62">
      <c r="A15" s="70" t="n"/>
      <c r="B15" s="38" t="n">
        <v>2</v>
      </c>
      <c r="C15" s="33" t="n">
        <v>43174</v>
      </c>
      <c r="D15" s="75" t="n">
        <v>2000</v>
      </c>
      <c r="E15" s="30" t="n"/>
      <c r="F15" s="30" t="n"/>
      <c r="G15" s="30" t="n"/>
      <c r="H15" s="70" t="n"/>
      <c r="I15" s="10" t="inlineStr">
        <is>
          <t>Multiple sign changes warning</t>
        </is>
      </c>
      <c r="J15" s="10">
        <f>IF(OR(COUNTIF($D$14:$D$33,"&lt;0")=0,COUNTIF($D$14:$D$33,"&gt;0")=0),"",IF(SUMPRODUCT(--(($D$14:$D$32*$D$15:$D$33)&lt;0))&gt;1,"Warning","OK"))</f>
        <v/>
      </c>
      <c r="K15" s="37" t="n"/>
      <c r="L15" s="14">
        <f>IF(C14="",$L$14,C14)</f>
        <v/>
      </c>
      <c r="M15" s="76">
        <f>IF(D14="",0,D14)</f>
        <v/>
      </c>
      <c r="N15" s="32" t="n"/>
    </row>
    <row r="16" ht="29" customHeight="1" s="62">
      <c r="A16" s="70" t="n"/>
      <c r="B16" s="38" t="n">
        <v>3</v>
      </c>
      <c r="C16" s="33" t="n">
        <v>43327</v>
      </c>
      <c r="D16" s="75" t="n">
        <v>2500</v>
      </c>
      <c r="E16" s="30" t="n"/>
      <c r="F16" s="30" t="n"/>
      <c r="G16" s="30" t="n"/>
      <c r="H16" s="70" t="n"/>
      <c r="I16" s="10" t="inlineStr">
        <is>
          <t>XNPV vs PV-sum consistency</t>
        </is>
      </c>
      <c r="J16" s="10">
        <f>IF(J7="","",IF(ABS(J7-SUM($H$38:$H$57))&lt;1,"OK","Review"))</f>
        <v/>
      </c>
      <c r="K16" s="37" t="n"/>
      <c r="L16" s="14">
        <f>IF(C15="",$L$14,C15)</f>
        <v/>
      </c>
      <c r="M16" s="76">
        <f>IF(D15="",0,D15)</f>
        <v/>
      </c>
      <c r="N16" s="32" t="n"/>
    </row>
    <row r="17">
      <c r="A17" s="70" t="n"/>
      <c r="B17" s="38" t="n">
        <v>4</v>
      </c>
      <c r="C17" s="33" t="n">
        <v>43511</v>
      </c>
      <c r="D17" s="75" t="n">
        <v>3000</v>
      </c>
      <c r="E17" s="30" t="n"/>
      <c r="F17" s="30" t="n"/>
      <c r="G17" s="30" t="n"/>
      <c r="H17" s="70" t="n"/>
      <c r="I17" s="37" t="n"/>
      <c r="J17" s="37" t="n"/>
      <c r="K17" s="37" t="n"/>
      <c r="L17" s="14">
        <f>IF(C16="",$L$14,C16)</f>
        <v/>
      </c>
      <c r="M17" s="76">
        <f>IF(D16="",0,D16)</f>
        <v/>
      </c>
      <c r="N17" s="32" t="n"/>
    </row>
    <row r="18">
      <c r="A18" s="70" t="n"/>
      <c r="B18" s="38" t="n">
        <v>5</v>
      </c>
      <c r="C18" s="33" t="n">
        <v>43631</v>
      </c>
      <c r="D18" s="75" t="n">
        <v>2500</v>
      </c>
      <c r="E18" s="30" t="n"/>
      <c r="F18" s="30" t="n"/>
      <c r="G18" s="30" t="n"/>
      <c r="H18" s="70" t="n"/>
      <c r="I18" s="70" t="n"/>
      <c r="J18" s="70" t="n"/>
      <c r="K18" s="70" t="n"/>
      <c r="L18" s="16">
        <f>IF(C17="",$L$14,C17)</f>
        <v/>
      </c>
      <c r="M18" s="77">
        <f>IF(D17="",0,D17)</f>
        <v/>
      </c>
      <c r="N18" s="70" t="n"/>
    </row>
    <row r="19" ht="15.5" customHeight="1" s="62">
      <c r="A19" s="70" t="n"/>
      <c r="B19" s="38" t="n">
        <v>6</v>
      </c>
      <c r="C19" s="33" t="n">
        <v>43830</v>
      </c>
      <c r="D19" s="75" t="n">
        <v>2000</v>
      </c>
      <c r="E19" s="30" t="n"/>
      <c r="F19" s="30" t="n"/>
      <c r="G19" s="30" t="n"/>
      <c r="H19" s="70" t="n"/>
      <c r="I19" s="8" t="inlineStr">
        <is>
          <t>Timing comparison</t>
        </is>
      </c>
      <c r="J19" s="32" t="n"/>
      <c r="K19" s="32" t="n"/>
      <c r="L19" s="14">
        <f>IF(C18="",$L$14,C18)</f>
        <v/>
      </c>
      <c r="M19" s="76">
        <f>IF(D18="",0,D18)</f>
        <v/>
      </c>
      <c r="N19" s="32" t="n"/>
    </row>
    <row r="20">
      <c r="A20" s="70" t="n"/>
      <c r="B20" s="38" t="n">
        <v>7</v>
      </c>
      <c r="C20" s="33" t="n"/>
      <c r="D20" s="75" t="n"/>
      <c r="E20" s="30" t="n"/>
      <c r="F20" s="30" t="n"/>
      <c r="G20" s="30" t="n"/>
      <c r="H20" s="70" t="n"/>
      <c r="I20" s="5" t="inlineStr">
        <is>
          <t>Metric</t>
        </is>
      </c>
      <c r="J20" s="5" t="inlineStr">
        <is>
          <t>Value</t>
        </is>
      </c>
      <c r="K20" s="32" t="n"/>
      <c r="L20" s="14">
        <f>IF(C19="",$L$14,C19)</f>
        <v/>
      </c>
      <c r="M20" s="76">
        <f>IF(D19="",0,D19)</f>
        <v/>
      </c>
      <c r="N20" s="32" t="n"/>
    </row>
    <row r="21">
      <c r="A21" s="70" t="n"/>
      <c r="B21" s="38" t="n">
        <v>8</v>
      </c>
      <c r="C21" s="33" t="n"/>
      <c r="D21" s="75" t="n"/>
      <c r="E21" s="30" t="n"/>
      <c r="F21" s="30" t="n"/>
      <c r="G21" s="30" t="n"/>
      <c r="H21" s="70" t="n"/>
      <c r="I21" s="6" t="inlineStr">
        <is>
          <t>XNPV as of first CF date</t>
        </is>
      </c>
      <c r="J21" s="74">
        <f>J7</f>
        <v/>
      </c>
      <c r="K21" s="32" t="n"/>
      <c r="L21" s="14">
        <f>IF(C20="",$L$14,C20)</f>
        <v/>
      </c>
      <c r="M21" s="76">
        <f>IF(D20="",0,D20)</f>
        <v/>
      </c>
      <c r="N21" s="32" t="n"/>
    </row>
    <row r="22">
      <c r="A22" s="70" t="n"/>
      <c r="B22" s="38" t="n">
        <v>9</v>
      </c>
      <c r="C22" s="33" t="n"/>
      <c r="D22" s="75" t="n"/>
      <c r="E22" s="30" t="n"/>
      <c r="F22" s="30" t="n"/>
      <c r="G22" s="30" t="n"/>
      <c r="H22" s="70" t="n"/>
      <c r="I22" s="6" t="inlineStr">
        <is>
          <t>XNPV as of approval date</t>
        </is>
      </c>
      <c r="J22" s="74">
        <f>IF($C$7="","",IFERROR(XNPV($C$5,$M$14:$M$34,$L$14:$L$34),""))</f>
        <v/>
      </c>
      <c r="K22" s="32" t="n"/>
      <c r="L22" s="14">
        <f>IF(C21="",$L$14,C21)</f>
        <v/>
      </c>
      <c r="M22" s="76">
        <f>IF(D21="",0,D21)</f>
        <v/>
      </c>
      <c r="N22" s="32" t="n"/>
    </row>
    <row r="23">
      <c r="A23" s="70" t="n"/>
      <c r="B23" s="38" t="n">
        <v>10</v>
      </c>
      <c r="C23" s="33" t="n"/>
      <c r="D23" s="75" t="n"/>
      <c r="E23" s="30" t="n"/>
      <c r="F23" s="30" t="n"/>
      <c r="G23" s="30" t="n"/>
      <c r="H23" s="70" t="n"/>
      <c r="I23" s="32" t="n"/>
      <c r="J23" s="32" t="n"/>
      <c r="K23" s="32" t="n"/>
      <c r="L23" s="14">
        <f>IF(C22="",$L$14,C22)</f>
        <v/>
      </c>
      <c r="M23" s="76">
        <f>IF(D22="",0,D22)</f>
        <v/>
      </c>
      <c r="N23" s="32" t="n"/>
    </row>
    <row r="24">
      <c r="A24" s="70" t="n"/>
      <c r="B24" s="38" t="n">
        <v>11</v>
      </c>
      <c r="C24" s="33" t="n"/>
      <c r="D24" s="75" t="n"/>
      <c r="E24" s="30" t="n"/>
      <c r="F24" s="30" t="n"/>
      <c r="G24" s="30" t="n"/>
      <c r="H24" s="70" t="n"/>
      <c r="I24" s="32" t="n"/>
      <c r="J24" s="32" t="n"/>
      <c r="K24" s="32" t="n"/>
      <c r="L24" s="14">
        <f>IF(C23="",$L$14,C23)</f>
        <v/>
      </c>
      <c r="M24" s="76">
        <f>IF(D23="",0,D23)</f>
        <v/>
      </c>
      <c r="N24" s="32" t="n"/>
    </row>
    <row r="25">
      <c r="A25" s="70" t="n"/>
      <c r="B25" s="38" t="n">
        <v>12</v>
      </c>
      <c r="C25" s="33" t="n"/>
      <c r="D25" s="75" t="n"/>
      <c r="E25" s="30" t="n"/>
      <c r="F25" s="30" t="n"/>
      <c r="G25" s="30" t="n"/>
      <c r="H25" s="70" t="n"/>
      <c r="I25" s="70" t="n"/>
      <c r="J25" s="70" t="n"/>
      <c r="K25" s="70" t="n"/>
      <c r="L25" s="16">
        <f>IF(C24="",$L$14,C24)</f>
        <v/>
      </c>
      <c r="M25" s="77">
        <f>IF(D24="",0,D24)</f>
        <v/>
      </c>
      <c r="N25" s="70" t="n"/>
    </row>
    <row r="26">
      <c r="A26" s="70" t="n"/>
      <c r="B26" s="38" t="n">
        <v>13</v>
      </c>
      <c r="C26" s="33" t="n"/>
      <c r="D26" s="75" t="n"/>
      <c r="E26" s="30" t="n"/>
      <c r="F26" s="30" t="n"/>
      <c r="G26" s="30" t="n"/>
      <c r="H26" s="70" t="n"/>
      <c r="I26" s="70" t="n"/>
      <c r="J26" s="70" t="n"/>
      <c r="K26" s="70" t="n"/>
      <c r="L26" s="16">
        <f>IF(C25="",$L$14,C25)</f>
        <v/>
      </c>
      <c r="M26" s="77">
        <f>IF(D25="",0,D25)</f>
        <v/>
      </c>
      <c r="N26" s="70" t="n"/>
    </row>
    <row r="27">
      <c r="A27" s="70" t="n"/>
      <c r="B27" s="38" t="n">
        <v>14</v>
      </c>
      <c r="C27" s="33" t="n"/>
      <c r="D27" s="75" t="n"/>
      <c r="E27" s="30" t="n"/>
      <c r="F27" s="30" t="n"/>
      <c r="G27" s="30" t="n"/>
      <c r="H27" s="70" t="n"/>
      <c r="I27" s="70" t="n"/>
      <c r="J27" s="70" t="n"/>
      <c r="K27" s="70" t="n"/>
      <c r="L27" s="16">
        <f>IF(C26="",$L$14,C26)</f>
        <v/>
      </c>
      <c r="M27" s="77">
        <f>IF(D26="",0,D26)</f>
        <v/>
      </c>
      <c r="N27" s="70" t="n"/>
    </row>
    <row r="28">
      <c r="A28" s="70" t="n"/>
      <c r="B28" s="38" t="n">
        <v>15</v>
      </c>
      <c r="C28" s="33" t="n"/>
      <c r="D28" s="75" t="n"/>
      <c r="E28" s="30" t="n"/>
      <c r="F28" s="30" t="n"/>
      <c r="G28" s="30" t="n"/>
      <c r="H28" s="70" t="n"/>
      <c r="I28" s="70" t="n"/>
      <c r="J28" s="70" t="n"/>
      <c r="K28" s="70" t="n"/>
      <c r="L28" s="16">
        <f>IF(C27="",$L$14,C27)</f>
        <v/>
      </c>
      <c r="M28" s="77">
        <f>IF(D27="",0,D27)</f>
        <v/>
      </c>
      <c r="N28" s="70" t="n"/>
    </row>
    <row r="29">
      <c r="A29" s="70" t="n"/>
      <c r="B29" s="38" t="n">
        <v>16</v>
      </c>
      <c r="C29" s="33" t="n"/>
      <c r="D29" s="75" t="n"/>
      <c r="E29" s="30" t="n"/>
      <c r="F29" s="30" t="n"/>
      <c r="G29" s="30" t="n"/>
      <c r="H29" s="70" t="n"/>
      <c r="I29" s="70" t="n"/>
      <c r="J29" s="70" t="n"/>
      <c r="K29" s="70" t="n"/>
      <c r="L29" s="16">
        <f>IF(C28="",$L$14,C28)</f>
        <v/>
      </c>
      <c r="M29" s="77">
        <f>IF(D28="",0,D28)</f>
        <v/>
      </c>
      <c r="N29" s="70" t="n"/>
    </row>
    <row r="30">
      <c r="A30" s="70" t="n"/>
      <c r="B30" s="38" t="n">
        <v>17</v>
      </c>
      <c r="C30" s="33" t="n"/>
      <c r="D30" s="75" t="n"/>
      <c r="E30" s="30" t="n"/>
      <c r="F30" s="30" t="n"/>
      <c r="G30" s="30" t="n"/>
      <c r="H30" s="70" t="n"/>
      <c r="I30" s="70" t="n"/>
      <c r="J30" s="70" t="n"/>
      <c r="K30" s="70" t="n"/>
      <c r="L30" s="16">
        <f>IF(C29="",$L$14,C29)</f>
        <v/>
      </c>
      <c r="M30" s="77">
        <f>IF(D29="",0,D29)</f>
        <v/>
      </c>
      <c r="N30" s="70" t="n"/>
    </row>
    <row r="31">
      <c r="A31" s="70" t="n"/>
      <c r="B31" s="38" t="n">
        <v>18</v>
      </c>
      <c r="C31" s="33" t="n"/>
      <c r="D31" s="75" t="n"/>
      <c r="E31" s="30" t="n"/>
      <c r="F31" s="30" t="n"/>
      <c r="G31" s="30" t="n"/>
      <c r="H31" s="70" t="n"/>
      <c r="I31" s="70" t="n"/>
      <c r="J31" s="70" t="n"/>
      <c r="K31" s="70" t="n"/>
      <c r="L31" s="16">
        <f>IF(C30="",$L$14,C30)</f>
        <v/>
      </c>
      <c r="M31" s="77">
        <f>IF(D30="",0,D30)</f>
        <v/>
      </c>
      <c r="N31" s="70" t="n"/>
    </row>
    <row r="32">
      <c r="A32" s="70" t="n"/>
      <c r="B32" s="38" t="n">
        <v>19</v>
      </c>
      <c r="C32" s="33" t="n"/>
      <c r="D32" s="75" t="n"/>
      <c r="E32" s="30" t="n"/>
      <c r="F32" s="30" t="n"/>
      <c r="G32" s="30" t="n"/>
      <c r="H32" s="70" t="n"/>
      <c r="I32" s="70" t="n"/>
      <c r="J32" s="70" t="n"/>
      <c r="K32" s="70" t="n"/>
      <c r="L32" s="16">
        <f>IF(C31="",$L$14,C31)</f>
        <v/>
      </c>
      <c r="M32" s="77">
        <f>IF(D31="",0,D31)</f>
        <v/>
      </c>
      <c r="N32" s="70" t="n"/>
    </row>
    <row r="33">
      <c r="A33" s="70" t="n"/>
      <c r="B33" s="38" t="n">
        <v>20</v>
      </c>
      <c r="C33" s="33" t="n"/>
      <c r="D33" s="75" t="n"/>
      <c r="E33" s="30" t="n"/>
      <c r="F33" s="30" t="n"/>
      <c r="G33" s="30" t="n"/>
      <c r="H33" s="70" t="n"/>
      <c r="I33" s="70" t="n"/>
      <c r="J33" s="70" t="n"/>
      <c r="K33" s="70" t="n"/>
      <c r="L33" s="16">
        <f>IF(C32="",$L$14,C32)</f>
        <v/>
      </c>
      <c r="M33" s="77">
        <f>IF(D32="",0,D32)</f>
        <v/>
      </c>
      <c r="N33" s="70" t="n"/>
    </row>
    <row r="34">
      <c r="A34" s="70" t="n"/>
      <c r="B34" s="70" t="n"/>
      <c r="C34" s="70" t="n"/>
      <c r="D34" s="70" t="n"/>
      <c r="E34" s="70" t="n"/>
      <c r="F34" s="70" t="n"/>
      <c r="G34" s="70" t="n"/>
      <c r="H34" s="70" t="n"/>
      <c r="I34" s="70" t="n"/>
      <c r="J34" s="70" t="n"/>
      <c r="K34" s="70" t="n"/>
      <c r="L34" s="16">
        <f>IF(C33="",$L$14,C33)</f>
        <v/>
      </c>
      <c r="M34" s="77">
        <f>IF(D33="",0,D33)</f>
        <v/>
      </c>
      <c r="N34" s="70" t="n"/>
    </row>
    <row r="35">
      <c r="A35" s="70" t="n"/>
      <c r="B35" s="64" t="inlineStr">
        <is>
          <t>CALCULATIONS</t>
        </is>
      </c>
      <c r="C35" s="72" t="n"/>
      <c r="D35" s="72" t="n"/>
      <c r="E35" s="72" t="n"/>
      <c r="F35" s="72" t="n"/>
      <c r="G35" s="73" t="n"/>
      <c r="H35" s="39" t="n"/>
      <c r="I35" s="39" t="n"/>
      <c r="J35" s="70" t="n"/>
      <c r="K35" s="70" t="n"/>
      <c r="L35" s="70" t="n"/>
      <c r="M35" s="70" t="n"/>
      <c r="N35" s="70" t="n"/>
    </row>
    <row r="36" ht="58" customHeight="1" s="62">
      <c r="A36" s="70" t="n"/>
      <c r="B36" s="20" t="inlineStr">
        <is>
          <t>PV engine (base date = first entered date in the schedule, row 14)</t>
        </is>
      </c>
      <c r="C36" s="39" t="n"/>
      <c r="D36" s="39" t="n"/>
      <c r="E36" s="39" t="n"/>
      <c r="F36" s="39" t="n"/>
      <c r="G36" s="39" t="n"/>
      <c r="H36" s="39" t="n"/>
      <c r="I36" s="39" t="n"/>
      <c r="J36" s="70" t="n"/>
      <c r="K36" s="70" t="n"/>
      <c r="L36" s="70" t="n"/>
      <c r="M36" s="70" t="n"/>
      <c r="N36" s="70" t="n"/>
    </row>
    <row r="37" ht="58" customHeight="1" s="62">
      <c r="A37" s="70" t="n"/>
      <c r="B37" s="18" t="inlineStr">
        <is>
          <t>#</t>
        </is>
      </c>
      <c r="C37" s="18" t="inlineStr">
        <is>
          <t>Date</t>
        </is>
      </c>
      <c r="D37" s="18" t="inlineStr">
        <is>
          <t>CF (₹)</t>
        </is>
      </c>
      <c r="E37" s="18" t="inlineStr">
        <is>
          <t>Days</t>
        </is>
      </c>
      <c r="F37" s="18" t="inlineStr">
        <is>
          <t>t (yrs)</t>
        </is>
      </c>
      <c r="G37" s="18" t="inlineStr">
        <is>
          <t>Discount Factor</t>
        </is>
      </c>
      <c r="H37" s="18" t="inlineStr">
        <is>
          <t>PV (₹)</t>
        </is>
      </c>
      <c r="I37" s="18" t="inlineStr">
        <is>
          <t>Cum PV (₹)</t>
        </is>
      </c>
      <c r="J37" s="70" t="n"/>
      <c r="K37" s="70" t="n"/>
      <c r="L37" s="70" t="n"/>
      <c r="M37" s="70" t="n"/>
      <c r="N37" s="70" t="n"/>
    </row>
    <row r="38">
      <c r="A38" s="70" t="n"/>
      <c r="B38" s="19">
        <f>B14</f>
        <v/>
      </c>
      <c r="C38" s="19">
        <f>C14</f>
        <v/>
      </c>
      <c r="D38" s="19">
        <f>D14</f>
        <v/>
      </c>
      <c r="E38" s="19">
        <f>IF(C14="","",C14-$C$14)</f>
        <v/>
      </c>
      <c r="F38" s="78">
        <f>IF(E38="","",E38/365)</f>
        <v/>
      </c>
      <c r="G38" s="79">
        <f>IF(F38="","",(1+$C$5)^F38)</f>
        <v/>
      </c>
      <c r="H38" s="80">
        <f>IF(OR(C14="",D14=""),"",D14/G38)</f>
        <v/>
      </c>
      <c r="I38" s="80">
        <f>IF(H38="","",SUM($H$38:H38))</f>
        <v/>
      </c>
      <c r="J38" s="70" t="n"/>
      <c r="K38" s="70" t="n"/>
      <c r="L38" s="70" t="n"/>
      <c r="M38" s="70" t="n"/>
      <c r="N38" s="70" t="n"/>
    </row>
    <row r="39">
      <c r="A39" s="70" t="n"/>
      <c r="B39" s="19">
        <f>B15</f>
        <v/>
      </c>
      <c r="C39" s="19">
        <f>C15</f>
        <v/>
      </c>
      <c r="D39" s="19">
        <f>D15</f>
        <v/>
      </c>
      <c r="E39" s="19">
        <f>IF(C15="","",C15-$C$14)</f>
        <v/>
      </c>
      <c r="F39" s="78">
        <f>IF(E39="","",E39/365)</f>
        <v/>
      </c>
      <c r="G39" s="79">
        <f>IF(F39="","",(1+$C$5)^F39)</f>
        <v/>
      </c>
      <c r="H39" s="80">
        <f>IF(OR(C15="",D15=""),"",D15/G39)</f>
        <v/>
      </c>
      <c r="I39" s="80">
        <f>IF(H39="","",SUM($H$38:H39))</f>
        <v/>
      </c>
      <c r="J39" s="70" t="n"/>
      <c r="K39" s="70" t="n"/>
      <c r="L39" s="70" t="n"/>
      <c r="M39" s="70" t="n"/>
      <c r="N39" s="70" t="n"/>
    </row>
    <row r="40">
      <c r="A40" s="70" t="n"/>
      <c r="B40" s="19">
        <f>B16</f>
        <v/>
      </c>
      <c r="C40" s="19">
        <f>C16</f>
        <v/>
      </c>
      <c r="D40" s="19">
        <f>D16</f>
        <v/>
      </c>
      <c r="E40" s="19">
        <f>IF(C16="","",C16-$C$14)</f>
        <v/>
      </c>
      <c r="F40" s="78">
        <f>IF(E40="","",E40/365)</f>
        <v/>
      </c>
      <c r="G40" s="79">
        <f>IF(F40="","",(1+$C$5)^F40)</f>
        <v/>
      </c>
      <c r="H40" s="80">
        <f>IF(OR(C16="",D16=""),"",D16/G40)</f>
        <v/>
      </c>
      <c r="I40" s="80">
        <f>IF(H40="","",SUM($H$38:H40))</f>
        <v/>
      </c>
      <c r="J40" s="70" t="n"/>
      <c r="K40" s="70" t="n"/>
      <c r="L40" s="70" t="n"/>
      <c r="M40" s="70" t="n"/>
      <c r="N40" s="70" t="n"/>
    </row>
    <row r="41">
      <c r="A41" s="70" t="n"/>
      <c r="B41" s="19">
        <f>B17</f>
        <v/>
      </c>
      <c r="C41" s="19">
        <f>C17</f>
        <v/>
      </c>
      <c r="D41" s="19">
        <f>D17</f>
        <v/>
      </c>
      <c r="E41" s="19">
        <f>IF(C17="","",C17-$C$14)</f>
        <v/>
      </c>
      <c r="F41" s="78">
        <f>IF(E41="","",E41/365)</f>
        <v/>
      </c>
      <c r="G41" s="79">
        <f>IF(F41="","",(1+$C$5)^F41)</f>
        <v/>
      </c>
      <c r="H41" s="80">
        <f>IF(OR(C17="",D17=""),"",D17/G41)</f>
        <v/>
      </c>
      <c r="I41" s="80">
        <f>IF(H41="","",SUM($H$38:H41))</f>
        <v/>
      </c>
      <c r="J41" s="70" t="n"/>
      <c r="K41" s="70" t="n"/>
      <c r="L41" s="70" t="n"/>
      <c r="M41" s="70" t="n"/>
      <c r="N41" s="70" t="n"/>
    </row>
    <row r="42">
      <c r="A42" s="70" t="n"/>
      <c r="B42" s="19">
        <f>B18</f>
        <v/>
      </c>
      <c r="C42" s="19">
        <f>C18</f>
        <v/>
      </c>
      <c r="D42" s="19">
        <f>D18</f>
        <v/>
      </c>
      <c r="E42" s="19">
        <f>IF(C18="","",C18-$C$14)</f>
        <v/>
      </c>
      <c r="F42" s="78">
        <f>IF(E42="","",E42/365)</f>
        <v/>
      </c>
      <c r="G42" s="79">
        <f>IF(F42="","",(1+$C$5)^F42)</f>
        <v/>
      </c>
      <c r="H42" s="80">
        <f>IF(OR(C18="",D18=""),"",D18/G42)</f>
        <v/>
      </c>
      <c r="I42" s="80">
        <f>IF(H42="","",SUM($H$38:H42))</f>
        <v/>
      </c>
      <c r="J42" s="70" t="n"/>
      <c r="K42" s="70" t="n"/>
      <c r="L42" s="70" t="n"/>
      <c r="M42" s="70" t="n"/>
      <c r="N42" s="70" t="n"/>
    </row>
    <row r="43">
      <c r="A43" s="70" t="n"/>
      <c r="B43" s="19">
        <f>B19</f>
        <v/>
      </c>
      <c r="C43" s="19">
        <f>C19</f>
        <v/>
      </c>
      <c r="D43" s="19">
        <f>D19</f>
        <v/>
      </c>
      <c r="E43" s="19">
        <f>IF(C19="","",C19-$C$14)</f>
        <v/>
      </c>
      <c r="F43" s="78">
        <f>IF(E43="","",E43/365)</f>
        <v/>
      </c>
      <c r="G43" s="79">
        <f>IF(F43="","",(1+$C$5)^F43)</f>
        <v/>
      </c>
      <c r="H43" s="80">
        <f>IF(OR(C19="",D19=""),"",D19/G43)</f>
        <v/>
      </c>
      <c r="I43" s="80">
        <f>IF(H43="","",SUM($H$38:H43))</f>
        <v/>
      </c>
      <c r="J43" s="70" t="n"/>
      <c r="K43" s="70" t="n"/>
      <c r="L43" s="70" t="n"/>
      <c r="M43" s="70" t="n"/>
      <c r="N43" s="70" t="n"/>
    </row>
    <row r="44">
      <c r="A44" s="70" t="n"/>
      <c r="B44" s="19">
        <f>B20</f>
        <v/>
      </c>
      <c r="C44" s="19">
        <f>C20</f>
        <v/>
      </c>
      <c r="D44" s="19">
        <f>D20</f>
        <v/>
      </c>
      <c r="E44" s="19">
        <f>IF(C20="","",C20-$C$14)</f>
        <v/>
      </c>
      <c r="F44" s="78">
        <f>IF(E44="","",E44/365)</f>
        <v/>
      </c>
      <c r="G44" s="79">
        <f>IF(F44="","",(1+$C$5)^F44)</f>
        <v/>
      </c>
      <c r="H44" s="80">
        <f>IF(OR(C20="",D20=""),"",D20/G44)</f>
        <v/>
      </c>
      <c r="I44" s="80">
        <f>IF(H44="","",SUM($H$38:H44))</f>
        <v/>
      </c>
      <c r="J44" s="70" t="n"/>
      <c r="K44" s="70" t="n"/>
      <c r="L44" s="70" t="n"/>
      <c r="M44" s="70" t="n"/>
      <c r="N44" s="70" t="n"/>
    </row>
    <row r="45">
      <c r="A45" s="70" t="n"/>
      <c r="B45" s="19">
        <f>B21</f>
        <v/>
      </c>
      <c r="C45" s="19">
        <f>C21</f>
        <v/>
      </c>
      <c r="D45" s="19">
        <f>D21</f>
        <v/>
      </c>
      <c r="E45" s="19">
        <f>IF(C21="","",C21-$C$14)</f>
        <v/>
      </c>
      <c r="F45" s="78">
        <f>IF(E45="","",E45/365)</f>
        <v/>
      </c>
      <c r="G45" s="79">
        <f>IF(F45="","",(1+$C$5)^F45)</f>
        <v/>
      </c>
      <c r="H45" s="80">
        <f>IF(OR(C21="",D21=""),"",D21/G45)</f>
        <v/>
      </c>
      <c r="I45" s="80">
        <f>IF(H45="","",SUM($H$38:H45))</f>
        <v/>
      </c>
      <c r="J45" s="70" t="n"/>
      <c r="K45" s="70" t="n"/>
      <c r="L45" s="70" t="n"/>
      <c r="M45" s="70" t="n"/>
      <c r="N45" s="70" t="n"/>
    </row>
    <row r="46">
      <c r="A46" s="70" t="n"/>
      <c r="B46" s="19">
        <f>B22</f>
        <v/>
      </c>
      <c r="C46" s="19">
        <f>C22</f>
        <v/>
      </c>
      <c r="D46" s="19">
        <f>D22</f>
        <v/>
      </c>
      <c r="E46" s="19">
        <f>IF(C22="","",C22-$C$14)</f>
        <v/>
      </c>
      <c r="F46" s="78">
        <f>IF(E46="","",E46/365)</f>
        <v/>
      </c>
      <c r="G46" s="79">
        <f>IF(F46="","",(1+$C$5)^F46)</f>
        <v/>
      </c>
      <c r="H46" s="80">
        <f>IF(OR(C22="",D22=""),"",D22/G46)</f>
        <v/>
      </c>
      <c r="I46" s="80">
        <f>IF(H46="","",SUM($H$38:H46))</f>
        <v/>
      </c>
      <c r="J46" s="70" t="n"/>
      <c r="K46" s="70" t="n"/>
      <c r="L46" s="70" t="n"/>
      <c r="M46" s="70" t="n"/>
      <c r="N46" s="70" t="n"/>
    </row>
    <row r="47">
      <c r="A47" s="70" t="n"/>
      <c r="B47" s="19">
        <f>B23</f>
        <v/>
      </c>
      <c r="C47" s="19">
        <f>C23</f>
        <v/>
      </c>
      <c r="D47" s="19">
        <f>D23</f>
        <v/>
      </c>
      <c r="E47" s="19">
        <f>IF(C23="","",C23-$C$14)</f>
        <v/>
      </c>
      <c r="F47" s="78">
        <f>IF(E47="","",E47/365)</f>
        <v/>
      </c>
      <c r="G47" s="79">
        <f>IF(F47="","",(1+$C$5)^F47)</f>
        <v/>
      </c>
      <c r="H47" s="80">
        <f>IF(OR(C23="",D23=""),"",D23/G47)</f>
        <v/>
      </c>
      <c r="I47" s="80">
        <f>IF(H47="","",SUM($H$38:H47))</f>
        <v/>
      </c>
      <c r="J47" s="70" t="n"/>
      <c r="K47" s="70" t="n"/>
      <c r="L47" s="70" t="n"/>
      <c r="M47" s="70" t="n"/>
      <c r="N47" s="70" t="n"/>
    </row>
    <row r="48">
      <c r="A48" s="70" t="n"/>
      <c r="B48" s="19">
        <f>B24</f>
        <v/>
      </c>
      <c r="C48" s="19">
        <f>C24</f>
        <v/>
      </c>
      <c r="D48" s="19">
        <f>D24</f>
        <v/>
      </c>
      <c r="E48" s="19">
        <f>IF(C24="","",C24-$C$14)</f>
        <v/>
      </c>
      <c r="F48" s="78">
        <f>IF(E48="","",E48/365)</f>
        <v/>
      </c>
      <c r="G48" s="79">
        <f>IF(F48="","",(1+$C$5)^F48)</f>
        <v/>
      </c>
      <c r="H48" s="80">
        <f>IF(OR(C24="",D24=""),"",D24/G48)</f>
        <v/>
      </c>
      <c r="I48" s="80">
        <f>IF(H48="","",SUM($H$38:H48))</f>
        <v/>
      </c>
      <c r="J48" s="70" t="n"/>
      <c r="K48" s="70" t="n"/>
      <c r="L48" s="70" t="n"/>
      <c r="M48" s="70" t="n"/>
      <c r="N48" s="70" t="n"/>
    </row>
    <row r="49">
      <c r="A49" s="70" t="n"/>
      <c r="B49" s="19">
        <f>B25</f>
        <v/>
      </c>
      <c r="C49" s="19">
        <f>C25</f>
        <v/>
      </c>
      <c r="D49" s="19">
        <f>D25</f>
        <v/>
      </c>
      <c r="E49" s="19">
        <f>IF(C25="","",C25-$C$14)</f>
        <v/>
      </c>
      <c r="F49" s="78">
        <f>IF(E49="","",E49/365)</f>
        <v/>
      </c>
      <c r="G49" s="79">
        <f>IF(F49="","",(1+$C$5)^F49)</f>
        <v/>
      </c>
      <c r="H49" s="80">
        <f>IF(OR(C25="",D25=""),"",D25/G49)</f>
        <v/>
      </c>
      <c r="I49" s="80">
        <f>IF(H49="","",SUM($H$38:H49))</f>
        <v/>
      </c>
      <c r="J49" s="70" t="n"/>
      <c r="K49" s="70" t="n"/>
      <c r="L49" s="70" t="n"/>
      <c r="M49" s="70" t="n"/>
      <c r="N49" s="70" t="n"/>
    </row>
    <row r="50">
      <c r="A50" s="70" t="n"/>
      <c r="B50" s="19">
        <f>B26</f>
        <v/>
      </c>
      <c r="C50" s="19">
        <f>C26</f>
        <v/>
      </c>
      <c r="D50" s="19">
        <f>D26</f>
        <v/>
      </c>
      <c r="E50" s="19">
        <f>IF(C26="","",C26-$C$14)</f>
        <v/>
      </c>
      <c r="F50" s="78">
        <f>IF(E50="","",E50/365)</f>
        <v/>
      </c>
      <c r="G50" s="79">
        <f>IF(F50="","",(1+$C$5)^F50)</f>
        <v/>
      </c>
      <c r="H50" s="80">
        <f>IF(OR(C26="",D26=""),"",D26/G50)</f>
        <v/>
      </c>
      <c r="I50" s="80">
        <f>IF(H50="","",SUM($H$38:H50))</f>
        <v/>
      </c>
      <c r="J50" s="70" t="n"/>
      <c r="K50" s="70" t="n"/>
      <c r="L50" s="70" t="n"/>
      <c r="M50" s="70" t="n"/>
      <c r="N50" s="70" t="n"/>
    </row>
    <row r="51">
      <c r="A51" s="70" t="n"/>
      <c r="B51" s="19">
        <f>B27</f>
        <v/>
      </c>
      <c r="C51" s="19">
        <f>C27</f>
        <v/>
      </c>
      <c r="D51" s="19">
        <f>D27</f>
        <v/>
      </c>
      <c r="E51" s="19">
        <f>IF(C27="","",C27-$C$14)</f>
        <v/>
      </c>
      <c r="F51" s="78">
        <f>IF(E51="","",E51/365)</f>
        <v/>
      </c>
      <c r="G51" s="79">
        <f>IF(F51="","",(1+$C$5)^F51)</f>
        <v/>
      </c>
      <c r="H51" s="80">
        <f>IF(OR(C27="",D27=""),"",D27/G51)</f>
        <v/>
      </c>
      <c r="I51" s="80">
        <f>IF(H51="","",SUM($H$38:H51))</f>
        <v/>
      </c>
      <c r="J51" s="70" t="n"/>
      <c r="K51" s="70" t="n"/>
      <c r="L51" s="70" t="n"/>
      <c r="M51" s="70" t="n"/>
      <c r="N51" s="70" t="n"/>
    </row>
    <row r="52">
      <c r="A52" s="70" t="n"/>
      <c r="B52" s="19">
        <f>B28</f>
        <v/>
      </c>
      <c r="C52" s="19">
        <f>C28</f>
        <v/>
      </c>
      <c r="D52" s="19">
        <f>D28</f>
        <v/>
      </c>
      <c r="E52" s="19">
        <f>IF(C28="","",C28-$C$14)</f>
        <v/>
      </c>
      <c r="F52" s="78">
        <f>IF(E52="","",E52/365)</f>
        <v/>
      </c>
      <c r="G52" s="79">
        <f>IF(F52="","",(1+$C$5)^F52)</f>
        <v/>
      </c>
      <c r="H52" s="80">
        <f>IF(OR(C28="",D28=""),"",D28/G52)</f>
        <v/>
      </c>
      <c r="I52" s="80">
        <f>IF(H52="","",SUM($H$38:H52))</f>
        <v/>
      </c>
      <c r="J52" s="70" t="n"/>
      <c r="K52" s="70" t="n"/>
      <c r="L52" s="70" t="n"/>
      <c r="M52" s="70" t="n"/>
      <c r="N52" s="70" t="n"/>
    </row>
    <row r="53">
      <c r="A53" s="70" t="n"/>
      <c r="B53" s="19">
        <f>B29</f>
        <v/>
      </c>
      <c r="C53" s="19">
        <f>C29</f>
        <v/>
      </c>
      <c r="D53" s="19">
        <f>D29</f>
        <v/>
      </c>
      <c r="E53" s="19">
        <f>IF(C29="","",C29-$C$14)</f>
        <v/>
      </c>
      <c r="F53" s="78">
        <f>IF(E53="","",E53/365)</f>
        <v/>
      </c>
      <c r="G53" s="79">
        <f>IF(F53="","",(1+$C$5)^F53)</f>
        <v/>
      </c>
      <c r="H53" s="80">
        <f>IF(OR(C29="",D29=""),"",D29/G53)</f>
        <v/>
      </c>
      <c r="I53" s="80">
        <f>IF(H53="","",SUM($H$38:H53))</f>
        <v/>
      </c>
      <c r="J53" s="70" t="n"/>
      <c r="K53" s="70" t="n"/>
      <c r="L53" s="70" t="n"/>
      <c r="M53" s="70" t="n"/>
      <c r="N53" s="70" t="n"/>
    </row>
    <row r="54">
      <c r="A54" s="70" t="n"/>
      <c r="B54" s="19">
        <f>B30</f>
        <v/>
      </c>
      <c r="C54" s="19">
        <f>C30</f>
        <v/>
      </c>
      <c r="D54" s="19">
        <f>D30</f>
        <v/>
      </c>
      <c r="E54" s="19">
        <f>IF(C30="","",C30-$C$14)</f>
        <v/>
      </c>
      <c r="F54" s="78">
        <f>IF(E54="","",E54/365)</f>
        <v/>
      </c>
      <c r="G54" s="79">
        <f>IF(F54="","",(1+$C$5)^F54)</f>
        <v/>
      </c>
      <c r="H54" s="80">
        <f>IF(OR(C30="",D30=""),"",D30/G54)</f>
        <v/>
      </c>
      <c r="I54" s="80">
        <f>IF(H54="","",SUM($H$38:H54))</f>
        <v/>
      </c>
      <c r="J54" s="70" t="n"/>
      <c r="K54" s="70" t="n"/>
      <c r="L54" s="70" t="n"/>
      <c r="M54" s="70" t="n"/>
      <c r="N54" s="70" t="n"/>
    </row>
    <row r="55">
      <c r="A55" s="70" t="n"/>
      <c r="B55" s="19">
        <f>B31</f>
        <v/>
      </c>
      <c r="C55" s="19">
        <f>C31</f>
        <v/>
      </c>
      <c r="D55" s="19">
        <f>D31</f>
        <v/>
      </c>
      <c r="E55" s="19">
        <f>IF(C31="","",C31-$C$14)</f>
        <v/>
      </c>
      <c r="F55" s="78">
        <f>IF(E55="","",E55/365)</f>
        <v/>
      </c>
      <c r="G55" s="79">
        <f>IF(F55="","",(1+$C$5)^F55)</f>
        <v/>
      </c>
      <c r="H55" s="80">
        <f>IF(OR(C31="",D31=""),"",D31/G55)</f>
        <v/>
      </c>
      <c r="I55" s="80">
        <f>IF(H55="","",SUM($H$38:H55))</f>
        <v/>
      </c>
      <c r="J55" s="70" t="n"/>
      <c r="K55" s="70" t="n"/>
      <c r="L55" s="70" t="n"/>
      <c r="M55" s="70" t="n"/>
      <c r="N55" s="70" t="n"/>
    </row>
    <row r="56">
      <c r="A56" s="70" t="n"/>
      <c r="B56" s="19">
        <f>B32</f>
        <v/>
      </c>
      <c r="C56" s="19">
        <f>C32</f>
        <v/>
      </c>
      <c r="D56" s="19">
        <f>D32</f>
        <v/>
      </c>
      <c r="E56" s="19">
        <f>IF(C32="","",C32-$C$14)</f>
        <v/>
      </c>
      <c r="F56" s="78">
        <f>IF(E56="","",E56/365)</f>
        <v/>
      </c>
      <c r="G56" s="79">
        <f>IF(F56="","",(1+$C$5)^F56)</f>
        <v/>
      </c>
      <c r="H56" s="80">
        <f>IF(OR(C32="",D32=""),"",D32/G56)</f>
        <v/>
      </c>
      <c r="I56" s="80">
        <f>IF(H56="","",SUM($H$38:H56))</f>
        <v/>
      </c>
      <c r="J56" s="70" t="n"/>
      <c r="K56" s="70" t="n"/>
      <c r="L56" s="70" t="n"/>
      <c r="M56" s="70" t="n"/>
      <c r="N56" s="70" t="n"/>
    </row>
    <row r="57">
      <c r="A57" s="70" t="n"/>
      <c r="B57" s="19">
        <f>B33</f>
        <v/>
      </c>
      <c r="C57" s="19">
        <f>C33</f>
        <v/>
      </c>
      <c r="D57" s="19">
        <f>D33</f>
        <v/>
      </c>
      <c r="E57" s="19">
        <f>IF(C33="","",C33-$C$14)</f>
        <v/>
      </c>
      <c r="F57" s="78">
        <f>IF(E57="","",E57/365)</f>
        <v/>
      </c>
      <c r="G57" s="79">
        <f>IF(F57="","",(1+$C$5)^F57)</f>
        <v/>
      </c>
      <c r="H57" s="80">
        <f>IF(OR(C33="",D33=""),"",D33/G57)</f>
        <v/>
      </c>
      <c r="I57" s="80">
        <f>IF(H57="","",SUM($H$38:H57))</f>
        <v/>
      </c>
      <c r="J57" s="70" t="n"/>
      <c r="K57" s="70" t="n"/>
      <c r="L57" s="70" t="n"/>
      <c r="M57" s="70" t="n"/>
      <c r="N57" s="70" t="n"/>
    </row>
    <row r="58">
      <c r="A58" s="70" t="n"/>
      <c r="B58" s="70" t="n"/>
      <c r="C58" s="70" t="n"/>
      <c r="D58" s="70" t="n"/>
      <c r="E58" s="70" t="n"/>
      <c r="F58" s="70" t="n"/>
      <c r="G58" s="70" t="n"/>
      <c r="H58" s="70" t="n"/>
      <c r="I58" s="70" t="n"/>
      <c r="J58" s="70" t="n"/>
      <c r="K58" s="70" t="n"/>
      <c r="L58" s="70" t="n"/>
      <c r="M58" s="70" t="n"/>
      <c r="N58" s="70" t="n"/>
    </row>
    <row r="59">
      <c r="A59" s="70" t="n"/>
      <c r="B59" s="70" t="n"/>
      <c r="C59" s="70" t="n"/>
      <c r="D59" s="70" t="n"/>
      <c r="E59" s="70" t="n"/>
      <c r="F59" s="70" t="n"/>
      <c r="G59" s="70" t="n"/>
      <c r="H59" s="70" t="n"/>
      <c r="I59" s="70" t="n"/>
      <c r="J59" s="70" t="n"/>
      <c r="K59" s="70" t="n"/>
      <c r="L59" s="70" t="n"/>
      <c r="M59" s="70" t="n"/>
      <c r="N59" s="70" t="n"/>
    </row>
    <row r="60">
      <c r="A60" s="70" t="n"/>
      <c r="B60" s="70" t="n"/>
      <c r="C60" s="70" t="n"/>
      <c r="D60" s="70" t="n"/>
      <c r="E60" s="70" t="n"/>
      <c r="F60" s="70" t="n"/>
      <c r="G60" s="70" t="n"/>
      <c r="H60" s="70" t="n"/>
      <c r="I60" s="70" t="n"/>
      <c r="J60" s="70" t="n"/>
      <c r="K60" s="70" t="n"/>
      <c r="L60" s="70" t="n"/>
      <c r="M60" s="70" t="n"/>
      <c r="N60" s="70" t="n"/>
    </row>
    <row r="61">
      <c r="A61" s="70" t="n"/>
      <c r="B61" s="70" t="n"/>
      <c r="C61" s="70" t="n"/>
      <c r="D61" s="70" t="n"/>
      <c r="E61" s="70" t="n"/>
      <c r="F61" s="70" t="n"/>
      <c r="G61" s="70" t="n"/>
      <c r="H61" s="70" t="n"/>
      <c r="I61" s="70" t="n"/>
      <c r="J61" s="70" t="n"/>
      <c r="K61" s="70" t="n"/>
      <c r="L61" s="70" t="n"/>
      <c r="M61" s="70" t="n"/>
      <c r="N61" s="70" t="n"/>
    </row>
    <row r="62">
      <c r="A62" s="70" t="n"/>
      <c r="B62" s="70" t="n"/>
      <c r="C62" s="70" t="n"/>
      <c r="D62" s="70" t="n"/>
      <c r="E62" s="70" t="n"/>
      <c r="F62" s="70" t="n"/>
      <c r="G62" s="70" t="n"/>
      <c r="H62" s="70" t="n"/>
      <c r="I62" s="70" t="n"/>
      <c r="J62" s="70" t="n"/>
      <c r="K62" s="70" t="n"/>
      <c r="L62" s="70" t="n"/>
      <c r="M62" s="70" t="n"/>
      <c r="N62" s="70" t="n"/>
    </row>
    <row r="63">
      <c r="A63" s="70" t="n"/>
      <c r="B63" s="70" t="n"/>
      <c r="C63" s="70" t="n"/>
      <c r="D63" s="70" t="n"/>
      <c r="E63" s="70" t="n"/>
      <c r="F63" s="70" t="n"/>
      <c r="G63" s="70" t="n"/>
      <c r="H63" s="70" t="n"/>
      <c r="I63" s="70" t="n"/>
      <c r="J63" s="70" t="n"/>
      <c r="K63" s="70" t="n"/>
      <c r="L63" s="70" t="n"/>
      <c r="M63" s="70" t="n"/>
      <c r="N63" s="70" t="n"/>
    </row>
    <row r="64">
      <c r="A64" s="70" t="n"/>
      <c r="B64" s="70" t="n"/>
      <c r="C64" s="70" t="n"/>
      <c r="D64" s="70" t="n"/>
      <c r="E64" s="70" t="n"/>
      <c r="F64" s="70" t="n"/>
      <c r="G64" s="70" t="n"/>
      <c r="H64" s="70" t="n"/>
      <c r="I64" s="70" t="n"/>
      <c r="J64" s="70" t="n"/>
      <c r="K64" s="70" t="n"/>
      <c r="L64" s="70" t="n"/>
      <c r="M64" s="70" t="n"/>
      <c r="N64" s="70" t="n"/>
    </row>
    <row r="65">
      <c r="A65" s="70" t="n"/>
      <c r="B65" s="70" t="n"/>
      <c r="C65" s="70" t="n"/>
      <c r="D65" s="70" t="n"/>
      <c r="E65" s="70" t="n"/>
      <c r="F65" s="70" t="n"/>
      <c r="G65" s="70" t="n"/>
      <c r="H65" s="70" t="n"/>
      <c r="I65" s="70" t="n"/>
      <c r="J65" s="70" t="n"/>
      <c r="K65" s="70" t="n"/>
      <c r="L65" s="70" t="n"/>
      <c r="M65" s="70" t="n"/>
      <c r="N65" s="70" t="n"/>
    </row>
    <row r="66">
      <c r="A66" s="70" t="n"/>
      <c r="B66" s="70" t="n"/>
      <c r="C66" s="70" t="n"/>
      <c r="D66" s="70" t="n"/>
      <c r="E66" s="70" t="n"/>
      <c r="F66" s="70" t="n"/>
      <c r="G66" s="70" t="n"/>
      <c r="H66" s="70" t="n"/>
      <c r="I66" s="70" t="n"/>
      <c r="J66" s="70" t="n"/>
      <c r="K66" s="70" t="n"/>
      <c r="L66" s="70" t="n"/>
      <c r="M66" s="70" t="n"/>
      <c r="N66" s="70" t="n"/>
    </row>
    <row r="67">
      <c r="A67" s="70" t="n"/>
      <c r="B67" s="70" t="n"/>
      <c r="C67" s="70" t="n"/>
      <c r="D67" s="70" t="n"/>
      <c r="E67" s="70" t="n"/>
      <c r="F67" s="70" t="n"/>
      <c r="G67" s="70" t="n"/>
      <c r="H67" s="70" t="n"/>
      <c r="I67" s="70" t="n"/>
      <c r="J67" s="70" t="n"/>
      <c r="K67" s="70" t="n"/>
      <c r="L67" s="70" t="n"/>
      <c r="M67" s="70" t="n"/>
      <c r="N67" s="70" t="n"/>
    </row>
    <row r="68">
      <c r="A68" s="70" t="n"/>
      <c r="B68" s="70" t="n"/>
      <c r="C68" s="70" t="n"/>
      <c r="D68" s="70" t="n"/>
      <c r="E68" s="70" t="n"/>
      <c r="F68" s="70" t="n"/>
      <c r="G68" s="70" t="n"/>
      <c r="H68" s="70" t="n"/>
      <c r="I68" s="70" t="n"/>
      <c r="J68" s="70" t="n"/>
      <c r="K68" s="70" t="n"/>
      <c r="L68" s="70" t="n"/>
      <c r="M68" s="70" t="n"/>
      <c r="N68" s="70" t="n"/>
    </row>
    <row r="69">
      <c r="A69" s="70" t="n"/>
      <c r="B69" s="70" t="n"/>
      <c r="C69" s="70" t="n"/>
      <c r="D69" s="70" t="n"/>
      <c r="E69" s="70" t="n"/>
      <c r="F69" s="70" t="n"/>
      <c r="G69" s="70" t="n"/>
      <c r="H69" s="70" t="n"/>
      <c r="I69" s="70" t="n"/>
      <c r="J69" s="70" t="n"/>
      <c r="K69" s="70" t="n"/>
      <c r="L69" s="70" t="n"/>
      <c r="M69" s="70" t="n"/>
      <c r="N69" s="70" t="n"/>
    </row>
    <row r="70">
      <c r="A70" s="70" t="n"/>
      <c r="B70" s="70" t="n"/>
      <c r="C70" s="70" t="n"/>
      <c r="D70" s="70" t="n"/>
      <c r="E70" s="70" t="n"/>
      <c r="F70" s="70" t="n"/>
      <c r="G70" s="70" t="n"/>
      <c r="H70" s="70" t="n"/>
      <c r="I70" s="70" t="n"/>
      <c r="J70" s="70" t="n"/>
      <c r="K70" s="70" t="n"/>
      <c r="L70" s="70" t="n"/>
      <c r="M70" s="70" t="n"/>
      <c r="N70" s="70" t="n"/>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B35:G35"/>
    <mergeCell ref="B4:G4"/>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N70"/>
  <sheetViews>
    <sheetView zoomScale="85" zoomScaleNormal="85" workbookViewId="0">
      <pane xSplit="1" ySplit="13" topLeftCell="F28" activePane="bottomRight" state="frozen"/>
      <selection pane="topRight" activeCell="A1" sqref="A1"/>
      <selection pane="bottomLeft" activeCell="A1" sqref="A1"/>
      <selection pane="bottomRight" activeCell="S30" sqref="S30"/>
    </sheetView>
  </sheetViews>
  <sheetFormatPr baseColWidth="8" defaultRowHeight="14.5"/>
  <cols>
    <col width="3" customWidth="1" style="62" min="1" max="1"/>
    <col width="18" customWidth="1" style="62" min="2" max="4"/>
    <col width="16" customWidth="1" style="62" min="5" max="5"/>
    <col width="14" customWidth="1" style="62" min="6" max="6"/>
    <col width="16" customWidth="1" style="62" min="7" max="7"/>
    <col width="3" customWidth="1" style="62" min="8" max="8"/>
    <col width="22" customWidth="1" style="62" min="9" max="9"/>
    <col width="18" customWidth="1" style="62" min="10" max="14"/>
  </cols>
  <sheetData>
    <row r="1" ht="25.5" customHeight="1" s="62">
      <c r="A1" s="71" t="inlineStr">
        <is>
          <t>Case 2 – Project Zest (EcoTech Solutions)</t>
        </is>
      </c>
    </row>
    <row r="2">
      <c r="A2" s="4" t="inlineStr">
        <is>
          <t>⬅ Back to Index</t>
        </is>
      </c>
      <c r="B2" s="70" t="n"/>
      <c r="C2" s="70" t="n"/>
      <c r="D2" s="70" t="n"/>
      <c r="E2" s="70" t="n"/>
      <c r="F2" s="70" t="n"/>
      <c r="G2" s="70" t="n"/>
      <c r="H2" s="70" t="n"/>
      <c r="I2" s="70" t="n"/>
      <c r="J2" s="70" t="n"/>
      <c r="K2" s="70" t="n"/>
      <c r="L2" s="70" t="n"/>
      <c r="M2" s="70" t="n"/>
      <c r="N2" s="70" t="n"/>
    </row>
    <row r="3">
      <c r="A3" s="70" t="n"/>
      <c r="B3" s="70" t="n"/>
      <c r="C3" s="70" t="n"/>
      <c r="D3" s="70" t="n"/>
      <c r="E3" s="70" t="n"/>
      <c r="F3" s="70" t="n"/>
      <c r="G3" s="70" t="n"/>
      <c r="H3" s="70" t="n"/>
      <c r="I3" s="70" t="n"/>
      <c r="J3" s="70" t="n"/>
      <c r="K3" s="70" t="n"/>
      <c r="L3" s="70" t="n"/>
      <c r="M3" s="70" t="n"/>
      <c r="N3" s="70" t="n"/>
    </row>
    <row r="4">
      <c r="A4" s="70" t="n"/>
      <c r="B4" s="67" t="inlineStr">
        <is>
          <t>INPUTS</t>
        </is>
      </c>
      <c r="C4" s="72" t="n"/>
      <c r="D4" s="72" t="n"/>
      <c r="E4" s="72" t="n"/>
      <c r="F4" s="72" t="n"/>
      <c r="G4" s="73" t="n"/>
      <c r="H4" s="70" t="n"/>
      <c r="I4" s="68" t="inlineStr">
        <is>
          <t>OUTPUTS / DECISION</t>
        </is>
      </c>
      <c r="J4" s="72" t="n"/>
      <c r="K4" s="72" t="n"/>
      <c r="L4" s="72" t="n"/>
      <c r="M4" s="72" t="n"/>
      <c r="N4" s="73" t="n"/>
    </row>
    <row r="5" ht="29" customHeight="1" s="62">
      <c r="A5" s="70" t="n"/>
      <c r="B5" s="7" t="inlineStr">
        <is>
          <t>WACC / Discount rate</t>
        </is>
      </c>
      <c r="C5" s="29" t="n">
        <v>0.095</v>
      </c>
      <c r="D5" s="30" t="n"/>
      <c r="E5" s="30" t="n"/>
      <c r="F5" s="30" t="n"/>
      <c r="G5" s="30" t="n"/>
      <c r="H5" s="70" t="n"/>
      <c r="I5" s="31" t="inlineStr">
        <is>
          <t>Key Outputs</t>
        </is>
      </c>
      <c r="J5" s="32" t="n"/>
      <c r="K5" s="32" t="n"/>
      <c r="L5" s="32" t="n"/>
      <c r="M5" s="32" t="n"/>
      <c r="N5" s="32" t="n"/>
    </row>
    <row r="6">
      <c r="A6" s="70" t="n"/>
      <c r="B6" s="7" t="inlineStr">
        <is>
          <t>XIRR Guess</t>
        </is>
      </c>
      <c r="C6" s="29" t="n">
        <v>0.1</v>
      </c>
      <c r="D6" s="30" t="n"/>
      <c r="E6" s="30" t="n"/>
      <c r="F6" s="30" t="n"/>
      <c r="G6" s="30" t="n"/>
      <c r="H6" s="70" t="n"/>
      <c r="I6" s="5" t="inlineStr">
        <is>
          <t>Metric</t>
        </is>
      </c>
      <c r="J6" s="5" t="inlineStr">
        <is>
          <t>Value</t>
        </is>
      </c>
      <c r="K6" s="32" t="n"/>
      <c r="L6" s="32" t="n"/>
      <c r="M6" s="32" t="n"/>
      <c r="N6" s="32" t="n"/>
    </row>
    <row r="7" ht="29" customHeight="1" s="62">
      <c r="A7" s="70" t="n"/>
      <c r="B7" s="7" t="inlineStr">
        <is>
          <t>Finance rate (for MIRR-style)</t>
        </is>
      </c>
      <c r="C7" s="29" t="n">
        <v>0.1</v>
      </c>
      <c r="D7" s="30" t="n"/>
      <c r="E7" s="30" t="n"/>
      <c r="F7" s="30" t="n"/>
      <c r="G7" s="30" t="n"/>
      <c r="H7" s="70" t="n"/>
      <c r="I7" s="6" t="inlineStr">
        <is>
          <t>XNPV (₹)</t>
        </is>
      </c>
      <c r="J7" s="74">
        <f>IFERROR(XNPV($C$5,$D$14:$D$33,$C$14:$C$33),"")</f>
        <v/>
      </c>
      <c r="K7" s="32" t="n"/>
      <c r="L7" s="32" t="n"/>
      <c r="M7" s="32" t="n"/>
      <c r="N7" s="32" t="n"/>
    </row>
    <row r="8" ht="29" customHeight="1" s="62">
      <c r="A8" s="70" t="n"/>
      <c r="B8" s="7" t="inlineStr">
        <is>
          <t>Reinvestment rate (for MIRR-style)</t>
        </is>
      </c>
      <c r="C8" s="29" t="n">
        <v>0.08</v>
      </c>
      <c r="D8" s="30" t="n"/>
      <c r="E8" s="30" t="n"/>
      <c r="F8" s="30" t="n"/>
      <c r="G8" s="30" t="n"/>
      <c r="H8" s="70" t="n"/>
      <c r="I8" s="6" t="inlineStr">
        <is>
          <t>XIRR (%)</t>
        </is>
      </c>
      <c r="J8" s="35">
        <f>IFERROR(XIRR($D$14:$D$33,$C$14:$C$33,$C$6),"")</f>
        <v/>
      </c>
      <c r="K8" s="32" t="n"/>
      <c r="L8" s="32" t="n"/>
      <c r="M8" s="32" t="n"/>
      <c r="N8" s="32" t="n"/>
    </row>
    <row r="9">
      <c r="A9" s="70" t="n"/>
      <c r="B9" s="30" t="n"/>
      <c r="C9" s="30" t="n"/>
      <c r="D9" s="30" t="n"/>
      <c r="E9" s="30" t="n"/>
      <c r="F9" s="30" t="n"/>
      <c r="G9" s="30" t="n"/>
      <c r="H9" s="70" t="n"/>
      <c r="I9" s="6" t="inlineStr">
        <is>
          <t>Decision</t>
        </is>
      </c>
      <c r="J9" s="9">
        <f>IF(J7="","",IF(J7&gt;0,"ACCEPT (XNPV&gt;0)","REJECT (XNPV≤0)"))</f>
        <v/>
      </c>
      <c r="K9" s="32" t="n"/>
      <c r="L9" s="32" t="n"/>
      <c r="M9" s="32" t="n"/>
      <c r="N9" s="32" t="n"/>
    </row>
    <row r="10">
      <c r="A10" s="70" t="n"/>
      <c r="B10" s="30" t="n"/>
      <c r="C10" s="30" t="n"/>
      <c r="D10" s="30" t="n"/>
      <c r="E10" s="30" t="n"/>
      <c r="F10" s="30" t="n"/>
      <c r="G10" s="30" t="n"/>
      <c r="H10" s="70" t="n"/>
      <c r="I10" s="32" t="n"/>
      <c r="J10" s="32" t="n"/>
      <c r="K10" s="32" t="n"/>
      <c r="L10" s="32" t="n"/>
      <c r="M10" s="32" t="n"/>
      <c r="N10" s="32" t="n"/>
    </row>
    <row r="11" ht="15.5" customHeight="1" s="62">
      <c r="A11" s="70" t="n"/>
      <c r="B11" s="30" t="n"/>
      <c r="C11" s="30" t="n"/>
      <c r="D11" s="30" t="n"/>
      <c r="E11" s="30" t="n"/>
      <c r="F11" s="30" t="n"/>
      <c r="G11" s="30" t="n"/>
      <c r="H11" s="70" t="n"/>
      <c r="I11" s="36" t="inlineStr">
        <is>
          <t>Checks</t>
        </is>
      </c>
      <c r="J11" s="37" t="n"/>
      <c r="K11" s="37" t="n"/>
      <c r="L11" s="32" t="n"/>
      <c r="M11" s="32" t="n"/>
      <c r="N11" s="32" t="n"/>
    </row>
    <row r="12" ht="62" customHeight="1" s="62">
      <c r="A12" s="70" t="n"/>
      <c r="B12" s="11" t="inlineStr">
        <is>
          <t>Cash Flow Schedule (enter dates &amp; cash flows)</t>
        </is>
      </c>
      <c r="C12" s="30" t="n"/>
      <c r="D12" s="30" t="n"/>
      <c r="E12" s="30" t="n"/>
      <c r="F12" s="30" t="n"/>
      <c r="G12" s="30" t="n"/>
      <c r="H12" s="70" t="n"/>
      <c r="I12" s="12" t="inlineStr">
        <is>
          <t>Check</t>
        </is>
      </c>
      <c r="J12" s="12" t="inlineStr">
        <is>
          <t>Status</t>
        </is>
      </c>
      <c r="K12" s="37" t="n"/>
      <c r="L12" s="32" t="n"/>
      <c r="M12" s="32" t="n"/>
      <c r="N12" s="32" t="n"/>
    </row>
    <row r="13">
      <c r="A13" s="70" t="n"/>
      <c r="B13" s="13" t="inlineStr">
        <is>
          <t>#</t>
        </is>
      </c>
      <c r="C13" s="13" t="inlineStr">
        <is>
          <t>Date</t>
        </is>
      </c>
      <c r="D13" s="13" t="inlineStr">
        <is>
          <t>Cash Flow (₹)</t>
        </is>
      </c>
      <c r="E13" s="13" t="inlineStr">
        <is>
          <t>Tag/Notes</t>
        </is>
      </c>
      <c r="F13" s="30" t="n"/>
      <c r="G13" s="30" t="n"/>
      <c r="H13" s="70" t="n"/>
      <c r="I13" s="10" t="inlineStr">
        <is>
          <t>Dates increasing?</t>
        </is>
      </c>
      <c r="J13" s="10">
        <f>IF(COUNT($C$14:$C$33)&lt;2,"",IF(SUMPRODUCT(--($C$15:$C$33&lt;&gt;""),--($C$14:$C$32&lt;&gt;""),--($C$15:$C$33&lt;$C$14:$C$32))=0,"OK","Review"))</f>
        <v/>
      </c>
      <c r="K13" s="37" t="n"/>
      <c r="L13" s="32" t="n"/>
      <c r="M13" s="32" t="n"/>
      <c r="N13" s="32" t="n"/>
    </row>
    <row r="14" ht="29" customHeight="1" s="62">
      <c r="A14" s="70" t="n"/>
      <c r="B14" s="38" t="n">
        <v>1</v>
      </c>
      <c r="C14" s="33" t="n">
        <v>44562</v>
      </c>
      <c r="D14" s="75" t="n">
        <v>-15000</v>
      </c>
      <c r="E14" s="30" t="n"/>
      <c r="F14" s="30" t="n"/>
      <c r="G14" s="30" t="n"/>
      <c r="H14" s="70" t="n"/>
      <c r="I14" s="10" t="inlineStr">
        <is>
          <t>Has at least one (-) and one (+) CF?</t>
        </is>
      </c>
      <c r="J14" s="10">
        <f>IF(AND(COUNTIF($D$14:$D$33,"&lt;0")&gt;=1,COUNTIF($D$14:$D$33,"&gt;0")&gt;=1),"OK","Review")</f>
        <v/>
      </c>
      <c r="K14" s="37" t="n"/>
      <c r="L14" s="41" t="n"/>
      <c r="M14" s="32" t="n"/>
      <c r="N14" s="32" t="n"/>
    </row>
    <row r="15" ht="29" customHeight="1" s="62">
      <c r="A15" s="70" t="n"/>
      <c r="B15" s="38" t="n">
        <v>2</v>
      </c>
      <c r="C15" s="33" t="n">
        <v>44635</v>
      </c>
      <c r="D15" s="75" t="n">
        <v>3000</v>
      </c>
      <c r="E15" s="30" t="n"/>
      <c r="F15" s="30" t="n"/>
      <c r="G15" s="30" t="n"/>
      <c r="H15" s="70" t="n"/>
      <c r="I15" s="10" t="inlineStr">
        <is>
          <t>Multiple sign changes warning</t>
        </is>
      </c>
      <c r="J15" s="10">
        <f>IF(OR(COUNTIF($D$14:$D$33,"&lt;0")=0,COUNTIF($D$14:$D$33,"&gt;0")=0),"",IF(SUMPRODUCT(--(($D$14:$D$32*$D$15:$D$33)&lt;0))&gt;1,"Warning","OK"))</f>
        <v/>
      </c>
      <c r="K15" s="37" t="n"/>
      <c r="L15" s="41" t="n"/>
      <c r="M15" s="32" t="n"/>
      <c r="N15" s="32" t="n"/>
    </row>
    <row r="16" ht="29" customHeight="1" s="62">
      <c r="A16" s="70" t="n"/>
      <c r="B16" s="38" t="n">
        <v>3</v>
      </c>
      <c r="C16" s="33" t="n">
        <v>44757</v>
      </c>
      <c r="D16" s="75" t="n">
        <v>4500</v>
      </c>
      <c r="E16" s="30" t="n"/>
      <c r="F16" s="30" t="n"/>
      <c r="G16" s="30" t="n"/>
      <c r="H16" s="70" t="n"/>
      <c r="I16" s="10" t="inlineStr">
        <is>
          <t>XNPV vs PV-sum consistency</t>
        </is>
      </c>
      <c r="J16" s="10">
        <f>IF(J7="","",IF(ABS(J7-SUM($H$38:$H$57))&lt;1,"OK","Review"))</f>
        <v/>
      </c>
      <c r="K16" s="37" t="n"/>
      <c r="L16" s="41" t="n"/>
      <c r="M16" s="32" t="n"/>
      <c r="N16" s="32" t="n"/>
    </row>
    <row r="17">
      <c r="A17" s="70" t="n"/>
      <c r="B17" s="38" t="n">
        <v>4</v>
      </c>
      <c r="C17" s="33" t="n">
        <v>44941</v>
      </c>
      <c r="D17" s="75" t="n">
        <v>5000</v>
      </c>
      <c r="E17" s="30" t="n"/>
      <c r="F17" s="30" t="n"/>
      <c r="G17" s="30" t="n"/>
      <c r="H17" s="70" t="n"/>
      <c r="I17" s="37" t="n"/>
      <c r="J17" s="37" t="n"/>
      <c r="K17" s="37" t="n"/>
      <c r="L17" s="41" t="n"/>
      <c r="M17" s="32" t="n"/>
      <c r="N17" s="32" t="n"/>
    </row>
    <row r="18">
      <c r="A18" s="70" t="n"/>
      <c r="B18" s="38" t="n">
        <v>5</v>
      </c>
      <c r="C18" s="33" t="n">
        <v>45092</v>
      </c>
      <c r="D18" s="75" t="n">
        <v>2500</v>
      </c>
      <c r="E18" s="30" t="n"/>
      <c r="F18" s="30" t="n"/>
      <c r="G18" s="30" t="n"/>
      <c r="H18" s="70" t="n"/>
      <c r="I18" s="70" t="n"/>
      <c r="J18" s="70" t="n"/>
      <c r="K18" s="70" t="n"/>
      <c r="L18" s="26" t="n"/>
      <c r="M18" s="70" t="n"/>
      <c r="N18" s="70" t="n"/>
    </row>
    <row r="19" ht="15.5" customHeight="1" s="62">
      <c r="A19" s="70" t="n"/>
      <c r="B19" s="38" t="n">
        <v>6</v>
      </c>
      <c r="C19" s="33" t="n">
        <v>45291</v>
      </c>
      <c r="D19" s="75" t="n">
        <v>3500</v>
      </c>
      <c r="E19" s="30" t="n"/>
      <c r="F19" s="30" t="n"/>
      <c r="G19" s="30" t="n"/>
      <c r="H19" s="70" t="n"/>
      <c r="I19" s="8" t="inlineStr">
        <is>
          <t>Return summary</t>
        </is>
      </c>
      <c r="J19" s="32" t="n"/>
      <c r="K19" s="32" t="n"/>
      <c r="L19" s="41" t="n"/>
      <c r="M19" s="32" t="n"/>
      <c r="N19" s="32" t="n"/>
    </row>
    <row r="20">
      <c r="A20" s="70" t="n"/>
      <c r="B20" s="38" t="n">
        <v>7</v>
      </c>
      <c r="C20" s="33" t="n"/>
      <c r="D20" s="75" t="n"/>
      <c r="E20" s="30" t="n"/>
      <c r="F20" s="30" t="n"/>
      <c r="G20" s="30" t="n"/>
      <c r="H20" s="70" t="n"/>
      <c r="I20" s="5" t="inlineStr">
        <is>
          <t>Metric</t>
        </is>
      </c>
      <c r="J20" s="5" t="inlineStr">
        <is>
          <t>Value</t>
        </is>
      </c>
      <c r="K20" s="32" t="n"/>
      <c r="L20" s="41" t="n"/>
      <c r="M20" s="32" t="n"/>
      <c r="N20" s="32" t="n"/>
    </row>
    <row r="21">
      <c r="A21" s="70" t="n"/>
      <c r="B21" s="38" t="n">
        <v>8</v>
      </c>
      <c r="C21" s="33" t="n"/>
      <c r="D21" s="75" t="n"/>
      <c r="E21" s="30" t="n"/>
      <c r="F21" s="30" t="n"/>
      <c r="G21" s="30" t="n"/>
      <c r="H21" s="70" t="n"/>
      <c r="I21" s="6" t="inlineStr">
        <is>
          <t>XIRR (%)</t>
        </is>
      </c>
      <c r="J21" s="35">
        <f>J8</f>
        <v/>
      </c>
      <c r="K21" s="32" t="n"/>
      <c r="L21" s="14">
        <f>MAX($C$14:$C$33)</f>
        <v/>
      </c>
      <c r="M21" s="32" t="n"/>
      <c r="N21" s="32" t="n"/>
    </row>
    <row r="22" ht="29" customHeight="1" s="62">
      <c r="A22" s="70" t="n"/>
      <c r="B22" s="38" t="n">
        <v>9</v>
      </c>
      <c r="C22" s="33" t="n"/>
      <c r="D22" s="75" t="n"/>
      <c r="E22" s="30" t="n"/>
      <c r="F22" s="30" t="n"/>
      <c r="G22" s="30" t="n"/>
      <c r="H22" s="70" t="n"/>
      <c r="I22" s="6" t="inlineStr">
        <is>
          <t>Irregular MIRR (approx) (%)</t>
        </is>
      </c>
      <c r="J22" s="35">
        <f>IF(OR(L22=0,L24=0),"",(L23/ABS(L22))^(1/L24)-1)</f>
        <v/>
      </c>
      <c r="K22" s="32" t="n"/>
      <c r="L22" s="81">
        <f>SUMPRODUCT(($D$14:$D$33&lt;0)*$D$14:$D$33/(1+$C$7)^((($C$14:$C$33-$C$14)/365)))</f>
        <v/>
      </c>
      <c r="M22" s="32" t="n"/>
      <c r="N22" s="32" t="n"/>
    </row>
    <row r="23">
      <c r="A23" s="70" t="n"/>
      <c r="B23" s="38" t="n">
        <v>10</v>
      </c>
      <c r="C23" s="33" t="n"/>
      <c r="D23" s="75" t="n"/>
      <c r="E23" s="30" t="n"/>
      <c r="F23" s="30" t="n"/>
      <c r="G23" s="30" t="n"/>
      <c r="H23" s="70" t="n"/>
      <c r="I23" s="32" t="n"/>
      <c r="J23" s="32" t="n"/>
      <c r="K23" s="32" t="n"/>
      <c r="L23" s="81">
        <f>SUMPRODUCT(($D$14:$D$33&gt;0)*$D$14:$D$33*(1+$C$8)^((L21-$C$14)/365 - (($C$14:$C$33-$C$14)/365)))</f>
        <v/>
      </c>
      <c r="M23" s="32" t="n"/>
      <c r="N23" s="32" t="n"/>
    </row>
    <row r="24">
      <c r="A24" s="70" t="n"/>
      <c r="B24" s="38" t="n">
        <v>11</v>
      </c>
      <c r="C24" s="33" t="n"/>
      <c r="D24" s="75" t="n"/>
      <c r="E24" s="30" t="n"/>
      <c r="F24" s="30" t="n"/>
      <c r="G24" s="30" t="n"/>
      <c r="H24" s="70" t="n"/>
      <c r="I24" s="32" t="n"/>
      <c r="J24" s="32" t="n"/>
      <c r="K24" s="32" t="n"/>
      <c r="L24" s="82">
        <f>(L21-$C$14)/365</f>
        <v/>
      </c>
      <c r="M24" s="32" t="n"/>
      <c r="N24" s="32" t="n"/>
    </row>
    <row r="25">
      <c r="A25" s="70" t="n"/>
      <c r="B25" s="38" t="n">
        <v>12</v>
      </c>
      <c r="C25" s="33" t="n"/>
      <c r="D25" s="75" t="n"/>
      <c r="E25" s="30" t="n"/>
      <c r="F25" s="30" t="n"/>
      <c r="G25" s="30" t="n"/>
      <c r="H25" s="70" t="n"/>
      <c r="I25" s="32" t="n"/>
      <c r="J25" s="32" t="n"/>
      <c r="K25" s="32" t="n"/>
      <c r="L25" s="41" t="n"/>
      <c r="M25" s="32" t="n"/>
      <c r="N25" s="32" t="n"/>
    </row>
    <row r="26">
      <c r="A26" s="70" t="n"/>
      <c r="B26" s="38" t="n">
        <v>13</v>
      </c>
      <c r="C26" s="33" t="n"/>
      <c r="D26" s="75" t="n"/>
      <c r="E26" s="30" t="n"/>
      <c r="F26" s="30" t="n"/>
      <c r="G26" s="30" t="n"/>
      <c r="H26" s="70" t="n"/>
      <c r="I26" s="70" t="n"/>
      <c r="J26" s="70" t="n"/>
      <c r="K26" s="70" t="n"/>
      <c r="L26" s="26" t="n"/>
      <c r="M26" s="70" t="n"/>
      <c r="N26" s="70" t="n"/>
    </row>
    <row r="27">
      <c r="A27" s="70" t="n"/>
      <c r="B27" s="38" t="n">
        <v>14</v>
      </c>
      <c r="C27" s="33" t="n"/>
      <c r="D27" s="75" t="n"/>
      <c r="E27" s="30" t="n"/>
      <c r="F27" s="30" t="n"/>
      <c r="G27" s="30" t="n"/>
      <c r="H27" s="70" t="n"/>
      <c r="I27" s="70" t="n"/>
      <c r="J27" s="70" t="n"/>
      <c r="K27" s="70" t="n"/>
      <c r="L27" s="26" t="n"/>
      <c r="M27" s="70" t="n"/>
      <c r="N27" s="70" t="n"/>
    </row>
    <row r="28">
      <c r="A28" s="70" t="n"/>
      <c r="B28" s="38" t="n">
        <v>15</v>
      </c>
      <c r="C28" s="33" t="n"/>
      <c r="D28" s="75" t="n"/>
      <c r="E28" s="30" t="n"/>
      <c r="F28" s="30" t="n"/>
      <c r="G28" s="30" t="n"/>
      <c r="H28" s="70" t="n"/>
      <c r="I28" s="70" t="n"/>
      <c r="J28" s="70" t="n"/>
      <c r="K28" s="70" t="n"/>
      <c r="L28" s="26" t="n"/>
      <c r="M28" s="70" t="n"/>
      <c r="N28" s="70" t="n"/>
    </row>
    <row r="29">
      <c r="A29" s="70" t="n"/>
      <c r="B29" s="38" t="n">
        <v>16</v>
      </c>
      <c r="C29" s="33" t="n"/>
      <c r="D29" s="75" t="n"/>
      <c r="E29" s="30" t="n"/>
      <c r="F29" s="30" t="n"/>
      <c r="G29" s="30" t="n"/>
      <c r="H29" s="70" t="n"/>
      <c r="I29" s="70" t="n"/>
      <c r="J29" s="70" t="n"/>
      <c r="K29" s="70" t="n"/>
      <c r="L29" s="26" t="n"/>
      <c r="M29" s="70" t="n"/>
      <c r="N29" s="70" t="n"/>
    </row>
    <row r="30">
      <c r="A30" s="70" t="n"/>
      <c r="B30" s="38" t="n">
        <v>17</v>
      </c>
      <c r="C30" s="33" t="n"/>
      <c r="D30" s="75" t="n"/>
      <c r="E30" s="30" t="n"/>
      <c r="F30" s="30" t="n"/>
      <c r="G30" s="30" t="n"/>
      <c r="H30" s="70" t="n"/>
      <c r="I30" s="70" t="n"/>
      <c r="J30" s="70" t="n"/>
      <c r="K30" s="70" t="n"/>
      <c r="L30" s="26" t="n"/>
      <c r="M30" s="70" t="n"/>
      <c r="N30" s="70" t="n"/>
    </row>
    <row r="31">
      <c r="A31" s="70" t="n"/>
      <c r="B31" s="38" t="n">
        <v>18</v>
      </c>
      <c r="C31" s="33" t="n"/>
      <c r="D31" s="75" t="n"/>
      <c r="E31" s="30" t="n"/>
      <c r="F31" s="30" t="n"/>
      <c r="G31" s="30" t="n"/>
      <c r="H31" s="70" t="n"/>
      <c r="I31" s="70" t="n"/>
      <c r="J31" s="70" t="n"/>
      <c r="K31" s="70" t="n"/>
      <c r="L31" s="26" t="n"/>
      <c r="M31" s="70" t="n"/>
      <c r="N31" s="70" t="n"/>
    </row>
    <row r="32">
      <c r="A32" s="70" t="n"/>
      <c r="B32" s="38" t="n">
        <v>19</v>
      </c>
      <c r="C32" s="33" t="n"/>
      <c r="D32" s="75" t="n"/>
      <c r="E32" s="30" t="n"/>
      <c r="F32" s="30" t="n"/>
      <c r="G32" s="30" t="n"/>
      <c r="H32" s="70" t="n"/>
      <c r="I32" s="70" t="n"/>
      <c r="J32" s="70" t="n"/>
      <c r="K32" s="70" t="n"/>
      <c r="L32" s="26" t="n"/>
      <c r="M32" s="70" t="n"/>
      <c r="N32" s="70" t="n"/>
    </row>
    <row r="33">
      <c r="A33" s="70" t="n"/>
      <c r="B33" s="38" t="n">
        <v>20</v>
      </c>
      <c r="C33" s="33" t="n"/>
      <c r="D33" s="75" t="n"/>
      <c r="E33" s="30" t="n"/>
      <c r="F33" s="30" t="n"/>
      <c r="G33" s="30" t="n"/>
      <c r="H33" s="70" t="n"/>
      <c r="I33" s="70" t="n"/>
      <c r="J33" s="70" t="n"/>
      <c r="K33" s="70" t="n"/>
      <c r="L33" s="26" t="n"/>
      <c r="M33" s="70" t="n"/>
      <c r="N33" s="70" t="n"/>
    </row>
    <row r="34">
      <c r="A34" s="70" t="n"/>
      <c r="B34" s="70" t="n"/>
      <c r="C34" s="70" t="n"/>
      <c r="D34" s="70" t="n"/>
      <c r="E34" s="70" t="n"/>
      <c r="F34" s="70" t="n"/>
      <c r="G34" s="70" t="n"/>
      <c r="H34" s="70" t="n"/>
      <c r="I34" s="70" t="n"/>
      <c r="J34" s="70" t="n"/>
      <c r="K34" s="70" t="n"/>
      <c r="L34" s="70" t="n"/>
      <c r="M34" s="70" t="n"/>
      <c r="N34" s="70" t="n"/>
    </row>
    <row r="35">
      <c r="A35" s="70" t="n"/>
      <c r="B35" s="64" t="inlineStr">
        <is>
          <t>CALCULATIONS</t>
        </is>
      </c>
      <c r="C35" s="72" t="n"/>
      <c r="D35" s="72" t="n"/>
      <c r="E35" s="72" t="n"/>
      <c r="F35" s="72" t="n"/>
      <c r="G35" s="73" t="n"/>
      <c r="H35" s="39" t="n"/>
      <c r="I35" s="39" t="n"/>
      <c r="J35" s="70" t="n"/>
      <c r="K35" s="70" t="n"/>
      <c r="L35" s="70" t="n"/>
      <c r="M35" s="70" t="n"/>
      <c r="N35" s="70" t="n"/>
    </row>
    <row r="36" ht="58" customHeight="1" s="62">
      <c r="A36" s="70" t="n"/>
      <c r="B36" s="20" t="inlineStr">
        <is>
          <t>PV engine (base date = first entered date in the schedule, row 14)</t>
        </is>
      </c>
      <c r="C36" s="39" t="n"/>
      <c r="D36" s="39" t="n"/>
      <c r="E36" s="39" t="n"/>
      <c r="F36" s="39" t="n"/>
      <c r="G36" s="39" t="n"/>
      <c r="H36" s="39" t="n"/>
      <c r="I36" s="39" t="n"/>
      <c r="J36" s="70" t="n"/>
      <c r="K36" s="70" t="n"/>
      <c r="L36" s="70" t="n"/>
      <c r="M36" s="70" t="n"/>
      <c r="N36" s="70" t="n"/>
    </row>
    <row r="37" ht="58" customHeight="1" s="62">
      <c r="A37" s="70" t="n"/>
      <c r="B37" s="18" t="inlineStr">
        <is>
          <t>#</t>
        </is>
      </c>
      <c r="C37" s="18" t="inlineStr">
        <is>
          <t>Date</t>
        </is>
      </c>
      <c r="D37" s="18" t="inlineStr">
        <is>
          <t>CF (₹)</t>
        </is>
      </c>
      <c r="E37" s="18" t="inlineStr">
        <is>
          <t>Days</t>
        </is>
      </c>
      <c r="F37" s="18" t="inlineStr">
        <is>
          <t>t (yrs)</t>
        </is>
      </c>
      <c r="G37" s="18" t="inlineStr">
        <is>
          <t>Discount Factor</t>
        </is>
      </c>
      <c r="H37" s="18" t="inlineStr">
        <is>
          <t>PV (₹)</t>
        </is>
      </c>
      <c r="I37" s="18" t="inlineStr">
        <is>
          <t>Cum PV (₹)</t>
        </is>
      </c>
      <c r="J37" s="70" t="n"/>
      <c r="K37" s="70" t="n"/>
      <c r="L37" s="70" t="n"/>
      <c r="M37" s="70" t="n"/>
      <c r="N37" s="70" t="n"/>
    </row>
    <row r="38">
      <c r="A38" s="70" t="n"/>
      <c r="B38" s="19">
        <f>B14</f>
        <v/>
      </c>
      <c r="C38" s="19">
        <f>C14</f>
        <v/>
      </c>
      <c r="D38" s="19">
        <f>D14</f>
        <v/>
      </c>
      <c r="E38" s="19">
        <f>IF(C14="","",C14-$C$14)</f>
        <v/>
      </c>
      <c r="F38" s="78">
        <f>IF(E38="","",E38/365)</f>
        <v/>
      </c>
      <c r="G38" s="79">
        <f>IF(F38="","",(1+$C$5)^F38)</f>
        <v/>
      </c>
      <c r="H38" s="80">
        <f>IF(OR(C14="",D14=""),"",D14/G38)</f>
        <v/>
      </c>
      <c r="I38" s="80">
        <f>IF(H38="","",SUM($H$38:H38))</f>
        <v/>
      </c>
      <c r="J38" s="70" t="n"/>
      <c r="K38" s="70" t="n"/>
      <c r="L38" s="70" t="n"/>
      <c r="M38" s="70" t="n"/>
      <c r="N38" s="70" t="n"/>
    </row>
    <row r="39">
      <c r="A39" s="70" t="n"/>
      <c r="B39" s="19">
        <f>B15</f>
        <v/>
      </c>
      <c r="C39" s="19">
        <f>C15</f>
        <v/>
      </c>
      <c r="D39" s="19">
        <f>D15</f>
        <v/>
      </c>
      <c r="E39" s="19">
        <f>IF(C15="","",C15-$C$14)</f>
        <v/>
      </c>
      <c r="F39" s="78">
        <f>IF(E39="","",E39/365)</f>
        <v/>
      </c>
      <c r="G39" s="79">
        <f>IF(F39="","",(1+$C$5)^F39)</f>
        <v/>
      </c>
      <c r="H39" s="80">
        <f>IF(OR(C15="",D15=""),"",D15/G39)</f>
        <v/>
      </c>
      <c r="I39" s="80">
        <f>IF(H39="","",SUM($H$38:H39))</f>
        <v/>
      </c>
      <c r="J39" s="70" t="n"/>
      <c r="K39" s="70" t="n"/>
      <c r="L39" s="70" t="n"/>
      <c r="M39" s="70" t="n"/>
      <c r="N39" s="70" t="n"/>
    </row>
    <row r="40">
      <c r="A40" s="70" t="n"/>
      <c r="B40" s="19">
        <f>B16</f>
        <v/>
      </c>
      <c r="C40" s="19">
        <f>C16</f>
        <v/>
      </c>
      <c r="D40" s="19">
        <f>D16</f>
        <v/>
      </c>
      <c r="E40" s="19">
        <f>IF(C16="","",C16-$C$14)</f>
        <v/>
      </c>
      <c r="F40" s="78">
        <f>IF(E40="","",E40/365)</f>
        <v/>
      </c>
      <c r="G40" s="79">
        <f>IF(F40="","",(1+$C$5)^F40)</f>
        <v/>
      </c>
      <c r="H40" s="80">
        <f>IF(OR(C16="",D16=""),"",D16/G40)</f>
        <v/>
      </c>
      <c r="I40" s="80">
        <f>IF(H40="","",SUM($H$38:H40))</f>
        <v/>
      </c>
      <c r="J40" s="70" t="n"/>
      <c r="K40" s="70" t="n"/>
      <c r="L40" s="70" t="n"/>
      <c r="M40" s="70" t="n"/>
      <c r="N40" s="70" t="n"/>
    </row>
    <row r="41">
      <c r="A41" s="70" t="n"/>
      <c r="B41" s="19">
        <f>B17</f>
        <v/>
      </c>
      <c r="C41" s="19">
        <f>C17</f>
        <v/>
      </c>
      <c r="D41" s="19">
        <f>D17</f>
        <v/>
      </c>
      <c r="E41" s="19">
        <f>IF(C17="","",C17-$C$14)</f>
        <v/>
      </c>
      <c r="F41" s="78">
        <f>IF(E41="","",E41/365)</f>
        <v/>
      </c>
      <c r="G41" s="79">
        <f>IF(F41="","",(1+$C$5)^F41)</f>
        <v/>
      </c>
      <c r="H41" s="80">
        <f>IF(OR(C17="",D17=""),"",D17/G41)</f>
        <v/>
      </c>
      <c r="I41" s="80">
        <f>IF(H41="","",SUM($H$38:H41))</f>
        <v/>
      </c>
      <c r="J41" s="70" t="n"/>
      <c r="K41" s="70" t="n"/>
      <c r="L41" s="70" t="n"/>
      <c r="M41" s="70" t="n"/>
      <c r="N41" s="70" t="n"/>
    </row>
    <row r="42">
      <c r="A42" s="70" t="n"/>
      <c r="B42" s="19">
        <f>B18</f>
        <v/>
      </c>
      <c r="C42" s="19">
        <f>C18</f>
        <v/>
      </c>
      <c r="D42" s="19">
        <f>D18</f>
        <v/>
      </c>
      <c r="E42" s="19">
        <f>IF(C18="","",C18-$C$14)</f>
        <v/>
      </c>
      <c r="F42" s="78">
        <f>IF(E42="","",E42/365)</f>
        <v/>
      </c>
      <c r="G42" s="79">
        <f>IF(F42="","",(1+$C$5)^F42)</f>
        <v/>
      </c>
      <c r="H42" s="80">
        <f>IF(OR(C18="",D18=""),"",D18/G42)</f>
        <v/>
      </c>
      <c r="I42" s="80">
        <f>IF(H42="","",SUM($H$38:H42))</f>
        <v/>
      </c>
      <c r="J42" s="70" t="n"/>
      <c r="K42" s="70" t="n"/>
      <c r="L42" s="70" t="n"/>
      <c r="M42" s="70" t="n"/>
      <c r="N42" s="70" t="n"/>
    </row>
    <row r="43">
      <c r="A43" s="70" t="n"/>
      <c r="B43" s="19">
        <f>B19</f>
        <v/>
      </c>
      <c r="C43" s="19">
        <f>C19</f>
        <v/>
      </c>
      <c r="D43" s="19">
        <f>D19</f>
        <v/>
      </c>
      <c r="E43" s="19">
        <f>IF(C19="","",C19-$C$14)</f>
        <v/>
      </c>
      <c r="F43" s="78">
        <f>IF(E43="","",E43/365)</f>
        <v/>
      </c>
      <c r="G43" s="79">
        <f>IF(F43="","",(1+$C$5)^F43)</f>
        <v/>
      </c>
      <c r="H43" s="80">
        <f>IF(OR(C19="",D19=""),"",D19/G43)</f>
        <v/>
      </c>
      <c r="I43" s="80">
        <f>IF(H43="","",SUM($H$38:H43))</f>
        <v/>
      </c>
      <c r="J43" s="70" t="n"/>
      <c r="K43" s="70" t="n"/>
      <c r="L43" s="70" t="n"/>
      <c r="M43" s="70" t="n"/>
      <c r="N43" s="70" t="n"/>
    </row>
    <row r="44">
      <c r="A44" s="70" t="n"/>
      <c r="B44" s="19">
        <f>B20</f>
        <v/>
      </c>
      <c r="C44" s="19">
        <f>C20</f>
        <v/>
      </c>
      <c r="D44" s="19">
        <f>D20</f>
        <v/>
      </c>
      <c r="E44" s="19">
        <f>IF(C20="","",C20-$C$14)</f>
        <v/>
      </c>
      <c r="F44" s="78">
        <f>IF(E44="","",E44/365)</f>
        <v/>
      </c>
      <c r="G44" s="79">
        <f>IF(F44="","",(1+$C$5)^F44)</f>
        <v/>
      </c>
      <c r="H44" s="80">
        <f>IF(OR(C20="",D20=""),"",D20/G44)</f>
        <v/>
      </c>
      <c r="I44" s="80">
        <f>IF(H44="","",SUM($H$38:H44))</f>
        <v/>
      </c>
      <c r="J44" s="70" t="n"/>
      <c r="K44" s="70" t="n"/>
      <c r="L44" s="70" t="n"/>
      <c r="M44" s="70" t="n"/>
      <c r="N44" s="70" t="n"/>
    </row>
    <row r="45">
      <c r="A45" s="70" t="n"/>
      <c r="B45" s="19">
        <f>B21</f>
        <v/>
      </c>
      <c r="C45" s="19">
        <f>C21</f>
        <v/>
      </c>
      <c r="D45" s="19">
        <f>D21</f>
        <v/>
      </c>
      <c r="E45" s="19">
        <f>IF(C21="","",C21-$C$14)</f>
        <v/>
      </c>
      <c r="F45" s="78">
        <f>IF(E45="","",E45/365)</f>
        <v/>
      </c>
      <c r="G45" s="79">
        <f>IF(F45="","",(1+$C$5)^F45)</f>
        <v/>
      </c>
      <c r="H45" s="80">
        <f>IF(OR(C21="",D21=""),"",D21/G45)</f>
        <v/>
      </c>
      <c r="I45" s="80">
        <f>IF(H45="","",SUM($H$38:H45))</f>
        <v/>
      </c>
      <c r="J45" s="70" t="n"/>
      <c r="K45" s="70" t="n"/>
      <c r="L45" s="70" t="n"/>
      <c r="M45" s="70" t="n"/>
      <c r="N45" s="70" t="n"/>
    </row>
    <row r="46">
      <c r="A46" s="70" t="n"/>
      <c r="B46" s="19">
        <f>B22</f>
        <v/>
      </c>
      <c r="C46" s="19">
        <f>C22</f>
        <v/>
      </c>
      <c r="D46" s="19">
        <f>D22</f>
        <v/>
      </c>
      <c r="E46" s="19">
        <f>IF(C22="","",C22-$C$14)</f>
        <v/>
      </c>
      <c r="F46" s="78">
        <f>IF(E46="","",E46/365)</f>
        <v/>
      </c>
      <c r="G46" s="79">
        <f>IF(F46="","",(1+$C$5)^F46)</f>
        <v/>
      </c>
      <c r="H46" s="80">
        <f>IF(OR(C22="",D22=""),"",D22/G46)</f>
        <v/>
      </c>
      <c r="I46" s="80">
        <f>IF(H46="","",SUM($H$38:H46))</f>
        <v/>
      </c>
      <c r="J46" s="70" t="n"/>
      <c r="K46" s="70" t="n"/>
      <c r="L46" s="70" t="n"/>
      <c r="M46" s="70" t="n"/>
      <c r="N46" s="70" t="n"/>
    </row>
    <row r="47">
      <c r="A47" s="70" t="n"/>
      <c r="B47" s="19">
        <f>B23</f>
        <v/>
      </c>
      <c r="C47" s="19">
        <f>C23</f>
        <v/>
      </c>
      <c r="D47" s="19">
        <f>D23</f>
        <v/>
      </c>
      <c r="E47" s="19">
        <f>IF(C23="","",C23-$C$14)</f>
        <v/>
      </c>
      <c r="F47" s="78">
        <f>IF(E47="","",E47/365)</f>
        <v/>
      </c>
      <c r="G47" s="79">
        <f>IF(F47="","",(1+$C$5)^F47)</f>
        <v/>
      </c>
      <c r="H47" s="80">
        <f>IF(OR(C23="",D23=""),"",D23/G47)</f>
        <v/>
      </c>
      <c r="I47" s="80">
        <f>IF(H47="","",SUM($H$38:H47))</f>
        <v/>
      </c>
      <c r="J47" s="70" t="n"/>
      <c r="K47" s="70" t="n"/>
      <c r="L47" s="70" t="n"/>
      <c r="M47" s="70" t="n"/>
      <c r="N47" s="70" t="n"/>
    </row>
    <row r="48">
      <c r="A48" s="70" t="n"/>
      <c r="B48" s="19">
        <f>B24</f>
        <v/>
      </c>
      <c r="C48" s="19">
        <f>C24</f>
        <v/>
      </c>
      <c r="D48" s="19">
        <f>D24</f>
        <v/>
      </c>
      <c r="E48" s="19">
        <f>IF(C24="","",C24-$C$14)</f>
        <v/>
      </c>
      <c r="F48" s="78">
        <f>IF(E48="","",E48/365)</f>
        <v/>
      </c>
      <c r="G48" s="79">
        <f>IF(F48="","",(1+$C$5)^F48)</f>
        <v/>
      </c>
      <c r="H48" s="80">
        <f>IF(OR(C24="",D24=""),"",D24/G48)</f>
        <v/>
      </c>
      <c r="I48" s="80">
        <f>IF(H48="","",SUM($H$38:H48))</f>
        <v/>
      </c>
      <c r="J48" s="70" t="n"/>
      <c r="K48" s="70" t="n"/>
      <c r="L48" s="70" t="n"/>
      <c r="M48" s="70" t="n"/>
      <c r="N48" s="70" t="n"/>
    </row>
    <row r="49">
      <c r="A49" s="70" t="n"/>
      <c r="B49" s="19">
        <f>B25</f>
        <v/>
      </c>
      <c r="C49" s="19">
        <f>C25</f>
        <v/>
      </c>
      <c r="D49" s="19">
        <f>D25</f>
        <v/>
      </c>
      <c r="E49" s="19">
        <f>IF(C25="","",C25-$C$14)</f>
        <v/>
      </c>
      <c r="F49" s="78">
        <f>IF(E49="","",E49/365)</f>
        <v/>
      </c>
      <c r="G49" s="79">
        <f>IF(F49="","",(1+$C$5)^F49)</f>
        <v/>
      </c>
      <c r="H49" s="80">
        <f>IF(OR(C25="",D25=""),"",D25/G49)</f>
        <v/>
      </c>
      <c r="I49" s="80">
        <f>IF(H49="","",SUM($H$38:H49))</f>
        <v/>
      </c>
      <c r="J49" s="70" t="n"/>
      <c r="K49" s="70" t="n"/>
      <c r="L49" s="70" t="n"/>
      <c r="M49" s="70" t="n"/>
      <c r="N49" s="70" t="n"/>
    </row>
    <row r="50">
      <c r="A50" s="70" t="n"/>
      <c r="B50" s="19">
        <f>B26</f>
        <v/>
      </c>
      <c r="C50" s="19">
        <f>C26</f>
        <v/>
      </c>
      <c r="D50" s="19">
        <f>D26</f>
        <v/>
      </c>
      <c r="E50" s="19">
        <f>IF(C26="","",C26-$C$14)</f>
        <v/>
      </c>
      <c r="F50" s="78">
        <f>IF(E50="","",E50/365)</f>
        <v/>
      </c>
      <c r="G50" s="79">
        <f>IF(F50="","",(1+$C$5)^F50)</f>
        <v/>
      </c>
      <c r="H50" s="80">
        <f>IF(OR(C26="",D26=""),"",D26/G50)</f>
        <v/>
      </c>
      <c r="I50" s="80">
        <f>IF(H50="","",SUM($H$38:H50))</f>
        <v/>
      </c>
      <c r="J50" s="70" t="n"/>
      <c r="K50" s="70" t="n"/>
      <c r="L50" s="70" t="n"/>
      <c r="M50" s="70" t="n"/>
      <c r="N50" s="70" t="n"/>
    </row>
    <row r="51">
      <c r="A51" s="70" t="n"/>
      <c r="B51" s="19">
        <f>B27</f>
        <v/>
      </c>
      <c r="C51" s="19">
        <f>C27</f>
        <v/>
      </c>
      <c r="D51" s="19">
        <f>D27</f>
        <v/>
      </c>
      <c r="E51" s="19">
        <f>IF(C27="","",C27-$C$14)</f>
        <v/>
      </c>
      <c r="F51" s="78">
        <f>IF(E51="","",E51/365)</f>
        <v/>
      </c>
      <c r="G51" s="79">
        <f>IF(F51="","",(1+$C$5)^F51)</f>
        <v/>
      </c>
      <c r="H51" s="80">
        <f>IF(OR(C27="",D27=""),"",D27/G51)</f>
        <v/>
      </c>
      <c r="I51" s="80">
        <f>IF(H51="","",SUM($H$38:H51))</f>
        <v/>
      </c>
      <c r="J51" s="70" t="n"/>
      <c r="K51" s="70" t="n"/>
      <c r="L51" s="70" t="n"/>
      <c r="M51" s="70" t="n"/>
      <c r="N51" s="70" t="n"/>
    </row>
    <row r="52">
      <c r="A52" s="70" t="n"/>
      <c r="B52" s="19">
        <f>B28</f>
        <v/>
      </c>
      <c r="C52" s="19">
        <f>C28</f>
        <v/>
      </c>
      <c r="D52" s="19">
        <f>D28</f>
        <v/>
      </c>
      <c r="E52" s="19">
        <f>IF(C28="","",C28-$C$14)</f>
        <v/>
      </c>
      <c r="F52" s="78">
        <f>IF(E52="","",E52/365)</f>
        <v/>
      </c>
      <c r="G52" s="79">
        <f>IF(F52="","",(1+$C$5)^F52)</f>
        <v/>
      </c>
      <c r="H52" s="80">
        <f>IF(OR(C28="",D28=""),"",D28/G52)</f>
        <v/>
      </c>
      <c r="I52" s="80">
        <f>IF(H52="","",SUM($H$38:H52))</f>
        <v/>
      </c>
      <c r="J52" s="70" t="n"/>
      <c r="K52" s="70" t="n"/>
      <c r="L52" s="70" t="n"/>
      <c r="M52" s="70" t="n"/>
      <c r="N52" s="70" t="n"/>
    </row>
    <row r="53">
      <c r="A53" s="70" t="n"/>
      <c r="B53" s="19">
        <f>B29</f>
        <v/>
      </c>
      <c r="C53" s="19">
        <f>C29</f>
        <v/>
      </c>
      <c r="D53" s="19">
        <f>D29</f>
        <v/>
      </c>
      <c r="E53" s="19">
        <f>IF(C29="","",C29-$C$14)</f>
        <v/>
      </c>
      <c r="F53" s="78">
        <f>IF(E53="","",E53/365)</f>
        <v/>
      </c>
      <c r="G53" s="79">
        <f>IF(F53="","",(1+$C$5)^F53)</f>
        <v/>
      </c>
      <c r="H53" s="80">
        <f>IF(OR(C29="",D29=""),"",D29/G53)</f>
        <v/>
      </c>
      <c r="I53" s="80">
        <f>IF(H53="","",SUM($H$38:H53))</f>
        <v/>
      </c>
      <c r="J53" s="70" t="n"/>
      <c r="K53" s="70" t="n"/>
      <c r="L53" s="70" t="n"/>
      <c r="M53" s="70" t="n"/>
      <c r="N53" s="70" t="n"/>
    </row>
    <row r="54">
      <c r="A54" s="70" t="n"/>
      <c r="B54" s="19">
        <f>B30</f>
        <v/>
      </c>
      <c r="C54" s="19">
        <f>C30</f>
        <v/>
      </c>
      <c r="D54" s="19">
        <f>D30</f>
        <v/>
      </c>
      <c r="E54" s="19">
        <f>IF(C30="","",C30-$C$14)</f>
        <v/>
      </c>
      <c r="F54" s="78">
        <f>IF(E54="","",E54/365)</f>
        <v/>
      </c>
      <c r="G54" s="79">
        <f>IF(F54="","",(1+$C$5)^F54)</f>
        <v/>
      </c>
      <c r="H54" s="80">
        <f>IF(OR(C30="",D30=""),"",D30/G54)</f>
        <v/>
      </c>
      <c r="I54" s="80">
        <f>IF(H54="","",SUM($H$38:H54))</f>
        <v/>
      </c>
      <c r="J54" s="70" t="n"/>
      <c r="K54" s="70" t="n"/>
      <c r="L54" s="70" t="n"/>
      <c r="M54" s="70" t="n"/>
      <c r="N54" s="70" t="n"/>
    </row>
    <row r="55">
      <c r="A55" s="70" t="n"/>
      <c r="B55" s="19">
        <f>B31</f>
        <v/>
      </c>
      <c r="C55" s="19">
        <f>C31</f>
        <v/>
      </c>
      <c r="D55" s="19">
        <f>D31</f>
        <v/>
      </c>
      <c r="E55" s="19">
        <f>IF(C31="","",C31-$C$14)</f>
        <v/>
      </c>
      <c r="F55" s="78">
        <f>IF(E55="","",E55/365)</f>
        <v/>
      </c>
      <c r="G55" s="79">
        <f>IF(F55="","",(1+$C$5)^F55)</f>
        <v/>
      </c>
      <c r="H55" s="80">
        <f>IF(OR(C31="",D31=""),"",D31/G55)</f>
        <v/>
      </c>
      <c r="I55" s="80">
        <f>IF(H55="","",SUM($H$38:H55))</f>
        <v/>
      </c>
      <c r="J55" s="70" t="n"/>
      <c r="K55" s="70" t="n"/>
      <c r="L55" s="70" t="n"/>
      <c r="M55" s="70" t="n"/>
      <c r="N55" s="70" t="n"/>
    </row>
    <row r="56">
      <c r="A56" s="70" t="n"/>
      <c r="B56" s="19">
        <f>B32</f>
        <v/>
      </c>
      <c r="C56" s="19">
        <f>C32</f>
        <v/>
      </c>
      <c r="D56" s="19">
        <f>D32</f>
        <v/>
      </c>
      <c r="E56" s="19">
        <f>IF(C32="","",C32-$C$14)</f>
        <v/>
      </c>
      <c r="F56" s="78">
        <f>IF(E56="","",E56/365)</f>
        <v/>
      </c>
      <c r="G56" s="79">
        <f>IF(F56="","",(1+$C$5)^F56)</f>
        <v/>
      </c>
      <c r="H56" s="80">
        <f>IF(OR(C32="",D32=""),"",D32/G56)</f>
        <v/>
      </c>
      <c r="I56" s="80">
        <f>IF(H56="","",SUM($H$38:H56))</f>
        <v/>
      </c>
      <c r="J56" s="70" t="n"/>
      <c r="K56" s="70" t="n"/>
      <c r="L56" s="70" t="n"/>
      <c r="M56" s="70" t="n"/>
      <c r="N56" s="70" t="n"/>
    </row>
    <row r="57">
      <c r="A57" s="70" t="n"/>
      <c r="B57" s="19">
        <f>B33</f>
        <v/>
      </c>
      <c r="C57" s="19">
        <f>C33</f>
        <v/>
      </c>
      <c r="D57" s="19">
        <f>D33</f>
        <v/>
      </c>
      <c r="E57" s="19">
        <f>IF(C33="","",C33-$C$14)</f>
        <v/>
      </c>
      <c r="F57" s="78">
        <f>IF(E57="","",E57/365)</f>
        <v/>
      </c>
      <c r="G57" s="79">
        <f>IF(F57="","",(1+$C$5)^F57)</f>
        <v/>
      </c>
      <c r="H57" s="80">
        <f>IF(OR(C33="",D33=""),"",D33/G57)</f>
        <v/>
      </c>
      <c r="I57" s="80">
        <f>IF(H57="","",SUM($H$38:H57))</f>
        <v/>
      </c>
      <c r="J57" s="70" t="n"/>
      <c r="K57" s="70" t="n"/>
      <c r="L57" s="70" t="n"/>
      <c r="M57" s="70" t="n"/>
      <c r="N57" s="70" t="n"/>
    </row>
    <row r="58">
      <c r="A58" s="70" t="n"/>
      <c r="B58" s="70" t="n"/>
      <c r="C58" s="70" t="n"/>
      <c r="D58" s="70" t="n"/>
      <c r="E58" s="70" t="n"/>
      <c r="F58" s="70" t="n"/>
      <c r="G58" s="70" t="n"/>
      <c r="H58" s="70" t="n"/>
      <c r="I58" s="70" t="n"/>
      <c r="J58" s="70" t="n"/>
      <c r="K58" s="70" t="n"/>
      <c r="L58" s="70" t="n"/>
      <c r="M58" s="70" t="n"/>
      <c r="N58" s="70" t="n"/>
    </row>
    <row r="59">
      <c r="A59" s="70" t="n"/>
      <c r="B59" s="70" t="n"/>
      <c r="C59" s="70" t="n"/>
      <c r="D59" s="70" t="n"/>
      <c r="E59" s="70" t="n"/>
      <c r="F59" s="70" t="n"/>
      <c r="G59" s="70" t="n"/>
      <c r="H59" s="70" t="n"/>
      <c r="I59" s="70" t="n"/>
      <c r="J59" s="70" t="n"/>
      <c r="K59" s="70" t="n"/>
      <c r="L59" s="70" t="n"/>
      <c r="M59" s="70" t="n"/>
      <c r="N59" s="70" t="n"/>
    </row>
    <row r="60">
      <c r="A60" s="70" t="n"/>
      <c r="B60" s="70" t="n"/>
      <c r="C60" s="70" t="n"/>
      <c r="D60" s="70" t="n"/>
      <c r="E60" s="70" t="n"/>
      <c r="F60" s="70" t="n"/>
      <c r="G60" s="70" t="n"/>
      <c r="H60" s="70" t="n"/>
      <c r="I60" s="70" t="n"/>
      <c r="J60" s="70" t="n"/>
      <c r="K60" s="70" t="n"/>
      <c r="L60" s="70" t="n"/>
      <c r="M60" s="70" t="n"/>
      <c r="N60" s="70" t="n"/>
    </row>
    <row r="61">
      <c r="A61" s="70" t="n"/>
      <c r="B61" s="70" t="n"/>
      <c r="C61" s="70" t="n"/>
      <c r="D61" s="70" t="n"/>
      <c r="E61" s="70" t="n"/>
      <c r="F61" s="70" t="n"/>
      <c r="G61" s="70" t="n"/>
      <c r="H61" s="70" t="n"/>
      <c r="I61" s="70" t="n"/>
      <c r="J61" s="70" t="n"/>
      <c r="K61" s="70" t="n"/>
      <c r="L61" s="70" t="n"/>
      <c r="M61" s="70" t="n"/>
      <c r="N61" s="70" t="n"/>
    </row>
    <row r="62">
      <c r="A62" s="70" t="n"/>
      <c r="B62" s="70" t="n"/>
      <c r="C62" s="70" t="n"/>
      <c r="D62" s="70" t="n"/>
      <c r="E62" s="70" t="n"/>
      <c r="F62" s="70" t="n"/>
      <c r="G62" s="70" t="n"/>
      <c r="H62" s="70" t="n"/>
      <c r="I62" s="70" t="n"/>
      <c r="J62" s="70" t="n"/>
      <c r="K62" s="70" t="n"/>
      <c r="L62" s="70" t="n"/>
      <c r="M62" s="70" t="n"/>
      <c r="N62" s="70" t="n"/>
    </row>
    <row r="63">
      <c r="A63" s="70" t="n"/>
      <c r="B63" s="70" t="n"/>
      <c r="C63" s="70" t="n"/>
      <c r="D63" s="70" t="n"/>
      <c r="E63" s="70" t="n"/>
      <c r="F63" s="70" t="n"/>
      <c r="G63" s="70" t="n"/>
      <c r="H63" s="70" t="n"/>
      <c r="I63" s="70" t="n"/>
      <c r="J63" s="70" t="n"/>
      <c r="K63" s="70" t="n"/>
      <c r="L63" s="70" t="n"/>
      <c r="M63" s="70" t="n"/>
      <c r="N63" s="70" t="n"/>
    </row>
    <row r="64">
      <c r="A64" s="70" t="n"/>
      <c r="B64" s="70" t="n"/>
      <c r="C64" s="70" t="n"/>
      <c r="D64" s="70" t="n"/>
      <c r="E64" s="70" t="n"/>
      <c r="F64" s="70" t="n"/>
      <c r="G64" s="70" t="n"/>
      <c r="H64" s="70" t="n"/>
      <c r="I64" s="70" t="n"/>
      <c r="J64" s="70" t="n"/>
      <c r="K64" s="70" t="n"/>
      <c r="L64" s="70" t="n"/>
      <c r="M64" s="70" t="n"/>
      <c r="N64" s="70" t="n"/>
    </row>
    <row r="65">
      <c r="A65" s="70" t="n"/>
      <c r="B65" s="70" t="n"/>
      <c r="C65" s="70" t="n"/>
      <c r="D65" s="70" t="n"/>
      <c r="E65" s="70" t="n"/>
      <c r="F65" s="70" t="n"/>
      <c r="G65" s="70" t="n"/>
      <c r="H65" s="70" t="n"/>
      <c r="I65" s="70" t="n"/>
      <c r="J65" s="70" t="n"/>
      <c r="K65" s="70" t="n"/>
      <c r="L65" s="70" t="n"/>
      <c r="M65" s="70" t="n"/>
      <c r="N65" s="70" t="n"/>
    </row>
    <row r="66">
      <c r="A66" s="70" t="n"/>
      <c r="B66" s="70" t="n"/>
      <c r="C66" s="70" t="n"/>
      <c r="D66" s="70" t="n"/>
      <c r="E66" s="70" t="n"/>
      <c r="F66" s="70" t="n"/>
      <c r="G66" s="70" t="n"/>
      <c r="H66" s="70" t="n"/>
      <c r="I66" s="70" t="n"/>
      <c r="J66" s="70" t="n"/>
      <c r="K66" s="70" t="n"/>
      <c r="L66" s="70" t="n"/>
      <c r="M66" s="70" t="n"/>
      <c r="N66" s="70" t="n"/>
    </row>
    <row r="67">
      <c r="A67" s="70" t="n"/>
      <c r="B67" s="70" t="n"/>
      <c r="C67" s="70" t="n"/>
      <c r="D67" s="70" t="n"/>
      <c r="E67" s="70" t="n"/>
      <c r="F67" s="70" t="n"/>
      <c r="G67" s="70" t="n"/>
      <c r="H67" s="70" t="n"/>
      <c r="I67" s="70" t="n"/>
      <c r="J67" s="70" t="n"/>
      <c r="K67" s="70" t="n"/>
      <c r="L67" s="70" t="n"/>
      <c r="M67" s="70" t="n"/>
      <c r="N67" s="70" t="n"/>
    </row>
    <row r="68">
      <c r="A68" s="70" t="n"/>
      <c r="B68" s="70" t="n"/>
      <c r="C68" s="70" t="n"/>
      <c r="D68" s="70" t="n"/>
      <c r="E68" s="70" t="n"/>
      <c r="F68" s="70" t="n"/>
      <c r="G68" s="70" t="n"/>
      <c r="H68" s="70" t="n"/>
      <c r="I68" s="70" t="n"/>
      <c r="J68" s="70" t="n"/>
      <c r="K68" s="70" t="n"/>
      <c r="L68" s="70" t="n"/>
      <c r="M68" s="70" t="n"/>
      <c r="N68" s="70" t="n"/>
    </row>
    <row r="69">
      <c r="A69" s="70" t="n"/>
      <c r="B69" s="70" t="n"/>
      <c r="C69" s="70" t="n"/>
      <c r="D69" s="70" t="n"/>
      <c r="E69" s="70" t="n"/>
      <c r="F69" s="70" t="n"/>
      <c r="G69" s="70" t="n"/>
      <c r="H69" s="70" t="n"/>
      <c r="I69" s="70" t="n"/>
      <c r="J69" s="70" t="n"/>
      <c r="K69" s="70" t="n"/>
      <c r="L69" s="70" t="n"/>
      <c r="M69" s="70" t="n"/>
      <c r="N69" s="70" t="n"/>
    </row>
    <row r="70">
      <c r="A70" s="70" t="n"/>
      <c r="B70" s="70" t="n"/>
      <c r="C70" s="70" t="n"/>
      <c r="D70" s="70" t="n"/>
      <c r="E70" s="70" t="n"/>
      <c r="F70" s="70" t="n"/>
      <c r="G70" s="70" t="n"/>
      <c r="H70" s="70" t="n"/>
      <c r="I70" s="70" t="n"/>
      <c r="J70" s="70" t="n"/>
      <c r="K70" s="70" t="n"/>
      <c r="L70" s="70" t="n"/>
      <c r="M70" s="70" t="n"/>
      <c r="N70" s="70" t="n"/>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B35:G35"/>
    <mergeCell ref="B4:G4"/>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N70"/>
  <sheetViews>
    <sheetView workbookViewId="0">
      <pane xSplit="1" ySplit="13" topLeftCell="B14" activePane="bottomRight" state="frozen"/>
      <selection pane="topRight" activeCell="A1" sqref="A1"/>
      <selection pane="bottomLeft" activeCell="A1" sqref="A1"/>
      <selection pane="bottomRight" activeCell="A1" sqref="A1"/>
    </sheetView>
  </sheetViews>
  <sheetFormatPr baseColWidth="8" defaultRowHeight="14.5"/>
  <cols>
    <col width="3" customWidth="1" style="62" min="1" max="1"/>
    <col width="18" customWidth="1" style="62" min="2" max="4"/>
    <col width="16" customWidth="1" style="62" min="5" max="5"/>
    <col width="14" customWidth="1" style="62" min="6" max="6"/>
    <col width="16" customWidth="1" style="62" min="7" max="7"/>
    <col width="3" customWidth="1" style="62" min="8" max="8"/>
    <col width="22" customWidth="1" style="62" min="9" max="9"/>
    <col width="18" customWidth="1" style="62" min="10" max="14"/>
  </cols>
  <sheetData>
    <row r="1">
      <c r="A1" s="69" t="inlineStr">
        <is>
          <t>Case 3 – Project Spark (LuminaTech)</t>
        </is>
      </c>
    </row>
    <row r="2">
      <c r="A2" s="4" t="inlineStr">
        <is>
          <t>⬅ Back to Index</t>
        </is>
      </c>
      <c r="B2" s="70" t="n"/>
      <c r="C2" s="70" t="n"/>
      <c r="D2" s="70" t="n"/>
      <c r="E2" s="70" t="n"/>
      <c r="F2" s="70" t="n"/>
      <c r="G2" s="70" t="n"/>
      <c r="H2" s="70" t="n"/>
      <c r="I2" s="70" t="n"/>
      <c r="J2" s="70" t="n"/>
      <c r="K2" s="70" t="n"/>
      <c r="L2" s="70" t="n"/>
      <c r="M2" s="70" t="n"/>
      <c r="N2" s="70" t="n"/>
    </row>
    <row r="3">
      <c r="A3" s="70" t="n"/>
      <c r="B3" s="70" t="n"/>
      <c r="C3" s="70" t="n"/>
      <c r="D3" s="70" t="n"/>
      <c r="E3" s="70" t="n"/>
      <c r="F3" s="70" t="n"/>
      <c r="G3" s="70" t="n"/>
      <c r="H3" s="70" t="n"/>
      <c r="I3" s="70" t="n"/>
      <c r="J3" s="70" t="n"/>
      <c r="K3" s="70" t="n"/>
      <c r="L3" s="70" t="n"/>
      <c r="M3" s="70" t="n"/>
      <c r="N3" s="70" t="n"/>
    </row>
    <row r="4">
      <c r="A4" s="70" t="n"/>
      <c r="B4" s="67" t="inlineStr">
        <is>
          <t>INPUTS</t>
        </is>
      </c>
      <c r="C4" s="72" t="n"/>
      <c r="D4" s="72" t="n"/>
      <c r="E4" s="72" t="n"/>
      <c r="F4" s="72" t="n"/>
      <c r="G4" s="73" t="n"/>
      <c r="H4" s="70" t="n"/>
      <c r="I4" s="68" t="inlineStr">
        <is>
          <t>OUTPUTS / DECISION</t>
        </is>
      </c>
      <c r="J4" s="72" t="n"/>
      <c r="K4" s="72" t="n"/>
      <c r="L4" s="72" t="n"/>
      <c r="M4" s="72" t="n"/>
      <c r="N4" s="73" t="n"/>
    </row>
    <row r="5" ht="29" customHeight="1" s="62">
      <c r="A5" s="70" t="n"/>
      <c r="B5" s="7" t="inlineStr">
        <is>
          <t>WACC / Discount rate</t>
        </is>
      </c>
      <c r="C5" s="29" t="n">
        <v>0.1</v>
      </c>
      <c r="D5" s="30" t="n"/>
      <c r="E5" s="30" t="n"/>
      <c r="F5" s="30" t="n"/>
      <c r="G5" s="30" t="n"/>
      <c r="H5" s="70" t="n"/>
      <c r="I5" s="31" t="inlineStr">
        <is>
          <t>Key Outputs</t>
        </is>
      </c>
      <c r="J5" s="32" t="n"/>
      <c r="K5" s="32" t="n"/>
      <c r="L5" s="32" t="n"/>
      <c r="M5" s="32" t="n"/>
      <c r="N5" s="32" t="n"/>
    </row>
    <row r="6">
      <c r="A6" s="70" t="n"/>
      <c r="B6" s="7" t="inlineStr">
        <is>
          <t>XIRR Guess</t>
        </is>
      </c>
      <c r="C6" s="29" t="n">
        <v>0.1</v>
      </c>
      <c r="D6" s="30" t="n"/>
      <c r="E6" s="30" t="n"/>
      <c r="F6" s="30" t="n"/>
      <c r="G6" s="30" t="n"/>
      <c r="H6" s="70" t="n"/>
      <c r="I6" s="5" t="inlineStr">
        <is>
          <t>Metric</t>
        </is>
      </c>
      <c r="J6" s="5" t="inlineStr">
        <is>
          <t>Value</t>
        </is>
      </c>
      <c r="K6" s="32" t="n"/>
      <c r="L6" s="32" t="n"/>
      <c r="M6" s="32" t="n"/>
      <c r="N6" s="32" t="n"/>
    </row>
    <row r="7" ht="29" customHeight="1" s="62">
      <c r="A7" s="70" t="n"/>
      <c r="B7" s="7" t="inlineStr">
        <is>
          <t>Inflation rate (annual)</t>
        </is>
      </c>
      <c r="C7" s="29" t="n">
        <v>0.05</v>
      </c>
      <c r="D7" s="30" t="n"/>
      <c r="E7" s="30" t="n"/>
      <c r="F7" s="30" t="n"/>
      <c r="G7" s="30" t="n"/>
      <c r="H7" s="70" t="n"/>
      <c r="I7" s="6" t="inlineStr">
        <is>
          <t>XNPV (₹)</t>
        </is>
      </c>
      <c r="J7" s="74">
        <f>IFERROR(XNPV($C$5,$D$14:$D$33,$C$14:$C$33),"")</f>
        <v/>
      </c>
      <c r="K7" s="32" t="n"/>
      <c r="L7" s="32" t="n"/>
      <c r="M7" s="32" t="n"/>
      <c r="N7" s="32" t="n"/>
    </row>
    <row r="8">
      <c r="A8" s="70" t="n"/>
      <c r="B8" s="30" t="n"/>
      <c r="C8" s="30" t="n"/>
      <c r="D8" s="30" t="n"/>
      <c r="E8" s="30" t="n"/>
      <c r="F8" s="30" t="n"/>
      <c r="G8" s="30" t="n"/>
      <c r="H8" s="70" t="n"/>
      <c r="I8" s="6" t="inlineStr">
        <is>
          <t>XIRR (%)</t>
        </is>
      </c>
      <c r="J8" s="35">
        <f>IFERROR(XIRR($D$14:$D$33,$C$14:$C$33,$C$6),"")</f>
        <v/>
      </c>
      <c r="K8" s="32" t="n"/>
      <c r="L8" s="32" t="n"/>
      <c r="M8" s="32" t="n"/>
      <c r="N8" s="32" t="n"/>
    </row>
    <row r="9">
      <c r="A9" s="70" t="n"/>
      <c r="B9" s="30" t="n"/>
      <c r="C9" s="30" t="n"/>
      <c r="D9" s="30" t="n"/>
      <c r="E9" s="30" t="n"/>
      <c r="F9" s="30" t="n"/>
      <c r="G9" s="30" t="n"/>
      <c r="H9" s="70" t="n"/>
      <c r="I9" s="6" t="inlineStr">
        <is>
          <t>Decision</t>
        </is>
      </c>
      <c r="J9" s="9">
        <f>IF(J7="","",IF(J7&gt;0,"ACCEPT (XNPV&gt;0)","REJECT (XNPV≤0)"))</f>
        <v/>
      </c>
      <c r="K9" s="32" t="n"/>
      <c r="L9" s="32" t="n"/>
      <c r="M9" s="32" t="n"/>
      <c r="N9" s="32" t="n"/>
    </row>
    <row r="10">
      <c r="A10" s="70" t="n"/>
      <c r="B10" s="30" t="n"/>
      <c r="C10" s="30" t="n"/>
      <c r="D10" s="30" t="n"/>
      <c r="E10" s="30" t="n"/>
      <c r="F10" s="30" t="n"/>
      <c r="G10" s="30" t="n"/>
      <c r="H10" s="70" t="n"/>
      <c r="I10" s="32" t="n"/>
      <c r="J10" s="32" t="n"/>
      <c r="K10" s="32" t="n"/>
      <c r="L10" s="32" t="n"/>
      <c r="M10" s="32" t="n"/>
      <c r="N10" s="32" t="n"/>
    </row>
    <row r="11" ht="15.5" customHeight="1" s="62">
      <c r="A11" s="70" t="n"/>
      <c r="B11" s="30" t="n"/>
      <c r="C11" s="30" t="n"/>
      <c r="D11" s="30" t="n"/>
      <c r="E11" s="30" t="n"/>
      <c r="F11" s="30" t="n"/>
      <c r="G11" s="30" t="n"/>
      <c r="H11" s="70" t="n"/>
      <c r="I11" s="36" t="inlineStr">
        <is>
          <t>Checks</t>
        </is>
      </c>
      <c r="J11" s="37" t="n"/>
      <c r="K11" s="37" t="n"/>
      <c r="L11" s="32" t="n"/>
      <c r="M11" s="32" t="n"/>
      <c r="N11" s="32" t="n"/>
    </row>
    <row r="12" ht="62" customHeight="1" s="62">
      <c r="A12" s="70" t="n"/>
      <c r="B12" s="11" t="inlineStr">
        <is>
          <t>Cash Flow Schedule (enter dates &amp; cash flows)</t>
        </is>
      </c>
      <c r="C12" s="30" t="n"/>
      <c r="D12" s="30" t="n"/>
      <c r="E12" s="30" t="n"/>
      <c r="F12" s="30" t="n"/>
      <c r="G12" s="30" t="n"/>
      <c r="H12" s="70" t="n"/>
      <c r="I12" s="12" t="inlineStr">
        <is>
          <t>Check</t>
        </is>
      </c>
      <c r="J12" s="12" t="inlineStr">
        <is>
          <t>Status</t>
        </is>
      </c>
      <c r="K12" s="37" t="n"/>
      <c r="L12" s="32" t="n"/>
      <c r="M12" s="32" t="n"/>
      <c r="N12" s="32" t="n"/>
    </row>
    <row r="13">
      <c r="A13" s="70" t="n"/>
      <c r="B13" s="13" t="inlineStr">
        <is>
          <t>#</t>
        </is>
      </c>
      <c r="C13" s="13" t="inlineStr">
        <is>
          <t>Date</t>
        </is>
      </c>
      <c r="D13" s="13" t="inlineStr">
        <is>
          <t>Cash Flow (₹)</t>
        </is>
      </c>
      <c r="E13" s="13" t="inlineStr">
        <is>
          <t>Tag/Notes</t>
        </is>
      </c>
      <c r="F13" s="30" t="n"/>
      <c r="G13" s="30" t="n"/>
      <c r="H13" s="70" t="n"/>
      <c r="I13" s="10" t="inlineStr">
        <is>
          <t>Dates increasing?</t>
        </is>
      </c>
      <c r="J13" s="10">
        <f>IF(COUNT($C$14:$C$33)&lt;2,"",IF(SUMPRODUCT(--($C$15:$C$33&lt;&gt;""),--($C$14:$C$32&lt;&gt;""),--($C$15:$C$33&lt;$C$14:$C$32))=0,"OK","Review"))</f>
        <v/>
      </c>
      <c r="K13" s="37" t="n"/>
      <c r="L13" s="32" t="n"/>
      <c r="M13" s="32" t="n"/>
      <c r="N13" s="32" t="n"/>
    </row>
    <row r="14" ht="29" customHeight="1" s="62">
      <c r="A14" s="70" t="n"/>
      <c r="B14" s="38" t="n">
        <v>1</v>
      </c>
      <c r="C14" s="33" t="n">
        <v>44228</v>
      </c>
      <c r="D14" s="75" t="n">
        <v>-20000</v>
      </c>
      <c r="E14" s="30" t="n"/>
      <c r="F14" s="30" t="n"/>
      <c r="G14" s="30" t="n"/>
      <c r="H14" s="70" t="n"/>
      <c r="I14" s="10" t="inlineStr">
        <is>
          <t>Has at least one (-) and one (+) CF?</t>
        </is>
      </c>
      <c r="J14" s="10">
        <f>IF(AND(COUNTIF($D$14:$D$33,"&lt;0")&gt;=1,COUNTIF($D$14:$D$33,"&gt;0")&gt;=1),"OK","Review")</f>
        <v/>
      </c>
      <c r="K14" s="37" t="n"/>
      <c r="L14" s="41" t="n"/>
      <c r="M14" s="32" t="n"/>
      <c r="N14" s="32" t="n"/>
    </row>
    <row r="15" ht="29" customHeight="1" s="62">
      <c r="A15" s="70" t="n"/>
      <c r="B15" s="38" t="n">
        <v>2</v>
      </c>
      <c r="C15" s="33" t="n">
        <v>44348</v>
      </c>
      <c r="D15" s="75" t="n">
        <v>5000</v>
      </c>
      <c r="E15" s="30" t="n"/>
      <c r="F15" s="30" t="n"/>
      <c r="G15" s="30" t="n"/>
      <c r="H15" s="70" t="n"/>
      <c r="I15" s="10" t="inlineStr">
        <is>
          <t>Multiple sign changes warning</t>
        </is>
      </c>
      <c r="J15" s="10">
        <f>IF(OR(COUNTIF($D$14:$D$33,"&lt;0")=0,COUNTIF($D$14:$D$33,"&gt;0")=0),"",IF(SUMPRODUCT(--(($D$14:$D$32*$D$15:$D$33)&lt;0))&gt;1,"Warning","OK"))</f>
        <v/>
      </c>
      <c r="K15" s="37" t="n"/>
      <c r="L15" s="41" t="n"/>
      <c r="M15" s="32" t="n"/>
      <c r="N15" s="32" t="n"/>
    </row>
    <row r="16" ht="29" customHeight="1" s="62">
      <c r="A16" s="70" t="n"/>
      <c r="B16" s="38" t="n">
        <v>3</v>
      </c>
      <c r="C16" s="33" t="n">
        <v>44501</v>
      </c>
      <c r="D16" s="75" t="n">
        <v>6000</v>
      </c>
      <c r="E16" s="30" t="n"/>
      <c r="F16" s="30" t="n"/>
      <c r="G16" s="30" t="n"/>
      <c r="H16" s="70" t="n"/>
      <c r="I16" s="10" t="inlineStr">
        <is>
          <t>XNPV vs PV-sum consistency</t>
        </is>
      </c>
      <c r="J16" s="10">
        <f>IF(J7="","",IF(ABS(J7-SUM($H$38:$H$57))&lt;1,"OK","Review"))</f>
        <v/>
      </c>
      <c r="K16" s="37" t="n"/>
      <c r="L16" s="41" t="n"/>
      <c r="M16" s="32" t="n"/>
      <c r="N16" s="32" t="n"/>
    </row>
    <row r="17">
      <c r="A17" s="70" t="n"/>
      <c r="B17" s="38" t="n">
        <v>4</v>
      </c>
      <c r="C17" s="33" t="n">
        <v>44682</v>
      </c>
      <c r="D17" s="75" t="n">
        <v>8000</v>
      </c>
      <c r="E17" s="30" t="n"/>
      <c r="F17" s="30" t="n"/>
      <c r="G17" s="30" t="n"/>
      <c r="H17" s="70" t="n"/>
      <c r="I17" s="37" t="n"/>
      <c r="J17" s="37" t="n"/>
      <c r="K17" s="37" t="n"/>
      <c r="L17" s="41" t="n"/>
      <c r="M17" s="32" t="n"/>
      <c r="N17" s="32" t="n"/>
    </row>
    <row r="18">
      <c r="A18" s="70" t="n"/>
      <c r="B18" s="38" t="n">
        <v>5</v>
      </c>
      <c r="C18" s="33" t="n">
        <v>44774</v>
      </c>
      <c r="D18" s="75" t="n">
        <v>4500</v>
      </c>
      <c r="E18" s="30" t="n"/>
      <c r="F18" s="30" t="n"/>
      <c r="G18" s="30" t="n"/>
      <c r="H18" s="70" t="n"/>
      <c r="I18" s="70" t="n"/>
      <c r="J18" s="70" t="n"/>
      <c r="K18" s="70" t="n"/>
      <c r="L18" s="26" t="n"/>
      <c r="M18" s="70" t="n"/>
      <c r="N18" s="70" t="n"/>
    </row>
    <row r="19" ht="15.5" customHeight="1" s="62">
      <c r="A19" s="70" t="n"/>
      <c r="B19" s="38" t="n">
        <v>6</v>
      </c>
      <c r="C19" s="33" t="n">
        <v>44896</v>
      </c>
      <c r="D19" s="75" t="n">
        <v>3000</v>
      </c>
      <c r="E19" s="30" t="n"/>
      <c r="F19" s="30" t="n"/>
      <c r="G19" s="30" t="n"/>
      <c r="H19" s="70" t="n"/>
      <c r="I19" s="8" t="inlineStr">
        <is>
          <t>Nominal vs Real</t>
        </is>
      </c>
      <c r="J19" s="32" t="n"/>
      <c r="K19" s="32" t="n"/>
      <c r="L19" s="41" t="n"/>
      <c r="M19" s="32" t="n"/>
      <c r="N19" s="32" t="n"/>
    </row>
    <row r="20">
      <c r="A20" s="70" t="n"/>
      <c r="B20" s="38" t="n">
        <v>7</v>
      </c>
      <c r="C20" s="33" t="n"/>
      <c r="D20" s="75" t="n"/>
      <c r="E20" s="30" t="n"/>
      <c r="F20" s="30" t="n"/>
      <c r="G20" s="30" t="n"/>
      <c r="H20" s="70" t="n"/>
      <c r="I20" s="5" t="inlineStr">
        <is>
          <t>Metric</t>
        </is>
      </c>
      <c r="J20" s="5" t="inlineStr">
        <is>
          <t>Value</t>
        </is>
      </c>
      <c r="K20" s="32" t="n"/>
      <c r="L20" s="41" t="n"/>
      <c r="M20" s="32" t="n"/>
      <c r="N20" s="32" t="n"/>
    </row>
    <row r="21">
      <c r="A21" s="70" t="n"/>
      <c r="B21" s="38" t="n">
        <v>8</v>
      </c>
      <c r="C21" s="33" t="n"/>
      <c r="D21" s="75" t="n"/>
      <c r="E21" s="30" t="n"/>
      <c r="F21" s="30" t="n"/>
      <c r="G21" s="30" t="n"/>
      <c r="H21" s="70" t="n"/>
      <c r="I21" s="6" t="inlineStr">
        <is>
          <t>Nominal XNPV (₹)</t>
        </is>
      </c>
      <c r="J21" s="74">
        <f>J7</f>
        <v/>
      </c>
      <c r="K21" s="32" t="n"/>
      <c r="L21" s="41" t="n"/>
      <c r="M21" s="32" t="n"/>
      <c r="N21" s="32" t="n"/>
    </row>
    <row r="22">
      <c r="A22" s="70" t="n"/>
      <c r="B22" s="38" t="n">
        <v>9</v>
      </c>
      <c r="C22" s="33" t="n"/>
      <c r="D22" s="75" t="n"/>
      <c r="E22" s="30" t="n"/>
      <c r="F22" s="30" t="n"/>
      <c r="G22" s="30" t="n"/>
      <c r="H22" s="70" t="n"/>
      <c r="I22" s="6" t="inlineStr">
        <is>
          <t>Real discount rate</t>
        </is>
      </c>
      <c r="J22" s="35">
        <f>(1+$C$5)/(1+$C$7)-1</f>
        <v/>
      </c>
      <c r="K22" s="32" t="n"/>
      <c r="L22" s="41" t="n"/>
      <c r="M22" s="32" t="n"/>
      <c r="N22" s="32" t="n"/>
    </row>
    <row r="23">
      <c r="A23" s="70" t="n"/>
      <c r="B23" s="38" t="n">
        <v>10</v>
      </c>
      <c r="C23" s="33" t="n"/>
      <c r="D23" s="75" t="n"/>
      <c r="E23" s="30" t="n"/>
      <c r="F23" s="30" t="n"/>
      <c r="G23" s="30" t="n"/>
      <c r="H23" s="70" t="n"/>
      <c r="I23" s="6" t="inlineStr">
        <is>
          <t>Real XNPV (₹)</t>
        </is>
      </c>
      <c r="J23" s="74">
        <f>IFERROR(SUMPRODUCT((($D$14:$D$33)/(1+$C$7)^((($C$14:$C$33-$C$14)/365)))/(1+$J$22)^((($C$14:$C$33-$C$14)/365))),"")</f>
        <v/>
      </c>
      <c r="K23" s="32" t="n"/>
      <c r="L23" s="41" t="n"/>
      <c r="M23" s="32" t="n"/>
      <c r="N23" s="32" t="n"/>
    </row>
    <row r="24">
      <c r="A24" s="70" t="n"/>
      <c r="B24" s="38" t="n">
        <v>11</v>
      </c>
      <c r="C24" s="33" t="n"/>
      <c r="D24" s="75" t="n"/>
      <c r="E24" s="30" t="n"/>
      <c r="F24" s="30" t="n"/>
      <c r="G24" s="30" t="n"/>
      <c r="H24" s="70" t="n"/>
      <c r="I24" s="32" t="n"/>
      <c r="J24" s="32" t="n"/>
      <c r="K24" s="32" t="n"/>
      <c r="L24" s="41" t="n"/>
      <c r="M24" s="32" t="n"/>
      <c r="N24" s="32" t="n"/>
    </row>
    <row r="25">
      <c r="A25" s="70" t="n"/>
      <c r="B25" s="38" t="n">
        <v>12</v>
      </c>
      <c r="C25" s="33" t="n"/>
      <c r="D25" s="75" t="n"/>
      <c r="E25" s="30" t="n"/>
      <c r="F25" s="30" t="n"/>
      <c r="G25" s="30" t="n"/>
      <c r="H25" s="70" t="n"/>
      <c r="I25" s="32" t="n"/>
      <c r="J25" s="32" t="n"/>
      <c r="K25" s="32" t="n"/>
      <c r="L25" s="41" t="n"/>
      <c r="M25" s="32" t="n"/>
      <c r="N25" s="32" t="n"/>
    </row>
    <row r="26">
      <c r="A26" s="70" t="n"/>
      <c r="B26" s="38" t="n">
        <v>13</v>
      </c>
      <c r="C26" s="33" t="n"/>
      <c r="D26" s="75" t="n"/>
      <c r="E26" s="30" t="n"/>
      <c r="F26" s="30" t="n"/>
      <c r="G26" s="30" t="n"/>
      <c r="H26" s="70" t="n"/>
      <c r="I26" s="70" t="n"/>
      <c r="J26" s="70" t="n"/>
      <c r="K26" s="70" t="n"/>
      <c r="L26" s="26" t="n"/>
      <c r="M26" s="70" t="n"/>
      <c r="N26" s="70" t="n"/>
    </row>
    <row r="27">
      <c r="A27" s="70" t="n"/>
      <c r="B27" s="38" t="n">
        <v>14</v>
      </c>
      <c r="C27" s="33" t="n"/>
      <c r="D27" s="75" t="n"/>
      <c r="E27" s="30" t="n"/>
      <c r="F27" s="30" t="n"/>
      <c r="G27" s="30" t="n"/>
      <c r="H27" s="70" t="n"/>
      <c r="I27" s="70" t="n"/>
      <c r="J27" s="70" t="n"/>
      <c r="K27" s="70" t="n"/>
      <c r="L27" s="26" t="n"/>
      <c r="M27" s="70" t="n"/>
      <c r="N27" s="70" t="n"/>
    </row>
    <row r="28">
      <c r="A28" s="70" t="n"/>
      <c r="B28" s="38" t="n">
        <v>15</v>
      </c>
      <c r="C28" s="33" t="n"/>
      <c r="D28" s="75" t="n"/>
      <c r="E28" s="30" t="n"/>
      <c r="F28" s="30" t="n"/>
      <c r="G28" s="30" t="n"/>
      <c r="H28" s="70" t="n"/>
      <c r="I28" s="70" t="n"/>
      <c r="J28" s="70" t="n"/>
      <c r="K28" s="70" t="n"/>
      <c r="L28" s="26" t="n"/>
      <c r="M28" s="70" t="n"/>
      <c r="N28" s="70" t="n"/>
    </row>
    <row r="29">
      <c r="A29" s="70" t="n"/>
      <c r="B29" s="38" t="n">
        <v>16</v>
      </c>
      <c r="C29" s="33" t="n"/>
      <c r="D29" s="75" t="n"/>
      <c r="E29" s="30" t="n"/>
      <c r="F29" s="30" t="n"/>
      <c r="G29" s="30" t="n"/>
      <c r="H29" s="70" t="n"/>
      <c r="I29" s="70" t="n"/>
      <c r="J29" s="70" t="n"/>
      <c r="K29" s="70" t="n"/>
      <c r="L29" s="26" t="n"/>
      <c r="M29" s="70" t="n"/>
      <c r="N29" s="70" t="n"/>
    </row>
    <row r="30">
      <c r="A30" s="70" t="n"/>
      <c r="B30" s="38" t="n">
        <v>17</v>
      </c>
      <c r="C30" s="33" t="n"/>
      <c r="D30" s="75" t="n"/>
      <c r="E30" s="30" t="n"/>
      <c r="F30" s="30" t="n"/>
      <c r="G30" s="30" t="n"/>
      <c r="H30" s="70" t="n"/>
      <c r="I30" s="70" t="n"/>
      <c r="J30" s="70" t="n"/>
      <c r="K30" s="70" t="n"/>
      <c r="L30" s="26" t="n"/>
      <c r="M30" s="70" t="n"/>
      <c r="N30" s="70" t="n"/>
    </row>
    <row r="31">
      <c r="A31" s="70" t="n"/>
      <c r="B31" s="38" t="n">
        <v>18</v>
      </c>
      <c r="C31" s="33" t="n"/>
      <c r="D31" s="75" t="n"/>
      <c r="E31" s="30" t="n"/>
      <c r="F31" s="30" t="n"/>
      <c r="G31" s="30" t="n"/>
      <c r="H31" s="70" t="n"/>
      <c r="I31" s="70" t="n"/>
      <c r="J31" s="70" t="n"/>
      <c r="K31" s="70" t="n"/>
      <c r="L31" s="26" t="n"/>
      <c r="M31" s="70" t="n"/>
      <c r="N31" s="70" t="n"/>
    </row>
    <row r="32">
      <c r="A32" s="70" t="n"/>
      <c r="B32" s="38" t="n">
        <v>19</v>
      </c>
      <c r="C32" s="33" t="n"/>
      <c r="D32" s="75" t="n"/>
      <c r="E32" s="30" t="n"/>
      <c r="F32" s="30" t="n"/>
      <c r="G32" s="30" t="n"/>
      <c r="H32" s="70" t="n"/>
      <c r="I32" s="70" t="n"/>
      <c r="J32" s="70" t="n"/>
      <c r="K32" s="70" t="n"/>
      <c r="L32" s="26" t="n"/>
      <c r="M32" s="70" t="n"/>
      <c r="N32" s="70" t="n"/>
    </row>
    <row r="33">
      <c r="A33" s="70" t="n"/>
      <c r="B33" s="38" t="n">
        <v>20</v>
      </c>
      <c r="C33" s="33" t="n"/>
      <c r="D33" s="75" t="n"/>
      <c r="E33" s="30" t="n"/>
      <c r="F33" s="30" t="n"/>
      <c r="G33" s="30" t="n"/>
      <c r="H33" s="70" t="n"/>
      <c r="I33" s="70" t="n"/>
      <c r="J33" s="70" t="n"/>
      <c r="K33" s="70" t="n"/>
      <c r="L33" s="26" t="n"/>
      <c r="M33" s="70" t="n"/>
      <c r="N33" s="70" t="n"/>
    </row>
    <row r="34">
      <c r="A34" s="70" t="n"/>
      <c r="B34" s="70" t="n"/>
      <c r="C34" s="70" t="n"/>
      <c r="D34" s="70" t="n"/>
      <c r="E34" s="70" t="n"/>
      <c r="F34" s="70" t="n"/>
      <c r="G34" s="70" t="n"/>
      <c r="H34" s="70" t="n"/>
      <c r="I34" s="70" t="n"/>
      <c r="J34" s="70" t="n"/>
      <c r="K34" s="70" t="n"/>
      <c r="L34" s="70" t="n"/>
      <c r="M34" s="70" t="n"/>
      <c r="N34" s="70" t="n"/>
    </row>
    <row r="35">
      <c r="A35" s="70" t="n"/>
      <c r="B35" s="64" t="inlineStr">
        <is>
          <t>CALCULATIONS</t>
        </is>
      </c>
      <c r="C35" s="72" t="n"/>
      <c r="D35" s="72" t="n"/>
      <c r="E35" s="72" t="n"/>
      <c r="F35" s="72" t="n"/>
      <c r="G35" s="73" t="n"/>
      <c r="H35" s="39" t="n"/>
      <c r="I35" s="39" t="n"/>
      <c r="J35" s="70" t="n"/>
      <c r="K35" s="70" t="n"/>
      <c r="L35" s="70" t="n"/>
      <c r="M35" s="70" t="n"/>
      <c r="N35" s="70" t="n"/>
    </row>
    <row r="36" ht="58" customHeight="1" s="62">
      <c r="A36" s="70" t="n"/>
      <c r="B36" s="20" t="inlineStr">
        <is>
          <t>PV engine (base date = first entered date in the schedule, row 14)</t>
        </is>
      </c>
      <c r="C36" s="39" t="n"/>
      <c r="D36" s="39" t="n"/>
      <c r="E36" s="39" t="n"/>
      <c r="F36" s="39" t="n"/>
      <c r="G36" s="39" t="n"/>
      <c r="H36" s="39" t="n"/>
      <c r="I36" s="39" t="n"/>
      <c r="J36" s="70" t="n"/>
      <c r="K36" s="70" t="n"/>
      <c r="L36" s="70" t="n"/>
      <c r="M36" s="70" t="n"/>
      <c r="N36" s="70" t="n"/>
    </row>
    <row r="37" ht="58" customHeight="1" s="62">
      <c r="A37" s="70" t="n"/>
      <c r="B37" s="18" t="inlineStr">
        <is>
          <t>#</t>
        </is>
      </c>
      <c r="C37" s="18" t="inlineStr">
        <is>
          <t>Date</t>
        </is>
      </c>
      <c r="D37" s="18" t="inlineStr">
        <is>
          <t>CF (₹)</t>
        </is>
      </c>
      <c r="E37" s="18" t="inlineStr">
        <is>
          <t>Days</t>
        </is>
      </c>
      <c r="F37" s="18" t="inlineStr">
        <is>
          <t>t (yrs)</t>
        </is>
      </c>
      <c r="G37" s="18" t="inlineStr">
        <is>
          <t>Discount Factor</t>
        </is>
      </c>
      <c r="H37" s="18" t="inlineStr">
        <is>
          <t>PV (₹)</t>
        </is>
      </c>
      <c r="I37" s="18" t="inlineStr">
        <is>
          <t>Cum PV (₹)</t>
        </is>
      </c>
      <c r="J37" s="70" t="n"/>
      <c r="K37" s="70" t="n"/>
      <c r="L37" s="70" t="n"/>
      <c r="M37" s="70" t="n"/>
      <c r="N37" s="70" t="n"/>
    </row>
    <row r="38">
      <c r="A38" s="70" t="n"/>
      <c r="B38" s="19">
        <f>B14</f>
        <v/>
      </c>
      <c r="C38" s="19">
        <f>C14</f>
        <v/>
      </c>
      <c r="D38" s="19">
        <f>D14</f>
        <v/>
      </c>
      <c r="E38" s="19">
        <f>IF(C14="","",C14-$C$14)</f>
        <v/>
      </c>
      <c r="F38" s="78">
        <f>IF(E38="","",E38/365)</f>
        <v/>
      </c>
      <c r="G38" s="79">
        <f>IF(F38="","",(1+$C$5)^F38)</f>
        <v/>
      </c>
      <c r="H38" s="80">
        <f>IF(OR(C14="",D14=""),"",D14/G38)</f>
        <v/>
      </c>
      <c r="I38" s="80">
        <f>IF(H38="","",SUM($H$38:H38))</f>
        <v/>
      </c>
      <c r="J38" s="70" t="n"/>
      <c r="K38" s="70" t="n"/>
      <c r="L38" s="70" t="n"/>
      <c r="M38" s="70" t="n"/>
      <c r="N38" s="70" t="n"/>
    </row>
    <row r="39">
      <c r="A39" s="70" t="n"/>
      <c r="B39" s="19">
        <f>B15</f>
        <v/>
      </c>
      <c r="C39" s="19">
        <f>C15</f>
        <v/>
      </c>
      <c r="D39" s="19">
        <f>D15</f>
        <v/>
      </c>
      <c r="E39" s="19">
        <f>IF(C15="","",C15-$C$14)</f>
        <v/>
      </c>
      <c r="F39" s="78">
        <f>IF(E39="","",E39/365)</f>
        <v/>
      </c>
      <c r="G39" s="79">
        <f>IF(F39="","",(1+$C$5)^F39)</f>
        <v/>
      </c>
      <c r="H39" s="80">
        <f>IF(OR(C15="",D15=""),"",D15/G39)</f>
        <v/>
      </c>
      <c r="I39" s="80">
        <f>IF(H39="","",SUM($H$38:H39))</f>
        <v/>
      </c>
      <c r="J39" s="70" t="n"/>
      <c r="K39" s="70" t="n"/>
      <c r="L39" s="70" t="n"/>
      <c r="M39" s="70" t="n"/>
      <c r="N39" s="70" t="n"/>
    </row>
    <row r="40">
      <c r="A40" s="70" t="n"/>
      <c r="B40" s="19">
        <f>B16</f>
        <v/>
      </c>
      <c r="C40" s="19">
        <f>C16</f>
        <v/>
      </c>
      <c r="D40" s="19">
        <f>D16</f>
        <v/>
      </c>
      <c r="E40" s="19">
        <f>IF(C16="","",C16-$C$14)</f>
        <v/>
      </c>
      <c r="F40" s="78">
        <f>IF(E40="","",E40/365)</f>
        <v/>
      </c>
      <c r="G40" s="79">
        <f>IF(F40="","",(1+$C$5)^F40)</f>
        <v/>
      </c>
      <c r="H40" s="80">
        <f>IF(OR(C16="",D16=""),"",D16/G40)</f>
        <v/>
      </c>
      <c r="I40" s="80">
        <f>IF(H40="","",SUM($H$38:H40))</f>
        <v/>
      </c>
      <c r="J40" s="70" t="n"/>
      <c r="K40" s="70" t="n"/>
      <c r="L40" s="70" t="n"/>
      <c r="M40" s="70" t="n"/>
      <c r="N40" s="70" t="n"/>
    </row>
    <row r="41">
      <c r="A41" s="70" t="n"/>
      <c r="B41" s="19">
        <f>B17</f>
        <v/>
      </c>
      <c r="C41" s="19">
        <f>C17</f>
        <v/>
      </c>
      <c r="D41" s="19">
        <f>D17</f>
        <v/>
      </c>
      <c r="E41" s="19">
        <f>IF(C17="","",C17-$C$14)</f>
        <v/>
      </c>
      <c r="F41" s="78">
        <f>IF(E41="","",E41/365)</f>
        <v/>
      </c>
      <c r="G41" s="79">
        <f>IF(F41="","",(1+$C$5)^F41)</f>
        <v/>
      </c>
      <c r="H41" s="80">
        <f>IF(OR(C17="",D17=""),"",D17/G41)</f>
        <v/>
      </c>
      <c r="I41" s="80">
        <f>IF(H41="","",SUM($H$38:H41))</f>
        <v/>
      </c>
      <c r="J41" s="70" t="n"/>
      <c r="K41" s="70" t="n"/>
      <c r="L41" s="70" t="n"/>
      <c r="M41" s="70" t="n"/>
      <c r="N41" s="70" t="n"/>
    </row>
    <row r="42">
      <c r="A42" s="70" t="n"/>
      <c r="B42" s="19">
        <f>B18</f>
        <v/>
      </c>
      <c r="C42" s="19">
        <f>C18</f>
        <v/>
      </c>
      <c r="D42" s="19">
        <f>D18</f>
        <v/>
      </c>
      <c r="E42" s="19">
        <f>IF(C18="","",C18-$C$14)</f>
        <v/>
      </c>
      <c r="F42" s="78">
        <f>IF(E42="","",E42/365)</f>
        <v/>
      </c>
      <c r="G42" s="79">
        <f>IF(F42="","",(1+$C$5)^F42)</f>
        <v/>
      </c>
      <c r="H42" s="80">
        <f>IF(OR(C18="",D18=""),"",D18/G42)</f>
        <v/>
      </c>
      <c r="I42" s="80">
        <f>IF(H42="","",SUM($H$38:H42))</f>
        <v/>
      </c>
      <c r="J42" s="70" t="n"/>
      <c r="K42" s="70" t="n"/>
      <c r="L42" s="70" t="n"/>
      <c r="M42" s="70" t="n"/>
      <c r="N42" s="70" t="n"/>
    </row>
    <row r="43">
      <c r="A43" s="70" t="n"/>
      <c r="B43" s="19">
        <f>B19</f>
        <v/>
      </c>
      <c r="C43" s="19">
        <f>C19</f>
        <v/>
      </c>
      <c r="D43" s="19">
        <f>D19</f>
        <v/>
      </c>
      <c r="E43" s="19">
        <f>IF(C19="","",C19-$C$14)</f>
        <v/>
      </c>
      <c r="F43" s="78">
        <f>IF(E43="","",E43/365)</f>
        <v/>
      </c>
      <c r="G43" s="79">
        <f>IF(F43="","",(1+$C$5)^F43)</f>
        <v/>
      </c>
      <c r="H43" s="80">
        <f>IF(OR(C19="",D19=""),"",D19/G43)</f>
        <v/>
      </c>
      <c r="I43" s="80">
        <f>IF(H43="","",SUM($H$38:H43))</f>
        <v/>
      </c>
      <c r="J43" s="70" t="n"/>
      <c r="K43" s="70" t="n"/>
      <c r="L43" s="70" t="n"/>
      <c r="M43" s="70" t="n"/>
      <c r="N43" s="70" t="n"/>
    </row>
    <row r="44">
      <c r="A44" s="70" t="n"/>
      <c r="B44" s="19">
        <f>B20</f>
        <v/>
      </c>
      <c r="C44" s="19">
        <f>C20</f>
        <v/>
      </c>
      <c r="D44" s="19">
        <f>D20</f>
        <v/>
      </c>
      <c r="E44" s="19">
        <f>IF(C20="","",C20-$C$14)</f>
        <v/>
      </c>
      <c r="F44" s="78">
        <f>IF(E44="","",E44/365)</f>
        <v/>
      </c>
      <c r="G44" s="79">
        <f>IF(F44="","",(1+$C$5)^F44)</f>
        <v/>
      </c>
      <c r="H44" s="80">
        <f>IF(OR(C20="",D20=""),"",D20/G44)</f>
        <v/>
      </c>
      <c r="I44" s="80">
        <f>IF(H44="","",SUM($H$38:H44))</f>
        <v/>
      </c>
      <c r="J44" s="70" t="n"/>
      <c r="K44" s="70" t="n"/>
      <c r="L44" s="70" t="n"/>
      <c r="M44" s="70" t="n"/>
      <c r="N44" s="70" t="n"/>
    </row>
    <row r="45">
      <c r="A45" s="70" t="n"/>
      <c r="B45" s="19">
        <f>B21</f>
        <v/>
      </c>
      <c r="C45" s="19">
        <f>C21</f>
        <v/>
      </c>
      <c r="D45" s="19">
        <f>D21</f>
        <v/>
      </c>
      <c r="E45" s="19">
        <f>IF(C21="","",C21-$C$14)</f>
        <v/>
      </c>
      <c r="F45" s="78">
        <f>IF(E45="","",E45/365)</f>
        <v/>
      </c>
      <c r="G45" s="79">
        <f>IF(F45="","",(1+$C$5)^F45)</f>
        <v/>
      </c>
      <c r="H45" s="80">
        <f>IF(OR(C21="",D21=""),"",D21/G45)</f>
        <v/>
      </c>
      <c r="I45" s="80">
        <f>IF(H45="","",SUM($H$38:H45))</f>
        <v/>
      </c>
      <c r="J45" s="70" t="n"/>
      <c r="K45" s="70" t="n"/>
      <c r="L45" s="70" t="n"/>
      <c r="M45" s="70" t="n"/>
      <c r="N45" s="70" t="n"/>
    </row>
    <row r="46">
      <c r="A46" s="70" t="n"/>
      <c r="B46" s="19">
        <f>B22</f>
        <v/>
      </c>
      <c r="C46" s="19">
        <f>C22</f>
        <v/>
      </c>
      <c r="D46" s="19">
        <f>D22</f>
        <v/>
      </c>
      <c r="E46" s="19">
        <f>IF(C22="","",C22-$C$14)</f>
        <v/>
      </c>
      <c r="F46" s="78">
        <f>IF(E46="","",E46/365)</f>
        <v/>
      </c>
      <c r="G46" s="79">
        <f>IF(F46="","",(1+$C$5)^F46)</f>
        <v/>
      </c>
      <c r="H46" s="80">
        <f>IF(OR(C22="",D22=""),"",D22/G46)</f>
        <v/>
      </c>
      <c r="I46" s="80">
        <f>IF(H46="","",SUM($H$38:H46))</f>
        <v/>
      </c>
      <c r="J46" s="70" t="n"/>
      <c r="K46" s="70" t="n"/>
      <c r="L46" s="70" t="n"/>
      <c r="M46" s="70" t="n"/>
      <c r="N46" s="70" t="n"/>
    </row>
    <row r="47">
      <c r="A47" s="70" t="n"/>
      <c r="B47" s="19">
        <f>B23</f>
        <v/>
      </c>
      <c r="C47" s="19">
        <f>C23</f>
        <v/>
      </c>
      <c r="D47" s="19">
        <f>D23</f>
        <v/>
      </c>
      <c r="E47" s="19">
        <f>IF(C23="","",C23-$C$14)</f>
        <v/>
      </c>
      <c r="F47" s="78">
        <f>IF(E47="","",E47/365)</f>
        <v/>
      </c>
      <c r="G47" s="79">
        <f>IF(F47="","",(1+$C$5)^F47)</f>
        <v/>
      </c>
      <c r="H47" s="80">
        <f>IF(OR(C23="",D23=""),"",D23/G47)</f>
        <v/>
      </c>
      <c r="I47" s="80">
        <f>IF(H47="","",SUM($H$38:H47))</f>
        <v/>
      </c>
      <c r="J47" s="70" t="n"/>
      <c r="K47" s="70" t="n"/>
      <c r="L47" s="70" t="n"/>
      <c r="M47" s="70" t="n"/>
      <c r="N47" s="70" t="n"/>
    </row>
    <row r="48">
      <c r="A48" s="70" t="n"/>
      <c r="B48" s="19">
        <f>B24</f>
        <v/>
      </c>
      <c r="C48" s="19">
        <f>C24</f>
        <v/>
      </c>
      <c r="D48" s="19">
        <f>D24</f>
        <v/>
      </c>
      <c r="E48" s="19">
        <f>IF(C24="","",C24-$C$14)</f>
        <v/>
      </c>
      <c r="F48" s="78">
        <f>IF(E48="","",E48/365)</f>
        <v/>
      </c>
      <c r="G48" s="79">
        <f>IF(F48="","",(1+$C$5)^F48)</f>
        <v/>
      </c>
      <c r="H48" s="80">
        <f>IF(OR(C24="",D24=""),"",D24/G48)</f>
        <v/>
      </c>
      <c r="I48" s="80">
        <f>IF(H48="","",SUM($H$38:H48))</f>
        <v/>
      </c>
      <c r="J48" s="70" t="n"/>
      <c r="K48" s="70" t="n"/>
      <c r="L48" s="70" t="n"/>
      <c r="M48" s="70" t="n"/>
      <c r="N48" s="70" t="n"/>
    </row>
    <row r="49">
      <c r="A49" s="70" t="n"/>
      <c r="B49" s="19">
        <f>B25</f>
        <v/>
      </c>
      <c r="C49" s="19">
        <f>C25</f>
        <v/>
      </c>
      <c r="D49" s="19">
        <f>D25</f>
        <v/>
      </c>
      <c r="E49" s="19">
        <f>IF(C25="","",C25-$C$14)</f>
        <v/>
      </c>
      <c r="F49" s="78">
        <f>IF(E49="","",E49/365)</f>
        <v/>
      </c>
      <c r="G49" s="79">
        <f>IF(F49="","",(1+$C$5)^F49)</f>
        <v/>
      </c>
      <c r="H49" s="80">
        <f>IF(OR(C25="",D25=""),"",D25/G49)</f>
        <v/>
      </c>
      <c r="I49" s="80">
        <f>IF(H49="","",SUM($H$38:H49))</f>
        <v/>
      </c>
      <c r="J49" s="70" t="n"/>
      <c r="K49" s="70" t="n"/>
      <c r="L49" s="70" t="n"/>
      <c r="M49" s="70" t="n"/>
      <c r="N49" s="70" t="n"/>
    </row>
    <row r="50">
      <c r="A50" s="70" t="n"/>
      <c r="B50" s="19">
        <f>B26</f>
        <v/>
      </c>
      <c r="C50" s="19">
        <f>C26</f>
        <v/>
      </c>
      <c r="D50" s="19">
        <f>D26</f>
        <v/>
      </c>
      <c r="E50" s="19">
        <f>IF(C26="","",C26-$C$14)</f>
        <v/>
      </c>
      <c r="F50" s="78">
        <f>IF(E50="","",E50/365)</f>
        <v/>
      </c>
      <c r="G50" s="79">
        <f>IF(F50="","",(1+$C$5)^F50)</f>
        <v/>
      </c>
      <c r="H50" s="80">
        <f>IF(OR(C26="",D26=""),"",D26/G50)</f>
        <v/>
      </c>
      <c r="I50" s="80">
        <f>IF(H50="","",SUM($H$38:H50))</f>
        <v/>
      </c>
      <c r="J50" s="70" t="n"/>
      <c r="K50" s="70" t="n"/>
      <c r="L50" s="70" t="n"/>
      <c r="M50" s="70" t="n"/>
      <c r="N50" s="70" t="n"/>
    </row>
    <row r="51">
      <c r="A51" s="70" t="n"/>
      <c r="B51" s="19">
        <f>B27</f>
        <v/>
      </c>
      <c r="C51" s="19">
        <f>C27</f>
        <v/>
      </c>
      <c r="D51" s="19">
        <f>D27</f>
        <v/>
      </c>
      <c r="E51" s="19">
        <f>IF(C27="","",C27-$C$14)</f>
        <v/>
      </c>
      <c r="F51" s="78">
        <f>IF(E51="","",E51/365)</f>
        <v/>
      </c>
      <c r="G51" s="79">
        <f>IF(F51="","",(1+$C$5)^F51)</f>
        <v/>
      </c>
      <c r="H51" s="80">
        <f>IF(OR(C27="",D27=""),"",D27/G51)</f>
        <v/>
      </c>
      <c r="I51" s="80">
        <f>IF(H51="","",SUM($H$38:H51))</f>
        <v/>
      </c>
      <c r="J51" s="70" t="n"/>
      <c r="K51" s="70" t="n"/>
      <c r="L51" s="70" t="n"/>
      <c r="M51" s="70" t="n"/>
      <c r="N51" s="70" t="n"/>
    </row>
    <row r="52">
      <c r="A52" s="70" t="n"/>
      <c r="B52" s="19">
        <f>B28</f>
        <v/>
      </c>
      <c r="C52" s="19">
        <f>C28</f>
        <v/>
      </c>
      <c r="D52" s="19">
        <f>D28</f>
        <v/>
      </c>
      <c r="E52" s="19">
        <f>IF(C28="","",C28-$C$14)</f>
        <v/>
      </c>
      <c r="F52" s="78">
        <f>IF(E52="","",E52/365)</f>
        <v/>
      </c>
      <c r="G52" s="79">
        <f>IF(F52="","",(1+$C$5)^F52)</f>
        <v/>
      </c>
      <c r="H52" s="80">
        <f>IF(OR(C28="",D28=""),"",D28/G52)</f>
        <v/>
      </c>
      <c r="I52" s="80">
        <f>IF(H52="","",SUM($H$38:H52))</f>
        <v/>
      </c>
      <c r="J52" s="70" t="n"/>
      <c r="K52" s="70" t="n"/>
      <c r="L52" s="70" t="n"/>
      <c r="M52" s="70" t="n"/>
      <c r="N52" s="70" t="n"/>
    </row>
    <row r="53">
      <c r="A53" s="70" t="n"/>
      <c r="B53" s="19">
        <f>B29</f>
        <v/>
      </c>
      <c r="C53" s="19">
        <f>C29</f>
        <v/>
      </c>
      <c r="D53" s="19">
        <f>D29</f>
        <v/>
      </c>
      <c r="E53" s="19">
        <f>IF(C29="","",C29-$C$14)</f>
        <v/>
      </c>
      <c r="F53" s="78">
        <f>IF(E53="","",E53/365)</f>
        <v/>
      </c>
      <c r="G53" s="79">
        <f>IF(F53="","",(1+$C$5)^F53)</f>
        <v/>
      </c>
      <c r="H53" s="80">
        <f>IF(OR(C29="",D29=""),"",D29/G53)</f>
        <v/>
      </c>
      <c r="I53" s="80">
        <f>IF(H53="","",SUM($H$38:H53))</f>
        <v/>
      </c>
      <c r="J53" s="70" t="n"/>
      <c r="K53" s="70" t="n"/>
      <c r="L53" s="70" t="n"/>
      <c r="M53" s="70" t="n"/>
      <c r="N53" s="70" t="n"/>
    </row>
    <row r="54">
      <c r="A54" s="70" t="n"/>
      <c r="B54" s="19">
        <f>B30</f>
        <v/>
      </c>
      <c r="C54" s="19">
        <f>C30</f>
        <v/>
      </c>
      <c r="D54" s="19">
        <f>D30</f>
        <v/>
      </c>
      <c r="E54" s="19">
        <f>IF(C30="","",C30-$C$14)</f>
        <v/>
      </c>
      <c r="F54" s="78">
        <f>IF(E54="","",E54/365)</f>
        <v/>
      </c>
      <c r="G54" s="79">
        <f>IF(F54="","",(1+$C$5)^F54)</f>
        <v/>
      </c>
      <c r="H54" s="80">
        <f>IF(OR(C30="",D30=""),"",D30/G54)</f>
        <v/>
      </c>
      <c r="I54" s="80">
        <f>IF(H54="","",SUM($H$38:H54))</f>
        <v/>
      </c>
      <c r="J54" s="70" t="n"/>
      <c r="K54" s="70" t="n"/>
      <c r="L54" s="70" t="n"/>
      <c r="M54" s="70" t="n"/>
      <c r="N54" s="70" t="n"/>
    </row>
    <row r="55">
      <c r="A55" s="70" t="n"/>
      <c r="B55" s="19">
        <f>B31</f>
        <v/>
      </c>
      <c r="C55" s="19">
        <f>C31</f>
        <v/>
      </c>
      <c r="D55" s="19">
        <f>D31</f>
        <v/>
      </c>
      <c r="E55" s="19">
        <f>IF(C31="","",C31-$C$14)</f>
        <v/>
      </c>
      <c r="F55" s="78">
        <f>IF(E55="","",E55/365)</f>
        <v/>
      </c>
      <c r="G55" s="79">
        <f>IF(F55="","",(1+$C$5)^F55)</f>
        <v/>
      </c>
      <c r="H55" s="80">
        <f>IF(OR(C31="",D31=""),"",D31/G55)</f>
        <v/>
      </c>
      <c r="I55" s="80">
        <f>IF(H55="","",SUM($H$38:H55))</f>
        <v/>
      </c>
      <c r="J55" s="70" t="n"/>
      <c r="K55" s="70" t="n"/>
      <c r="L55" s="70" t="n"/>
      <c r="M55" s="70" t="n"/>
      <c r="N55" s="70" t="n"/>
    </row>
    <row r="56">
      <c r="A56" s="70" t="n"/>
      <c r="B56" s="19">
        <f>B32</f>
        <v/>
      </c>
      <c r="C56" s="19">
        <f>C32</f>
        <v/>
      </c>
      <c r="D56" s="19">
        <f>D32</f>
        <v/>
      </c>
      <c r="E56" s="19">
        <f>IF(C32="","",C32-$C$14)</f>
        <v/>
      </c>
      <c r="F56" s="78">
        <f>IF(E56="","",E56/365)</f>
        <v/>
      </c>
      <c r="G56" s="79">
        <f>IF(F56="","",(1+$C$5)^F56)</f>
        <v/>
      </c>
      <c r="H56" s="80">
        <f>IF(OR(C32="",D32=""),"",D32/G56)</f>
        <v/>
      </c>
      <c r="I56" s="80">
        <f>IF(H56="","",SUM($H$38:H56))</f>
        <v/>
      </c>
      <c r="J56" s="70" t="n"/>
      <c r="K56" s="70" t="n"/>
      <c r="L56" s="70" t="n"/>
      <c r="M56" s="70" t="n"/>
      <c r="N56" s="70" t="n"/>
    </row>
    <row r="57">
      <c r="A57" s="70" t="n"/>
      <c r="B57" s="19">
        <f>B33</f>
        <v/>
      </c>
      <c r="C57" s="19">
        <f>C33</f>
        <v/>
      </c>
      <c r="D57" s="19">
        <f>D33</f>
        <v/>
      </c>
      <c r="E57" s="19">
        <f>IF(C33="","",C33-$C$14)</f>
        <v/>
      </c>
      <c r="F57" s="78">
        <f>IF(E57="","",E57/365)</f>
        <v/>
      </c>
      <c r="G57" s="79">
        <f>IF(F57="","",(1+$C$5)^F57)</f>
        <v/>
      </c>
      <c r="H57" s="80">
        <f>IF(OR(C33="",D33=""),"",D33/G57)</f>
        <v/>
      </c>
      <c r="I57" s="80">
        <f>IF(H57="","",SUM($H$38:H57))</f>
        <v/>
      </c>
      <c r="J57" s="70" t="n"/>
      <c r="K57" s="70" t="n"/>
      <c r="L57" s="70" t="n"/>
      <c r="M57" s="70" t="n"/>
      <c r="N57" s="70" t="n"/>
    </row>
    <row r="58">
      <c r="A58" s="70" t="n"/>
      <c r="B58" s="70" t="n"/>
      <c r="C58" s="70" t="n"/>
      <c r="D58" s="70" t="n"/>
      <c r="E58" s="70" t="n"/>
      <c r="F58" s="70" t="n"/>
      <c r="G58" s="70" t="n"/>
      <c r="H58" s="70" t="n"/>
      <c r="I58" s="70" t="n"/>
      <c r="J58" s="70" t="n"/>
      <c r="K58" s="70" t="n"/>
      <c r="L58" s="70" t="n"/>
      <c r="M58" s="70" t="n"/>
      <c r="N58" s="70" t="n"/>
    </row>
    <row r="59">
      <c r="A59" s="70" t="n"/>
      <c r="B59" s="70" t="n"/>
      <c r="C59" s="70" t="n"/>
      <c r="D59" s="70" t="n"/>
      <c r="E59" s="70" t="n"/>
      <c r="F59" s="70" t="n"/>
      <c r="G59" s="70" t="n"/>
      <c r="H59" s="70" t="n"/>
      <c r="I59" s="70" t="n"/>
      <c r="J59" s="70" t="n"/>
      <c r="K59" s="70" t="n"/>
      <c r="L59" s="70" t="n"/>
      <c r="M59" s="70" t="n"/>
      <c r="N59" s="70" t="n"/>
    </row>
    <row r="60">
      <c r="A60" s="70" t="n"/>
      <c r="B60" s="70" t="n"/>
      <c r="C60" s="70" t="n"/>
      <c r="D60" s="70" t="n"/>
      <c r="E60" s="70" t="n"/>
      <c r="F60" s="70" t="n"/>
      <c r="G60" s="70" t="n"/>
      <c r="H60" s="70" t="n"/>
      <c r="I60" s="70" t="n"/>
      <c r="J60" s="70" t="n"/>
      <c r="K60" s="70" t="n"/>
      <c r="L60" s="70" t="n"/>
      <c r="M60" s="70" t="n"/>
      <c r="N60" s="70" t="n"/>
    </row>
    <row r="61">
      <c r="A61" s="70" t="n"/>
      <c r="B61" s="70" t="n"/>
      <c r="C61" s="70" t="n"/>
      <c r="D61" s="70" t="n"/>
      <c r="E61" s="70" t="n"/>
      <c r="F61" s="70" t="n"/>
      <c r="G61" s="70" t="n"/>
      <c r="H61" s="70" t="n"/>
      <c r="I61" s="70" t="n"/>
      <c r="J61" s="70" t="n"/>
      <c r="K61" s="70" t="n"/>
      <c r="L61" s="70" t="n"/>
      <c r="M61" s="70" t="n"/>
      <c r="N61" s="70" t="n"/>
    </row>
    <row r="62">
      <c r="A62" s="70" t="n"/>
      <c r="B62" s="70" t="n"/>
      <c r="C62" s="70" t="n"/>
      <c r="D62" s="70" t="n"/>
      <c r="E62" s="70" t="n"/>
      <c r="F62" s="70" t="n"/>
      <c r="G62" s="70" t="n"/>
      <c r="H62" s="70" t="n"/>
      <c r="I62" s="70" t="n"/>
      <c r="J62" s="70" t="n"/>
      <c r="K62" s="70" t="n"/>
      <c r="L62" s="70" t="n"/>
      <c r="M62" s="70" t="n"/>
      <c r="N62" s="70" t="n"/>
    </row>
    <row r="63">
      <c r="A63" s="70" t="n"/>
      <c r="B63" s="70" t="n"/>
      <c r="C63" s="70" t="n"/>
      <c r="D63" s="70" t="n"/>
      <c r="E63" s="70" t="n"/>
      <c r="F63" s="70" t="n"/>
      <c r="G63" s="70" t="n"/>
      <c r="H63" s="70" t="n"/>
      <c r="I63" s="70" t="n"/>
      <c r="J63" s="70" t="n"/>
      <c r="K63" s="70" t="n"/>
      <c r="L63" s="70" t="n"/>
      <c r="M63" s="70" t="n"/>
      <c r="N63" s="70" t="n"/>
    </row>
    <row r="64">
      <c r="A64" s="70" t="n"/>
      <c r="B64" s="70" t="n"/>
      <c r="C64" s="70" t="n"/>
      <c r="D64" s="70" t="n"/>
      <c r="E64" s="70" t="n"/>
      <c r="F64" s="70" t="n"/>
      <c r="G64" s="70" t="n"/>
      <c r="H64" s="70" t="n"/>
      <c r="I64" s="70" t="n"/>
      <c r="J64" s="70" t="n"/>
      <c r="K64" s="70" t="n"/>
      <c r="L64" s="70" t="n"/>
      <c r="M64" s="70" t="n"/>
      <c r="N64" s="70" t="n"/>
    </row>
    <row r="65">
      <c r="A65" s="70" t="n"/>
      <c r="B65" s="70" t="n"/>
      <c r="C65" s="70" t="n"/>
      <c r="D65" s="70" t="n"/>
      <c r="E65" s="70" t="n"/>
      <c r="F65" s="70" t="n"/>
      <c r="G65" s="70" t="n"/>
      <c r="H65" s="70" t="n"/>
      <c r="I65" s="70" t="n"/>
      <c r="J65" s="70" t="n"/>
      <c r="K65" s="70" t="n"/>
      <c r="L65" s="70" t="n"/>
      <c r="M65" s="70" t="n"/>
      <c r="N65" s="70" t="n"/>
    </row>
    <row r="66">
      <c r="A66" s="70" t="n"/>
      <c r="B66" s="70" t="n"/>
      <c r="C66" s="70" t="n"/>
      <c r="D66" s="70" t="n"/>
      <c r="E66" s="70" t="n"/>
      <c r="F66" s="70" t="n"/>
      <c r="G66" s="70" t="n"/>
      <c r="H66" s="70" t="n"/>
      <c r="I66" s="70" t="n"/>
      <c r="J66" s="70" t="n"/>
      <c r="K66" s="70" t="n"/>
      <c r="L66" s="70" t="n"/>
      <c r="M66" s="70" t="n"/>
      <c r="N66" s="70" t="n"/>
    </row>
    <row r="67">
      <c r="A67" s="70" t="n"/>
      <c r="B67" s="70" t="n"/>
      <c r="C67" s="70" t="n"/>
      <c r="D67" s="70" t="n"/>
      <c r="E67" s="70" t="n"/>
      <c r="F67" s="70" t="n"/>
      <c r="G67" s="70" t="n"/>
      <c r="H67" s="70" t="n"/>
      <c r="I67" s="70" t="n"/>
      <c r="J67" s="70" t="n"/>
      <c r="K67" s="70" t="n"/>
      <c r="L67" s="70" t="n"/>
      <c r="M67" s="70" t="n"/>
      <c r="N67" s="70" t="n"/>
    </row>
    <row r="68">
      <c r="A68" s="70" t="n"/>
      <c r="B68" s="70" t="n"/>
      <c r="C68" s="70" t="n"/>
      <c r="D68" s="70" t="n"/>
      <c r="E68" s="70" t="n"/>
      <c r="F68" s="70" t="n"/>
      <c r="G68" s="70" t="n"/>
      <c r="H68" s="70" t="n"/>
      <c r="I68" s="70" t="n"/>
      <c r="J68" s="70" t="n"/>
      <c r="K68" s="70" t="n"/>
      <c r="L68" s="70" t="n"/>
      <c r="M68" s="70" t="n"/>
      <c r="N68" s="70" t="n"/>
    </row>
    <row r="69">
      <c r="A69" s="70" t="n"/>
      <c r="B69" s="70" t="n"/>
      <c r="C69" s="70" t="n"/>
      <c r="D69" s="70" t="n"/>
      <c r="E69" s="70" t="n"/>
      <c r="F69" s="70" t="n"/>
      <c r="G69" s="70" t="n"/>
      <c r="H69" s="70" t="n"/>
      <c r="I69" s="70" t="n"/>
      <c r="J69" s="70" t="n"/>
      <c r="K69" s="70" t="n"/>
      <c r="L69" s="70" t="n"/>
      <c r="M69" s="70" t="n"/>
      <c r="N69" s="70" t="n"/>
    </row>
    <row r="70">
      <c r="A70" s="70" t="n"/>
      <c r="B70" s="70" t="n"/>
      <c r="C70" s="70" t="n"/>
      <c r="D70" s="70" t="n"/>
      <c r="E70" s="70" t="n"/>
      <c r="F70" s="70" t="n"/>
      <c r="G70" s="70" t="n"/>
      <c r="H70" s="70" t="n"/>
      <c r="I70" s="70" t="n"/>
      <c r="J70" s="70" t="n"/>
      <c r="K70" s="70" t="n"/>
      <c r="L70" s="70" t="n"/>
      <c r="M70" s="70" t="n"/>
      <c r="N70" s="70" t="n"/>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B35:G35"/>
    <mergeCell ref="B4:G4"/>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70"/>
  <sheetViews>
    <sheetView workbookViewId="0">
      <pane xSplit="1" ySplit="13" topLeftCell="B14" activePane="bottomRight" state="frozen"/>
      <selection pane="topRight" activeCell="A1" sqref="A1"/>
      <selection pane="bottomLeft" activeCell="A1" sqref="A1"/>
      <selection pane="bottomRight" activeCell="A1" sqref="A1"/>
    </sheetView>
  </sheetViews>
  <sheetFormatPr baseColWidth="8" defaultRowHeight="14.5"/>
  <cols>
    <col width="3" customWidth="1" style="62" min="1" max="1"/>
    <col width="18" customWidth="1" style="62" min="2" max="4"/>
    <col width="16" customWidth="1" style="62" min="5" max="5"/>
    <col width="14" customWidth="1" style="62" min="6" max="6"/>
    <col width="16" customWidth="1" style="62" min="7" max="7"/>
    <col width="3" customWidth="1" style="62" min="8" max="8"/>
    <col width="22" customWidth="1" style="62" min="9" max="9"/>
    <col width="18" customWidth="1" style="62" min="10" max="14"/>
  </cols>
  <sheetData>
    <row r="1">
      <c r="A1" s="69" t="inlineStr">
        <is>
          <t>Case 4 – Project Bright (SolarVision Ltd.)</t>
        </is>
      </c>
    </row>
    <row r="2">
      <c r="A2" s="4" t="inlineStr">
        <is>
          <t>⬅ Back to Index</t>
        </is>
      </c>
      <c r="B2" s="70" t="n"/>
      <c r="C2" s="70" t="n"/>
      <c r="D2" s="70" t="n"/>
      <c r="E2" s="70" t="n"/>
      <c r="F2" s="70" t="n"/>
      <c r="G2" s="70" t="n"/>
      <c r="H2" s="70" t="n"/>
      <c r="I2" s="70" t="n"/>
      <c r="J2" s="70" t="n"/>
      <c r="K2" s="70" t="n"/>
      <c r="L2" s="70" t="n"/>
      <c r="M2" s="70" t="n"/>
      <c r="N2" s="70" t="n"/>
    </row>
    <row r="3">
      <c r="A3" s="70" t="n"/>
      <c r="B3" s="70" t="n"/>
      <c r="C3" s="70" t="n"/>
      <c r="D3" s="70" t="n"/>
      <c r="E3" s="70" t="n"/>
      <c r="F3" s="70" t="n"/>
      <c r="G3" s="70" t="n"/>
      <c r="H3" s="70" t="n"/>
      <c r="I3" s="70" t="n"/>
      <c r="J3" s="70" t="n"/>
      <c r="K3" s="70" t="n"/>
      <c r="L3" s="70" t="n"/>
      <c r="M3" s="70" t="n"/>
      <c r="N3" s="70" t="n"/>
    </row>
    <row r="4">
      <c r="A4" s="70" t="n"/>
      <c r="B4" s="67" t="inlineStr">
        <is>
          <t>INPUTS</t>
        </is>
      </c>
      <c r="C4" s="72" t="n"/>
      <c r="D4" s="72" t="n"/>
      <c r="E4" s="72" t="n"/>
      <c r="F4" s="72" t="n"/>
      <c r="G4" s="73" t="n"/>
      <c r="H4" s="70" t="n"/>
      <c r="I4" s="68" t="inlineStr">
        <is>
          <t>OUTPUTS / DECISION</t>
        </is>
      </c>
      <c r="J4" s="72" t="n"/>
      <c r="K4" s="72" t="n"/>
      <c r="L4" s="72" t="n"/>
      <c r="M4" s="72" t="n"/>
      <c r="N4" s="73" t="n"/>
    </row>
    <row r="5" ht="29" customHeight="1" s="62">
      <c r="A5" s="70" t="n"/>
      <c r="B5" s="7" t="inlineStr">
        <is>
          <t>WACC / Discount rate</t>
        </is>
      </c>
      <c r="C5" s="29" t="n">
        <v>0.08749999999999999</v>
      </c>
      <c r="D5" s="30" t="n"/>
      <c r="E5" s="30" t="n"/>
      <c r="F5" s="30" t="n"/>
      <c r="G5" s="30" t="n"/>
      <c r="H5" s="70" t="n"/>
      <c r="I5" s="31" t="inlineStr">
        <is>
          <t>Key Outputs</t>
        </is>
      </c>
      <c r="J5" s="32" t="n"/>
      <c r="K5" s="32" t="n"/>
      <c r="L5" s="32" t="n"/>
      <c r="M5" s="32" t="n"/>
      <c r="N5" s="32" t="n"/>
    </row>
    <row r="6">
      <c r="A6" s="70" t="n"/>
      <c r="B6" s="7" t="inlineStr">
        <is>
          <t>XIRR Guess</t>
        </is>
      </c>
      <c r="C6" s="29" t="n">
        <v>0.1</v>
      </c>
      <c r="D6" s="30" t="n"/>
      <c r="E6" s="30" t="n"/>
      <c r="F6" s="30" t="n"/>
      <c r="G6" s="30" t="n"/>
      <c r="H6" s="70" t="n"/>
      <c r="I6" s="5" t="inlineStr">
        <is>
          <t>Metric</t>
        </is>
      </c>
      <c r="J6" s="5" t="inlineStr">
        <is>
          <t>Value</t>
        </is>
      </c>
      <c r="K6" s="32" t="n"/>
      <c r="L6" s="32" t="n"/>
      <c r="M6" s="32" t="n"/>
      <c r="N6" s="32" t="n"/>
    </row>
    <row r="7">
      <c r="A7" s="70" t="n"/>
      <c r="B7" s="7" t="inlineStr">
        <is>
          <t>WC lock-up date</t>
        </is>
      </c>
      <c r="C7" s="33" t="n">
        <v>43556</v>
      </c>
      <c r="D7" s="30" t="n"/>
      <c r="E7" s="30" t="n"/>
      <c r="F7" s="30" t="n"/>
      <c r="G7" s="30" t="n"/>
      <c r="H7" s="70" t="n"/>
      <c r="I7" s="6" t="inlineStr">
        <is>
          <t>XNPV (₹)</t>
        </is>
      </c>
      <c r="J7" s="74">
        <f>IFERROR(XNPV($C$5,$D$14:$D$33,$C$14:$C$33),"")</f>
        <v/>
      </c>
      <c r="K7" s="32" t="n"/>
      <c r="L7" s="32" t="n"/>
      <c r="M7" s="32" t="n"/>
      <c r="N7" s="32" t="n"/>
    </row>
    <row r="8" ht="29" customHeight="1" s="62">
      <c r="A8" s="70" t="n"/>
      <c r="B8" s="7" t="inlineStr">
        <is>
          <t>WC lock-up amount (₹, negative)</t>
        </is>
      </c>
      <c r="C8" s="75" t="n">
        <v>-1000</v>
      </c>
      <c r="D8" s="30" t="n"/>
      <c r="E8" s="30" t="n"/>
      <c r="F8" s="30" t="n"/>
      <c r="G8" s="30" t="n"/>
      <c r="H8" s="70" t="n"/>
      <c r="I8" s="6" t="inlineStr">
        <is>
          <t>XIRR (%)</t>
        </is>
      </c>
      <c r="J8" s="35">
        <f>IFERROR(XIRR($D$14:$D$33,$C$14:$C$33,$C$6),"")</f>
        <v/>
      </c>
      <c r="K8" s="32" t="n"/>
      <c r="L8" s="32" t="n"/>
      <c r="M8" s="32" t="n"/>
      <c r="N8" s="32" t="n"/>
    </row>
    <row r="9">
      <c r="A9" s="70" t="n"/>
      <c r="B9" s="7" t="inlineStr">
        <is>
          <t>WC release date</t>
        </is>
      </c>
      <c r="C9" s="33" t="n">
        <v>44196</v>
      </c>
      <c r="D9" s="30" t="n"/>
      <c r="E9" s="30" t="n"/>
      <c r="F9" s="30" t="n"/>
      <c r="G9" s="30" t="n"/>
      <c r="H9" s="70" t="n"/>
      <c r="I9" s="6" t="inlineStr">
        <is>
          <t>Decision</t>
        </is>
      </c>
      <c r="J9" s="9">
        <f>IF(J7="","",IF(J7&gt;0,"ACCEPT (XNPV&gt;0)","REJECT (XNPV≤0)"))</f>
        <v/>
      </c>
      <c r="K9" s="32" t="n"/>
      <c r="L9" s="32" t="n"/>
      <c r="M9" s="32" t="n"/>
      <c r="N9" s="32" t="n"/>
    </row>
    <row r="10" ht="29" customHeight="1" s="62">
      <c r="A10" s="70" t="n"/>
      <c r="B10" s="7" t="inlineStr">
        <is>
          <t>WC release amount (₹, positive)</t>
        </is>
      </c>
      <c r="C10" s="75" t="n">
        <v>1000</v>
      </c>
      <c r="D10" s="30" t="n"/>
      <c r="E10" s="30" t="n"/>
      <c r="F10" s="30" t="n"/>
      <c r="G10" s="30" t="n"/>
      <c r="H10" s="70" t="n"/>
      <c r="I10" s="32" t="n"/>
      <c r="J10" s="32" t="n"/>
      <c r="K10" s="32" t="n"/>
      <c r="L10" s="32" t="n"/>
      <c r="M10" s="32" t="n"/>
      <c r="N10" s="32" t="n"/>
    </row>
    <row r="11" ht="15.5" customHeight="1" s="62">
      <c r="A11" s="70" t="n"/>
      <c r="B11" s="30" t="n"/>
      <c r="C11" s="30" t="n"/>
      <c r="D11" s="30" t="n"/>
      <c r="E11" s="30" t="n"/>
      <c r="F11" s="30" t="n"/>
      <c r="G11" s="30" t="n"/>
      <c r="H11" s="70" t="n"/>
      <c r="I11" s="36" t="inlineStr">
        <is>
          <t>Checks</t>
        </is>
      </c>
      <c r="J11" s="37" t="n"/>
      <c r="K11" s="37" t="n"/>
      <c r="L11" s="32" t="n"/>
      <c r="M11" s="32" t="n"/>
      <c r="N11" s="32" t="n"/>
    </row>
    <row r="12" ht="62" customHeight="1" s="62">
      <c r="A12" s="70" t="n"/>
      <c r="B12" s="11" t="inlineStr">
        <is>
          <t>Cash Flow Schedule (enter dates &amp; cash flows)</t>
        </is>
      </c>
      <c r="C12" s="30" t="n"/>
      <c r="D12" s="30" t="n"/>
      <c r="E12" s="30" t="n"/>
      <c r="F12" s="30" t="n"/>
      <c r="G12" s="30" t="n"/>
      <c r="H12" s="70" t="n"/>
      <c r="I12" s="12" t="inlineStr">
        <is>
          <t>Check</t>
        </is>
      </c>
      <c r="J12" s="12" t="inlineStr">
        <is>
          <t>Status</t>
        </is>
      </c>
      <c r="K12" s="37" t="n"/>
      <c r="L12" s="32" t="n"/>
      <c r="M12" s="32" t="n"/>
      <c r="N12" s="32" t="n"/>
    </row>
    <row r="13">
      <c r="A13" s="70" t="n"/>
      <c r="B13" s="13" t="inlineStr">
        <is>
          <t>#</t>
        </is>
      </c>
      <c r="C13" s="13" t="inlineStr">
        <is>
          <t>Date</t>
        </is>
      </c>
      <c r="D13" s="13" t="inlineStr">
        <is>
          <t>Cash Flow (₹)</t>
        </is>
      </c>
      <c r="E13" s="13" t="inlineStr">
        <is>
          <t>Tag/Notes</t>
        </is>
      </c>
      <c r="F13" s="30" t="n"/>
      <c r="G13" s="30" t="n"/>
      <c r="H13" s="70" t="n"/>
      <c r="I13" s="10" t="inlineStr">
        <is>
          <t>Dates increasing?</t>
        </is>
      </c>
      <c r="J13" s="10">
        <f>IF(COUNT($C$14:$C$33)&lt;2,"",IF(SUMPRODUCT(--($C$15:$C$33&lt;&gt;""),--($C$14:$C$32&lt;&gt;""),--($C$15:$C$33&lt;$C$14:$C$32))=0,"OK","Review"))</f>
        <v/>
      </c>
      <c r="K13" s="37" t="n"/>
      <c r="L13" s="9" t="inlineStr">
        <is>
          <t>Helper dates</t>
        </is>
      </c>
      <c r="M13" s="9" t="inlineStr">
        <is>
          <t>Helper CF</t>
        </is>
      </c>
      <c r="N13" s="32" t="n"/>
    </row>
    <row r="14" ht="29" customHeight="1" s="62">
      <c r="A14" s="70" t="n"/>
      <c r="B14" s="38" t="n">
        <v>1</v>
      </c>
      <c r="C14" s="33" t="n">
        <v>43556</v>
      </c>
      <c r="D14" s="75" t="n">
        <v>-12000</v>
      </c>
      <c r="E14" s="30" t="n"/>
      <c r="F14" s="30" t="n"/>
      <c r="G14" s="30" t="n"/>
      <c r="H14" s="70" t="n"/>
      <c r="I14" s="10" t="inlineStr">
        <is>
          <t>Has at least one (-) and one (+) CF?</t>
        </is>
      </c>
      <c r="J14" s="10">
        <f>IF(AND(COUNTIF($D$14:$D$33,"&lt;0")&gt;=1,COUNTIF($D$14:$D$33,"&gt;0")&gt;=1),"OK","Review")</f>
        <v/>
      </c>
      <c r="K14" s="37" t="n"/>
      <c r="L14" s="14">
        <f>IF($C$7="",$C$14,$C$7)</f>
        <v/>
      </c>
      <c r="M14" s="76">
        <f>IF($C$7="",0,$C$8)</f>
        <v/>
      </c>
      <c r="N14" s="32" t="n"/>
    </row>
    <row r="15" ht="29" customHeight="1" s="62">
      <c r="A15" s="70" t="n"/>
      <c r="B15" s="38" t="n">
        <v>2</v>
      </c>
      <c r="C15" s="33" t="n">
        <v>43661</v>
      </c>
      <c r="D15" s="75" t="n">
        <v>2500</v>
      </c>
      <c r="E15" s="30" t="n"/>
      <c r="F15" s="30" t="n"/>
      <c r="G15" s="30" t="n"/>
      <c r="H15" s="70" t="n"/>
      <c r="I15" s="10" t="inlineStr">
        <is>
          <t>Multiple sign changes warning</t>
        </is>
      </c>
      <c r="J15" s="10">
        <f>IF(OR(COUNTIF($D$14:$D$33,"&lt;0")=0,COUNTIF($D$14:$D$33,"&gt;0")=0),"",IF(SUMPRODUCT(--(($D$14:$D$32*$D$15:$D$33)&lt;0))&gt;1,"Warning","OK"))</f>
        <v/>
      </c>
      <c r="K15" s="37" t="n"/>
      <c r="L15" s="14">
        <f>IF($C$9="",$C$14,$C$9)</f>
        <v/>
      </c>
      <c r="M15" s="76">
        <f>IF($C$9="",0,$C$10)</f>
        <v/>
      </c>
      <c r="N15" s="32" t="n"/>
    </row>
    <row r="16" ht="29" customHeight="1" s="62">
      <c r="A16" s="70" t="n"/>
      <c r="B16" s="38" t="n">
        <v>3</v>
      </c>
      <c r="C16" s="33" t="n">
        <v>43753</v>
      </c>
      <c r="D16" s="75" t="n">
        <v>3000</v>
      </c>
      <c r="E16" s="30" t="n"/>
      <c r="F16" s="30" t="n"/>
      <c r="G16" s="30" t="n"/>
      <c r="H16" s="70" t="n"/>
      <c r="I16" s="10" t="inlineStr">
        <is>
          <t>XNPV vs PV-sum consistency</t>
        </is>
      </c>
      <c r="J16" s="10">
        <f>IF(J7="","",IF(ABS(J7-SUM($H$38:$H$57))&lt;1,"OK","Review"))</f>
        <v/>
      </c>
      <c r="K16" s="37" t="n"/>
      <c r="L16" s="14">
        <f>IF(C14="",$C$14,C14)</f>
        <v/>
      </c>
      <c r="M16" s="76">
        <f>IF(D14="",0,D14)</f>
        <v/>
      </c>
      <c r="N16" s="32" t="n"/>
    </row>
    <row r="17">
      <c r="A17" s="70" t="n"/>
      <c r="B17" s="38" t="n">
        <v>4</v>
      </c>
      <c r="C17" s="33" t="n">
        <v>43876</v>
      </c>
      <c r="D17" s="75" t="n">
        <v>3500</v>
      </c>
      <c r="E17" s="30" t="n"/>
      <c r="F17" s="30" t="n"/>
      <c r="G17" s="30" t="n"/>
      <c r="H17" s="70" t="n"/>
      <c r="I17" s="37" t="n"/>
      <c r="J17" s="37" t="n"/>
      <c r="K17" s="37" t="n"/>
      <c r="L17" s="14">
        <f>IF(C15="",$C$14,C15)</f>
        <v/>
      </c>
      <c r="M17" s="76">
        <f>IF(D15="",0,D15)</f>
        <v/>
      </c>
      <c r="N17" s="32" t="n"/>
    </row>
    <row r="18">
      <c r="A18" s="70" t="n"/>
      <c r="B18" s="38" t="n">
        <v>5</v>
      </c>
      <c r="C18" s="33" t="n">
        <v>43997</v>
      </c>
      <c r="D18" s="75" t="n">
        <v>4000</v>
      </c>
      <c r="E18" s="30" t="n"/>
      <c r="F18" s="30" t="n"/>
      <c r="G18" s="30" t="n"/>
      <c r="H18" s="70" t="n"/>
      <c r="I18" s="70" t="n"/>
      <c r="J18" s="70" t="n"/>
      <c r="K18" s="70" t="n"/>
      <c r="L18" s="16">
        <f>IF(C16="",$C$14,C16)</f>
        <v/>
      </c>
      <c r="M18" s="77">
        <f>IF(D16="",0,D16)</f>
        <v/>
      </c>
      <c r="N18" s="70" t="n"/>
    </row>
    <row r="19" ht="31" customHeight="1" s="62">
      <c r="A19" s="70" t="n"/>
      <c r="B19" s="38" t="n">
        <v>6</v>
      </c>
      <c r="C19" s="33" t="n">
        <v>44196</v>
      </c>
      <c r="D19" s="75" t="n">
        <v>3800</v>
      </c>
      <c r="E19" s="30" t="n"/>
      <c r="F19" s="30" t="n"/>
      <c r="G19" s="30" t="n"/>
      <c r="H19" s="70" t="n"/>
      <c r="I19" s="8" t="inlineStr">
        <is>
          <t>Working capital impact</t>
        </is>
      </c>
      <c r="J19" s="32" t="n"/>
      <c r="K19" s="32" t="n"/>
      <c r="L19" s="14">
        <f>IF(C17="",$C$14,C17)</f>
        <v/>
      </c>
      <c r="M19" s="76">
        <f>IF(D17="",0,D17)</f>
        <v/>
      </c>
      <c r="N19" s="32" t="n"/>
    </row>
    <row r="20">
      <c r="A20" s="70" t="n"/>
      <c r="B20" s="38" t="n">
        <v>7</v>
      </c>
      <c r="C20" s="33" t="n"/>
      <c r="D20" s="75" t="n"/>
      <c r="E20" s="30" t="n"/>
      <c r="F20" s="30" t="n"/>
      <c r="G20" s="30" t="n"/>
      <c r="H20" s="70" t="n"/>
      <c r="I20" s="5" t="inlineStr">
        <is>
          <t>Metric</t>
        </is>
      </c>
      <c r="J20" s="5" t="inlineStr">
        <is>
          <t>Value</t>
        </is>
      </c>
      <c r="K20" s="32" t="n"/>
      <c r="L20" s="14">
        <f>IF(C18="",$C$14,C18)</f>
        <v/>
      </c>
      <c r="M20" s="76">
        <f>IF(D18="",0,D18)</f>
        <v/>
      </c>
      <c r="N20" s="32" t="n"/>
    </row>
    <row r="21">
      <c r="A21" s="70" t="n"/>
      <c r="B21" s="38" t="n">
        <v>8</v>
      </c>
      <c r="C21" s="33" t="n"/>
      <c r="D21" s="75" t="n"/>
      <c r="E21" s="30" t="n"/>
      <c r="F21" s="30" t="n"/>
      <c r="G21" s="30" t="n"/>
      <c r="H21" s="70" t="n"/>
      <c r="I21" s="6" t="inlineStr">
        <is>
          <t>XNPV (schedule only)</t>
        </is>
      </c>
      <c r="J21" s="74">
        <f>J7</f>
        <v/>
      </c>
      <c r="K21" s="32" t="n"/>
      <c r="L21" s="14">
        <f>IF(C19="",$C$14,C19)</f>
        <v/>
      </c>
      <c r="M21" s="76">
        <f>IF(D19="",0,D19)</f>
        <v/>
      </c>
      <c r="N21" s="32" t="n"/>
    </row>
    <row r="22" ht="29" customHeight="1" s="62">
      <c r="A22" s="70" t="n"/>
      <c r="B22" s="38" t="n">
        <v>9</v>
      </c>
      <c r="C22" s="33" t="n"/>
      <c r="D22" s="75" t="n"/>
      <c r="E22" s="30" t="n"/>
      <c r="F22" s="30" t="n"/>
      <c r="G22" s="30" t="n"/>
      <c r="H22" s="70" t="n"/>
      <c r="I22" s="6" t="inlineStr">
        <is>
          <t>XNPV (schedule + WC rows)</t>
        </is>
      </c>
      <c r="J22" s="74">
        <f>IFERROR(XNPV($C$5,$M$14:$M$35,$L$14:$L$35),"")</f>
        <v/>
      </c>
      <c r="K22" s="32" t="n"/>
      <c r="L22" s="14">
        <f>IF(C20="",$C$14,C20)</f>
        <v/>
      </c>
      <c r="M22" s="76">
        <f>IF(D20="",0,D20)</f>
        <v/>
      </c>
      <c r="N22" s="32" t="n"/>
    </row>
    <row r="23">
      <c r="A23" s="70" t="n"/>
      <c r="B23" s="38" t="n">
        <v>10</v>
      </c>
      <c r="C23" s="33" t="n"/>
      <c r="D23" s="75" t="n"/>
      <c r="E23" s="30" t="n"/>
      <c r="F23" s="30" t="n"/>
      <c r="G23" s="30" t="n"/>
      <c r="H23" s="70" t="n"/>
      <c r="I23" s="32" t="n"/>
      <c r="J23" s="32" t="n"/>
      <c r="K23" s="32" t="n"/>
      <c r="L23" s="14">
        <f>IF(C21="",$C$14,C21)</f>
        <v/>
      </c>
      <c r="M23" s="76">
        <f>IF(D21="",0,D21)</f>
        <v/>
      </c>
      <c r="N23" s="32" t="n"/>
    </row>
    <row r="24">
      <c r="A24" s="70" t="n"/>
      <c r="B24" s="38" t="n">
        <v>11</v>
      </c>
      <c r="C24" s="33" t="n"/>
      <c r="D24" s="75" t="n"/>
      <c r="E24" s="30" t="n"/>
      <c r="F24" s="30" t="n"/>
      <c r="G24" s="30" t="n"/>
      <c r="H24" s="70" t="n"/>
      <c r="I24" s="32" t="n"/>
      <c r="J24" s="32" t="n"/>
      <c r="K24" s="32" t="n"/>
      <c r="L24" s="14">
        <f>IF(C22="",$C$14,C22)</f>
        <v/>
      </c>
      <c r="M24" s="76">
        <f>IF(D22="",0,D22)</f>
        <v/>
      </c>
      <c r="N24" s="32" t="n"/>
    </row>
    <row r="25">
      <c r="A25" s="70" t="n"/>
      <c r="B25" s="38" t="n">
        <v>12</v>
      </c>
      <c r="C25" s="33" t="n"/>
      <c r="D25" s="75" t="n"/>
      <c r="E25" s="30" t="n"/>
      <c r="F25" s="30" t="n"/>
      <c r="G25" s="30" t="n"/>
      <c r="H25" s="70" t="n"/>
      <c r="I25" s="32" t="n"/>
      <c r="J25" s="32" t="n"/>
      <c r="K25" s="32" t="n"/>
      <c r="L25" s="14">
        <f>IF(C23="",$C$14,C23)</f>
        <v/>
      </c>
      <c r="M25" s="76">
        <f>IF(D23="",0,D23)</f>
        <v/>
      </c>
      <c r="N25" s="32" t="n"/>
    </row>
    <row r="26">
      <c r="A26" s="70" t="n"/>
      <c r="B26" s="38" t="n">
        <v>13</v>
      </c>
      <c r="C26" s="33" t="n"/>
      <c r="D26" s="75" t="n"/>
      <c r="E26" s="30" t="n"/>
      <c r="F26" s="30" t="n"/>
      <c r="G26" s="30" t="n"/>
      <c r="H26" s="70" t="n"/>
      <c r="I26" s="70" t="n"/>
      <c r="J26" s="70" t="n"/>
      <c r="K26" s="70" t="n"/>
      <c r="L26" s="16">
        <f>IF(C24="",$C$14,C24)</f>
        <v/>
      </c>
      <c r="M26" s="77">
        <f>IF(D24="",0,D24)</f>
        <v/>
      </c>
      <c r="N26" s="70" t="n"/>
    </row>
    <row r="27">
      <c r="A27" s="70" t="n"/>
      <c r="B27" s="38" t="n">
        <v>14</v>
      </c>
      <c r="C27" s="33" t="n"/>
      <c r="D27" s="75" t="n"/>
      <c r="E27" s="30" t="n"/>
      <c r="F27" s="30" t="n"/>
      <c r="G27" s="30" t="n"/>
      <c r="H27" s="70" t="n"/>
      <c r="I27" s="70" t="n"/>
      <c r="J27" s="70" t="n"/>
      <c r="K27" s="70" t="n"/>
      <c r="L27" s="16">
        <f>IF(C25="",$C$14,C25)</f>
        <v/>
      </c>
      <c r="M27" s="77">
        <f>IF(D25="",0,D25)</f>
        <v/>
      </c>
      <c r="N27" s="70" t="n"/>
    </row>
    <row r="28">
      <c r="A28" s="70" t="n"/>
      <c r="B28" s="38" t="n">
        <v>15</v>
      </c>
      <c r="C28" s="33" t="n"/>
      <c r="D28" s="75" t="n"/>
      <c r="E28" s="30" t="n"/>
      <c r="F28" s="30" t="n"/>
      <c r="G28" s="30" t="n"/>
      <c r="H28" s="70" t="n"/>
      <c r="I28" s="70" t="n"/>
      <c r="J28" s="70" t="n"/>
      <c r="K28" s="70" t="n"/>
      <c r="L28" s="16">
        <f>IF(C26="",$C$14,C26)</f>
        <v/>
      </c>
      <c r="M28" s="77">
        <f>IF(D26="",0,D26)</f>
        <v/>
      </c>
      <c r="N28" s="70" t="n"/>
    </row>
    <row r="29">
      <c r="A29" s="70" t="n"/>
      <c r="B29" s="38" t="n">
        <v>16</v>
      </c>
      <c r="C29" s="33" t="n"/>
      <c r="D29" s="75" t="n"/>
      <c r="E29" s="30" t="n"/>
      <c r="F29" s="30" t="n"/>
      <c r="G29" s="30" t="n"/>
      <c r="H29" s="70" t="n"/>
      <c r="I29" s="70" t="n"/>
      <c r="J29" s="70" t="n"/>
      <c r="K29" s="70" t="n"/>
      <c r="L29" s="16">
        <f>IF(C27="",$C$14,C27)</f>
        <v/>
      </c>
      <c r="M29" s="77">
        <f>IF(D27="",0,D27)</f>
        <v/>
      </c>
      <c r="N29" s="70" t="n"/>
    </row>
    <row r="30">
      <c r="A30" s="70" t="n"/>
      <c r="B30" s="38" t="n">
        <v>17</v>
      </c>
      <c r="C30" s="33" t="n"/>
      <c r="D30" s="75" t="n"/>
      <c r="E30" s="30" t="n"/>
      <c r="F30" s="30" t="n"/>
      <c r="G30" s="30" t="n"/>
      <c r="H30" s="70" t="n"/>
      <c r="I30" s="70" t="n"/>
      <c r="J30" s="70" t="n"/>
      <c r="K30" s="70" t="n"/>
      <c r="L30" s="16">
        <f>IF(C28="",$C$14,C28)</f>
        <v/>
      </c>
      <c r="M30" s="77">
        <f>IF(D28="",0,D28)</f>
        <v/>
      </c>
      <c r="N30" s="70" t="n"/>
    </row>
    <row r="31">
      <c r="A31" s="70" t="n"/>
      <c r="B31" s="38" t="n">
        <v>18</v>
      </c>
      <c r="C31" s="33" t="n"/>
      <c r="D31" s="75" t="n"/>
      <c r="E31" s="30" t="n"/>
      <c r="F31" s="30" t="n"/>
      <c r="G31" s="30" t="n"/>
      <c r="H31" s="70" t="n"/>
      <c r="I31" s="70" t="n"/>
      <c r="J31" s="70" t="n"/>
      <c r="K31" s="70" t="n"/>
      <c r="L31" s="16">
        <f>IF(C29="",$C$14,C29)</f>
        <v/>
      </c>
      <c r="M31" s="77">
        <f>IF(D29="",0,D29)</f>
        <v/>
      </c>
      <c r="N31" s="70" t="n"/>
    </row>
    <row r="32">
      <c r="A32" s="70" t="n"/>
      <c r="B32" s="38" t="n">
        <v>19</v>
      </c>
      <c r="C32" s="33" t="n"/>
      <c r="D32" s="75" t="n"/>
      <c r="E32" s="30" t="n"/>
      <c r="F32" s="30" t="n"/>
      <c r="G32" s="30" t="n"/>
      <c r="H32" s="70" t="n"/>
      <c r="I32" s="70" t="n"/>
      <c r="J32" s="70" t="n"/>
      <c r="K32" s="70" t="n"/>
      <c r="L32" s="16">
        <f>IF(C30="",$C$14,C30)</f>
        <v/>
      </c>
      <c r="M32" s="77">
        <f>IF(D30="",0,D30)</f>
        <v/>
      </c>
      <c r="N32" s="70" t="n"/>
    </row>
    <row r="33">
      <c r="A33" s="70" t="n"/>
      <c r="B33" s="38" t="n">
        <v>20</v>
      </c>
      <c r="C33" s="33" t="n"/>
      <c r="D33" s="75" t="n"/>
      <c r="E33" s="30" t="n"/>
      <c r="F33" s="30" t="n"/>
      <c r="G33" s="30" t="n"/>
      <c r="H33" s="70" t="n"/>
      <c r="I33" s="70" t="n"/>
      <c r="J33" s="70" t="n"/>
      <c r="K33" s="70" t="n"/>
      <c r="L33" s="16">
        <f>IF(C31="",$C$14,C31)</f>
        <v/>
      </c>
      <c r="M33" s="77">
        <f>IF(D31="",0,D31)</f>
        <v/>
      </c>
      <c r="N33" s="70" t="n"/>
    </row>
    <row r="34">
      <c r="A34" s="70" t="n"/>
      <c r="B34" s="70" t="n"/>
      <c r="C34" s="70" t="n"/>
      <c r="D34" s="70" t="n"/>
      <c r="E34" s="70" t="n"/>
      <c r="F34" s="70" t="n"/>
      <c r="G34" s="70" t="n"/>
      <c r="H34" s="70" t="n"/>
      <c r="I34" s="70" t="n"/>
      <c r="J34" s="70" t="n"/>
      <c r="K34" s="70" t="n"/>
      <c r="L34" s="16">
        <f>IF(C32="",$C$14,C32)</f>
        <v/>
      </c>
      <c r="M34" s="77">
        <f>IF(D32="",0,D32)</f>
        <v/>
      </c>
      <c r="N34" s="70" t="n"/>
    </row>
    <row r="35">
      <c r="A35" s="70" t="n"/>
      <c r="B35" s="64" t="inlineStr">
        <is>
          <t>CALCULATIONS</t>
        </is>
      </c>
      <c r="C35" s="72" t="n"/>
      <c r="D35" s="72" t="n"/>
      <c r="E35" s="72" t="n"/>
      <c r="F35" s="72" t="n"/>
      <c r="G35" s="73" t="n"/>
      <c r="H35" s="39" t="n"/>
      <c r="I35" s="39" t="n"/>
      <c r="J35" s="70" t="n"/>
      <c r="K35" s="70" t="n"/>
      <c r="L35" s="16">
        <f>IF(C33="",$C$14,C33)</f>
        <v/>
      </c>
      <c r="M35" s="77">
        <f>IF(D33="",0,D33)</f>
        <v/>
      </c>
      <c r="N35" s="70" t="n"/>
    </row>
    <row r="36" ht="58" customHeight="1" s="62">
      <c r="A36" s="70" t="n"/>
      <c r="B36" s="20" t="inlineStr">
        <is>
          <t>PV engine (base date = first entered date in the schedule, row 14)</t>
        </is>
      </c>
      <c r="C36" s="39" t="n"/>
      <c r="D36" s="39" t="n"/>
      <c r="E36" s="39" t="n"/>
      <c r="F36" s="39" t="n"/>
      <c r="G36" s="39" t="n"/>
      <c r="H36" s="39" t="n"/>
      <c r="I36" s="39" t="n"/>
      <c r="J36" s="70" t="n"/>
      <c r="K36" s="70" t="n"/>
      <c r="L36" s="70" t="n"/>
      <c r="M36" s="70" t="n"/>
      <c r="N36" s="70" t="n"/>
    </row>
    <row r="37" ht="58" customHeight="1" s="62">
      <c r="A37" s="70" t="n"/>
      <c r="B37" s="18" t="inlineStr">
        <is>
          <t>#</t>
        </is>
      </c>
      <c r="C37" s="18" t="inlineStr">
        <is>
          <t>Date</t>
        </is>
      </c>
      <c r="D37" s="18" t="inlineStr">
        <is>
          <t>CF (₹)</t>
        </is>
      </c>
      <c r="E37" s="18" t="inlineStr">
        <is>
          <t>Days</t>
        </is>
      </c>
      <c r="F37" s="18" t="inlineStr">
        <is>
          <t>t (yrs)</t>
        </is>
      </c>
      <c r="G37" s="18" t="inlineStr">
        <is>
          <t>Discount Factor</t>
        </is>
      </c>
      <c r="H37" s="18" t="inlineStr">
        <is>
          <t>PV (₹)</t>
        </is>
      </c>
      <c r="I37" s="18" t="inlineStr">
        <is>
          <t>Cum PV (₹)</t>
        </is>
      </c>
      <c r="J37" s="70" t="n"/>
      <c r="K37" s="70" t="n"/>
      <c r="L37" s="70" t="n"/>
      <c r="M37" s="70" t="n"/>
      <c r="N37" s="70" t="n"/>
    </row>
    <row r="38">
      <c r="A38" s="70" t="n"/>
      <c r="B38" s="19">
        <f>B14</f>
        <v/>
      </c>
      <c r="C38" s="19">
        <f>C14</f>
        <v/>
      </c>
      <c r="D38" s="19">
        <f>D14</f>
        <v/>
      </c>
      <c r="E38" s="19">
        <f>IF(C14="","",C14-$C$14)</f>
        <v/>
      </c>
      <c r="F38" s="78">
        <f>IF(E38="","",E38/365)</f>
        <v/>
      </c>
      <c r="G38" s="79">
        <f>IF(F38="","",(1+$C$5)^F38)</f>
        <v/>
      </c>
      <c r="H38" s="80">
        <f>IF(OR(C14="",D14=""),"",D14/G38)</f>
        <v/>
      </c>
      <c r="I38" s="80">
        <f>IF(H38="","",SUM($H$38:H38))</f>
        <v/>
      </c>
      <c r="J38" s="70" t="n"/>
      <c r="K38" s="70" t="n"/>
      <c r="L38" s="70" t="n"/>
      <c r="M38" s="70" t="n"/>
      <c r="N38" s="70" t="n"/>
    </row>
    <row r="39">
      <c r="A39" s="70" t="n"/>
      <c r="B39" s="19">
        <f>B15</f>
        <v/>
      </c>
      <c r="C39" s="19">
        <f>C15</f>
        <v/>
      </c>
      <c r="D39" s="19">
        <f>D15</f>
        <v/>
      </c>
      <c r="E39" s="19">
        <f>IF(C15="","",C15-$C$14)</f>
        <v/>
      </c>
      <c r="F39" s="78">
        <f>IF(E39="","",E39/365)</f>
        <v/>
      </c>
      <c r="G39" s="79">
        <f>IF(F39="","",(1+$C$5)^F39)</f>
        <v/>
      </c>
      <c r="H39" s="80">
        <f>IF(OR(C15="",D15=""),"",D15/G39)</f>
        <v/>
      </c>
      <c r="I39" s="80">
        <f>IF(H39="","",SUM($H$38:H39))</f>
        <v/>
      </c>
      <c r="J39" s="70" t="n"/>
      <c r="K39" s="70" t="n"/>
      <c r="L39" s="70" t="n"/>
      <c r="M39" s="70" t="n"/>
      <c r="N39" s="70" t="n"/>
    </row>
    <row r="40">
      <c r="A40" s="70" t="n"/>
      <c r="B40" s="19">
        <f>B16</f>
        <v/>
      </c>
      <c r="C40" s="19">
        <f>C16</f>
        <v/>
      </c>
      <c r="D40" s="19">
        <f>D16</f>
        <v/>
      </c>
      <c r="E40" s="19">
        <f>IF(C16="","",C16-$C$14)</f>
        <v/>
      </c>
      <c r="F40" s="78">
        <f>IF(E40="","",E40/365)</f>
        <v/>
      </c>
      <c r="G40" s="79">
        <f>IF(F40="","",(1+$C$5)^F40)</f>
        <v/>
      </c>
      <c r="H40" s="80">
        <f>IF(OR(C16="",D16=""),"",D16/G40)</f>
        <v/>
      </c>
      <c r="I40" s="80">
        <f>IF(H40="","",SUM($H$38:H40))</f>
        <v/>
      </c>
      <c r="J40" s="70" t="n"/>
      <c r="K40" s="70" t="n"/>
      <c r="L40" s="70" t="n"/>
      <c r="M40" s="70" t="n"/>
      <c r="N40" s="70" t="n"/>
    </row>
    <row r="41">
      <c r="A41" s="70" t="n"/>
      <c r="B41" s="19">
        <f>B17</f>
        <v/>
      </c>
      <c r="C41" s="19">
        <f>C17</f>
        <v/>
      </c>
      <c r="D41" s="19">
        <f>D17</f>
        <v/>
      </c>
      <c r="E41" s="19">
        <f>IF(C17="","",C17-$C$14)</f>
        <v/>
      </c>
      <c r="F41" s="78">
        <f>IF(E41="","",E41/365)</f>
        <v/>
      </c>
      <c r="G41" s="79">
        <f>IF(F41="","",(1+$C$5)^F41)</f>
        <v/>
      </c>
      <c r="H41" s="80">
        <f>IF(OR(C17="",D17=""),"",D17/G41)</f>
        <v/>
      </c>
      <c r="I41" s="80">
        <f>IF(H41="","",SUM($H$38:H41))</f>
        <v/>
      </c>
      <c r="J41" s="70" t="n"/>
      <c r="K41" s="70" t="n"/>
      <c r="L41" s="70" t="n"/>
      <c r="M41" s="70" t="n"/>
      <c r="N41" s="70" t="n"/>
    </row>
    <row r="42">
      <c r="A42" s="70" t="n"/>
      <c r="B42" s="19">
        <f>B18</f>
        <v/>
      </c>
      <c r="C42" s="19">
        <f>C18</f>
        <v/>
      </c>
      <c r="D42" s="19">
        <f>D18</f>
        <v/>
      </c>
      <c r="E42" s="19">
        <f>IF(C18="","",C18-$C$14)</f>
        <v/>
      </c>
      <c r="F42" s="78">
        <f>IF(E42="","",E42/365)</f>
        <v/>
      </c>
      <c r="G42" s="79">
        <f>IF(F42="","",(1+$C$5)^F42)</f>
        <v/>
      </c>
      <c r="H42" s="80">
        <f>IF(OR(C18="",D18=""),"",D18/G42)</f>
        <v/>
      </c>
      <c r="I42" s="80">
        <f>IF(H42="","",SUM($H$38:H42))</f>
        <v/>
      </c>
      <c r="J42" s="70" t="n"/>
      <c r="K42" s="70" t="n"/>
      <c r="L42" s="70" t="n"/>
      <c r="M42" s="70" t="n"/>
      <c r="N42" s="70" t="n"/>
    </row>
    <row r="43">
      <c r="A43" s="70" t="n"/>
      <c r="B43" s="19">
        <f>B19</f>
        <v/>
      </c>
      <c r="C43" s="19">
        <f>C19</f>
        <v/>
      </c>
      <c r="D43" s="19">
        <f>D19</f>
        <v/>
      </c>
      <c r="E43" s="19">
        <f>IF(C19="","",C19-$C$14)</f>
        <v/>
      </c>
      <c r="F43" s="78">
        <f>IF(E43="","",E43/365)</f>
        <v/>
      </c>
      <c r="G43" s="79">
        <f>IF(F43="","",(1+$C$5)^F43)</f>
        <v/>
      </c>
      <c r="H43" s="80">
        <f>IF(OR(C19="",D19=""),"",D19/G43)</f>
        <v/>
      </c>
      <c r="I43" s="80">
        <f>IF(H43="","",SUM($H$38:H43))</f>
        <v/>
      </c>
      <c r="J43" s="70" t="n"/>
      <c r="K43" s="70" t="n"/>
      <c r="L43" s="70" t="n"/>
      <c r="M43" s="70" t="n"/>
      <c r="N43" s="70" t="n"/>
    </row>
    <row r="44">
      <c r="A44" s="70" t="n"/>
      <c r="B44" s="19">
        <f>B20</f>
        <v/>
      </c>
      <c r="C44" s="19">
        <f>C20</f>
        <v/>
      </c>
      <c r="D44" s="19">
        <f>D20</f>
        <v/>
      </c>
      <c r="E44" s="19">
        <f>IF(C20="","",C20-$C$14)</f>
        <v/>
      </c>
      <c r="F44" s="78">
        <f>IF(E44="","",E44/365)</f>
        <v/>
      </c>
      <c r="G44" s="79">
        <f>IF(F44="","",(1+$C$5)^F44)</f>
        <v/>
      </c>
      <c r="H44" s="80">
        <f>IF(OR(C20="",D20=""),"",D20/G44)</f>
        <v/>
      </c>
      <c r="I44" s="80">
        <f>IF(H44="","",SUM($H$38:H44))</f>
        <v/>
      </c>
      <c r="J44" s="70" t="n"/>
      <c r="K44" s="70" t="n"/>
      <c r="L44" s="70" t="n"/>
      <c r="M44" s="70" t="n"/>
      <c r="N44" s="70" t="n"/>
    </row>
    <row r="45">
      <c r="A45" s="70" t="n"/>
      <c r="B45" s="19">
        <f>B21</f>
        <v/>
      </c>
      <c r="C45" s="19">
        <f>C21</f>
        <v/>
      </c>
      <c r="D45" s="19">
        <f>D21</f>
        <v/>
      </c>
      <c r="E45" s="19">
        <f>IF(C21="","",C21-$C$14)</f>
        <v/>
      </c>
      <c r="F45" s="78">
        <f>IF(E45="","",E45/365)</f>
        <v/>
      </c>
      <c r="G45" s="79">
        <f>IF(F45="","",(1+$C$5)^F45)</f>
        <v/>
      </c>
      <c r="H45" s="80">
        <f>IF(OR(C21="",D21=""),"",D21/G45)</f>
        <v/>
      </c>
      <c r="I45" s="80">
        <f>IF(H45="","",SUM($H$38:H45))</f>
        <v/>
      </c>
      <c r="J45" s="70" t="n"/>
      <c r="K45" s="70" t="n"/>
      <c r="L45" s="70" t="n"/>
      <c r="M45" s="70" t="n"/>
      <c r="N45" s="70" t="n"/>
    </row>
    <row r="46">
      <c r="A46" s="70" t="n"/>
      <c r="B46" s="19">
        <f>B22</f>
        <v/>
      </c>
      <c r="C46" s="19">
        <f>C22</f>
        <v/>
      </c>
      <c r="D46" s="19">
        <f>D22</f>
        <v/>
      </c>
      <c r="E46" s="19">
        <f>IF(C22="","",C22-$C$14)</f>
        <v/>
      </c>
      <c r="F46" s="78">
        <f>IF(E46="","",E46/365)</f>
        <v/>
      </c>
      <c r="G46" s="79">
        <f>IF(F46="","",(1+$C$5)^F46)</f>
        <v/>
      </c>
      <c r="H46" s="80">
        <f>IF(OR(C22="",D22=""),"",D22/G46)</f>
        <v/>
      </c>
      <c r="I46" s="80">
        <f>IF(H46="","",SUM($H$38:H46))</f>
        <v/>
      </c>
      <c r="J46" s="70" t="n"/>
      <c r="K46" s="70" t="n"/>
      <c r="L46" s="70" t="n"/>
      <c r="M46" s="70" t="n"/>
      <c r="N46" s="70" t="n"/>
    </row>
    <row r="47">
      <c r="A47" s="70" t="n"/>
      <c r="B47" s="19">
        <f>B23</f>
        <v/>
      </c>
      <c r="C47" s="19">
        <f>C23</f>
        <v/>
      </c>
      <c r="D47" s="19">
        <f>D23</f>
        <v/>
      </c>
      <c r="E47" s="19">
        <f>IF(C23="","",C23-$C$14)</f>
        <v/>
      </c>
      <c r="F47" s="78">
        <f>IF(E47="","",E47/365)</f>
        <v/>
      </c>
      <c r="G47" s="79">
        <f>IF(F47="","",(1+$C$5)^F47)</f>
        <v/>
      </c>
      <c r="H47" s="80">
        <f>IF(OR(C23="",D23=""),"",D23/G47)</f>
        <v/>
      </c>
      <c r="I47" s="80">
        <f>IF(H47="","",SUM($H$38:H47))</f>
        <v/>
      </c>
      <c r="J47" s="70" t="n"/>
      <c r="K47" s="70" t="n"/>
      <c r="L47" s="70" t="n"/>
      <c r="M47" s="70" t="n"/>
      <c r="N47" s="70" t="n"/>
    </row>
    <row r="48">
      <c r="A48" s="70" t="n"/>
      <c r="B48" s="19">
        <f>B24</f>
        <v/>
      </c>
      <c r="C48" s="19">
        <f>C24</f>
        <v/>
      </c>
      <c r="D48" s="19">
        <f>D24</f>
        <v/>
      </c>
      <c r="E48" s="19">
        <f>IF(C24="","",C24-$C$14)</f>
        <v/>
      </c>
      <c r="F48" s="78">
        <f>IF(E48="","",E48/365)</f>
        <v/>
      </c>
      <c r="G48" s="79">
        <f>IF(F48="","",(1+$C$5)^F48)</f>
        <v/>
      </c>
      <c r="H48" s="80">
        <f>IF(OR(C24="",D24=""),"",D24/G48)</f>
        <v/>
      </c>
      <c r="I48" s="80">
        <f>IF(H48="","",SUM($H$38:H48))</f>
        <v/>
      </c>
      <c r="J48" s="70" t="n"/>
      <c r="K48" s="70" t="n"/>
      <c r="L48" s="70" t="n"/>
      <c r="M48" s="70" t="n"/>
      <c r="N48" s="70" t="n"/>
    </row>
    <row r="49">
      <c r="A49" s="70" t="n"/>
      <c r="B49" s="19">
        <f>B25</f>
        <v/>
      </c>
      <c r="C49" s="19">
        <f>C25</f>
        <v/>
      </c>
      <c r="D49" s="19">
        <f>D25</f>
        <v/>
      </c>
      <c r="E49" s="19">
        <f>IF(C25="","",C25-$C$14)</f>
        <v/>
      </c>
      <c r="F49" s="78">
        <f>IF(E49="","",E49/365)</f>
        <v/>
      </c>
      <c r="G49" s="79">
        <f>IF(F49="","",(1+$C$5)^F49)</f>
        <v/>
      </c>
      <c r="H49" s="80">
        <f>IF(OR(C25="",D25=""),"",D25/G49)</f>
        <v/>
      </c>
      <c r="I49" s="80">
        <f>IF(H49="","",SUM($H$38:H49))</f>
        <v/>
      </c>
      <c r="J49" s="70" t="n"/>
      <c r="K49" s="70" t="n"/>
      <c r="L49" s="70" t="n"/>
      <c r="M49" s="70" t="n"/>
      <c r="N49" s="70" t="n"/>
    </row>
    <row r="50">
      <c r="A50" s="70" t="n"/>
      <c r="B50" s="19">
        <f>B26</f>
        <v/>
      </c>
      <c r="C50" s="19">
        <f>C26</f>
        <v/>
      </c>
      <c r="D50" s="19">
        <f>D26</f>
        <v/>
      </c>
      <c r="E50" s="19">
        <f>IF(C26="","",C26-$C$14)</f>
        <v/>
      </c>
      <c r="F50" s="78">
        <f>IF(E50="","",E50/365)</f>
        <v/>
      </c>
      <c r="G50" s="79">
        <f>IF(F50="","",(1+$C$5)^F50)</f>
        <v/>
      </c>
      <c r="H50" s="80">
        <f>IF(OR(C26="",D26=""),"",D26/G50)</f>
        <v/>
      </c>
      <c r="I50" s="80">
        <f>IF(H50="","",SUM($H$38:H50))</f>
        <v/>
      </c>
      <c r="J50" s="70" t="n"/>
      <c r="K50" s="70" t="n"/>
      <c r="L50" s="70" t="n"/>
      <c r="M50" s="70" t="n"/>
      <c r="N50" s="70" t="n"/>
    </row>
    <row r="51">
      <c r="A51" s="70" t="n"/>
      <c r="B51" s="19">
        <f>B27</f>
        <v/>
      </c>
      <c r="C51" s="19">
        <f>C27</f>
        <v/>
      </c>
      <c r="D51" s="19">
        <f>D27</f>
        <v/>
      </c>
      <c r="E51" s="19">
        <f>IF(C27="","",C27-$C$14)</f>
        <v/>
      </c>
      <c r="F51" s="78">
        <f>IF(E51="","",E51/365)</f>
        <v/>
      </c>
      <c r="G51" s="79">
        <f>IF(F51="","",(1+$C$5)^F51)</f>
        <v/>
      </c>
      <c r="H51" s="80">
        <f>IF(OR(C27="",D27=""),"",D27/G51)</f>
        <v/>
      </c>
      <c r="I51" s="80">
        <f>IF(H51="","",SUM($H$38:H51))</f>
        <v/>
      </c>
      <c r="J51" s="70" t="n"/>
      <c r="K51" s="70" t="n"/>
      <c r="L51" s="70" t="n"/>
      <c r="M51" s="70" t="n"/>
      <c r="N51" s="70" t="n"/>
    </row>
    <row r="52">
      <c r="A52" s="70" t="n"/>
      <c r="B52" s="19">
        <f>B28</f>
        <v/>
      </c>
      <c r="C52" s="19">
        <f>C28</f>
        <v/>
      </c>
      <c r="D52" s="19">
        <f>D28</f>
        <v/>
      </c>
      <c r="E52" s="19">
        <f>IF(C28="","",C28-$C$14)</f>
        <v/>
      </c>
      <c r="F52" s="78">
        <f>IF(E52="","",E52/365)</f>
        <v/>
      </c>
      <c r="G52" s="79">
        <f>IF(F52="","",(1+$C$5)^F52)</f>
        <v/>
      </c>
      <c r="H52" s="80">
        <f>IF(OR(C28="",D28=""),"",D28/G52)</f>
        <v/>
      </c>
      <c r="I52" s="80">
        <f>IF(H52="","",SUM($H$38:H52))</f>
        <v/>
      </c>
      <c r="J52" s="70" t="n"/>
      <c r="K52" s="70" t="n"/>
      <c r="L52" s="70" t="n"/>
      <c r="M52" s="70" t="n"/>
      <c r="N52" s="70" t="n"/>
    </row>
    <row r="53">
      <c r="A53" s="70" t="n"/>
      <c r="B53" s="19">
        <f>B29</f>
        <v/>
      </c>
      <c r="C53" s="19">
        <f>C29</f>
        <v/>
      </c>
      <c r="D53" s="19">
        <f>D29</f>
        <v/>
      </c>
      <c r="E53" s="19">
        <f>IF(C29="","",C29-$C$14)</f>
        <v/>
      </c>
      <c r="F53" s="78">
        <f>IF(E53="","",E53/365)</f>
        <v/>
      </c>
      <c r="G53" s="79">
        <f>IF(F53="","",(1+$C$5)^F53)</f>
        <v/>
      </c>
      <c r="H53" s="80">
        <f>IF(OR(C29="",D29=""),"",D29/G53)</f>
        <v/>
      </c>
      <c r="I53" s="80">
        <f>IF(H53="","",SUM($H$38:H53))</f>
        <v/>
      </c>
      <c r="J53" s="70" t="n"/>
      <c r="K53" s="70" t="n"/>
      <c r="L53" s="70" t="n"/>
      <c r="M53" s="70" t="n"/>
      <c r="N53" s="70" t="n"/>
    </row>
    <row r="54">
      <c r="A54" s="70" t="n"/>
      <c r="B54" s="19">
        <f>B30</f>
        <v/>
      </c>
      <c r="C54" s="19">
        <f>C30</f>
        <v/>
      </c>
      <c r="D54" s="19">
        <f>D30</f>
        <v/>
      </c>
      <c r="E54" s="19">
        <f>IF(C30="","",C30-$C$14)</f>
        <v/>
      </c>
      <c r="F54" s="78">
        <f>IF(E54="","",E54/365)</f>
        <v/>
      </c>
      <c r="G54" s="79">
        <f>IF(F54="","",(1+$C$5)^F54)</f>
        <v/>
      </c>
      <c r="H54" s="80">
        <f>IF(OR(C30="",D30=""),"",D30/G54)</f>
        <v/>
      </c>
      <c r="I54" s="80">
        <f>IF(H54="","",SUM($H$38:H54))</f>
        <v/>
      </c>
      <c r="J54" s="70" t="n"/>
      <c r="K54" s="70" t="n"/>
      <c r="L54" s="70" t="n"/>
      <c r="M54" s="70" t="n"/>
      <c r="N54" s="70" t="n"/>
    </row>
    <row r="55">
      <c r="A55" s="70" t="n"/>
      <c r="B55" s="19">
        <f>B31</f>
        <v/>
      </c>
      <c r="C55" s="19">
        <f>C31</f>
        <v/>
      </c>
      <c r="D55" s="19">
        <f>D31</f>
        <v/>
      </c>
      <c r="E55" s="19">
        <f>IF(C31="","",C31-$C$14)</f>
        <v/>
      </c>
      <c r="F55" s="78">
        <f>IF(E55="","",E55/365)</f>
        <v/>
      </c>
      <c r="G55" s="79">
        <f>IF(F55="","",(1+$C$5)^F55)</f>
        <v/>
      </c>
      <c r="H55" s="80">
        <f>IF(OR(C31="",D31=""),"",D31/G55)</f>
        <v/>
      </c>
      <c r="I55" s="80">
        <f>IF(H55="","",SUM($H$38:H55))</f>
        <v/>
      </c>
      <c r="J55" s="70" t="n"/>
      <c r="K55" s="70" t="n"/>
      <c r="L55" s="70" t="n"/>
      <c r="M55" s="70" t="n"/>
      <c r="N55" s="70" t="n"/>
    </row>
    <row r="56">
      <c r="A56" s="70" t="n"/>
      <c r="B56" s="19">
        <f>B32</f>
        <v/>
      </c>
      <c r="C56" s="19">
        <f>C32</f>
        <v/>
      </c>
      <c r="D56" s="19">
        <f>D32</f>
        <v/>
      </c>
      <c r="E56" s="19">
        <f>IF(C32="","",C32-$C$14)</f>
        <v/>
      </c>
      <c r="F56" s="78">
        <f>IF(E56="","",E56/365)</f>
        <v/>
      </c>
      <c r="G56" s="79">
        <f>IF(F56="","",(1+$C$5)^F56)</f>
        <v/>
      </c>
      <c r="H56" s="80">
        <f>IF(OR(C32="",D32=""),"",D32/G56)</f>
        <v/>
      </c>
      <c r="I56" s="80">
        <f>IF(H56="","",SUM($H$38:H56))</f>
        <v/>
      </c>
      <c r="J56" s="70" t="n"/>
      <c r="K56" s="70" t="n"/>
      <c r="L56" s="70" t="n"/>
      <c r="M56" s="70" t="n"/>
      <c r="N56" s="70" t="n"/>
    </row>
    <row r="57">
      <c r="A57" s="70" t="n"/>
      <c r="B57" s="19">
        <f>B33</f>
        <v/>
      </c>
      <c r="C57" s="19">
        <f>C33</f>
        <v/>
      </c>
      <c r="D57" s="19">
        <f>D33</f>
        <v/>
      </c>
      <c r="E57" s="19">
        <f>IF(C33="","",C33-$C$14)</f>
        <v/>
      </c>
      <c r="F57" s="78">
        <f>IF(E57="","",E57/365)</f>
        <v/>
      </c>
      <c r="G57" s="79">
        <f>IF(F57="","",(1+$C$5)^F57)</f>
        <v/>
      </c>
      <c r="H57" s="80">
        <f>IF(OR(C33="",D33=""),"",D33/G57)</f>
        <v/>
      </c>
      <c r="I57" s="80">
        <f>IF(H57="","",SUM($H$38:H57))</f>
        <v/>
      </c>
      <c r="J57" s="70" t="n"/>
      <c r="K57" s="70" t="n"/>
      <c r="L57" s="70" t="n"/>
      <c r="M57" s="70" t="n"/>
      <c r="N57" s="70" t="n"/>
    </row>
    <row r="58">
      <c r="A58" s="70" t="n"/>
      <c r="B58" s="70" t="n"/>
      <c r="C58" s="70" t="n"/>
      <c r="D58" s="70" t="n"/>
      <c r="E58" s="70" t="n"/>
      <c r="F58" s="70" t="n"/>
      <c r="G58" s="70" t="n"/>
      <c r="H58" s="70" t="n"/>
      <c r="I58" s="70" t="n"/>
      <c r="J58" s="70" t="n"/>
      <c r="K58" s="70" t="n"/>
      <c r="L58" s="70" t="n"/>
      <c r="M58" s="70" t="n"/>
      <c r="N58" s="70" t="n"/>
    </row>
    <row r="59">
      <c r="A59" s="70" t="n"/>
      <c r="B59" s="70" t="n"/>
      <c r="C59" s="70" t="n"/>
      <c r="D59" s="70" t="n"/>
      <c r="E59" s="70" t="n"/>
      <c r="F59" s="70" t="n"/>
      <c r="G59" s="70" t="n"/>
      <c r="H59" s="70" t="n"/>
      <c r="I59" s="70" t="n"/>
      <c r="J59" s="70" t="n"/>
      <c r="K59" s="70" t="n"/>
      <c r="L59" s="70" t="n"/>
      <c r="M59" s="70" t="n"/>
      <c r="N59" s="70" t="n"/>
    </row>
    <row r="60">
      <c r="A60" s="70" t="n"/>
      <c r="B60" s="70" t="n"/>
      <c r="C60" s="70" t="n"/>
      <c r="D60" s="70" t="n"/>
      <c r="E60" s="70" t="n"/>
      <c r="F60" s="70" t="n"/>
      <c r="G60" s="70" t="n"/>
      <c r="H60" s="70" t="n"/>
      <c r="I60" s="70" t="n"/>
      <c r="J60" s="70" t="n"/>
      <c r="K60" s="70" t="n"/>
      <c r="L60" s="70" t="n"/>
      <c r="M60" s="70" t="n"/>
      <c r="N60" s="70" t="n"/>
    </row>
    <row r="61">
      <c r="A61" s="70" t="n"/>
      <c r="B61" s="70" t="n"/>
      <c r="C61" s="70" t="n"/>
      <c r="D61" s="70" t="n"/>
      <c r="E61" s="70" t="n"/>
      <c r="F61" s="70" t="n"/>
      <c r="G61" s="70" t="n"/>
      <c r="H61" s="70" t="n"/>
      <c r="I61" s="70" t="n"/>
      <c r="J61" s="70" t="n"/>
      <c r="K61" s="70" t="n"/>
      <c r="L61" s="70" t="n"/>
      <c r="M61" s="70" t="n"/>
      <c r="N61" s="70" t="n"/>
    </row>
    <row r="62">
      <c r="A62" s="70" t="n"/>
      <c r="B62" s="70" t="n"/>
      <c r="C62" s="70" t="n"/>
      <c r="D62" s="70" t="n"/>
      <c r="E62" s="70" t="n"/>
      <c r="F62" s="70" t="n"/>
      <c r="G62" s="70" t="n"/>
      <c r="H62" s="70" t="n"/>
      <c r="I62" s="70" t="n"/>
      <c r="J62" s="70" t="n"/>
      <c r="K62" s="70" t="n"/>
      <c r="L62" s="70" t="n"/>
      <c r="M62" s="70" t="n"/>
      <c r="N62" s="70" t="n"/>
    </row>
    <row r="63">
      <c r="A63" s="70" t="n"/>
      <c r="B63" s="70" t="n"/>
      <c r="C63" s="70" t="n"/>
      <c r="D63" s="70" t="n"/>
      <c r="E63" s="70" t="n"/>
      <c r="F63" s="70" t="n"/>
      <c r="G63" s="70" t="n"/>
      <c r="H63" s="70" t="n"/>
      <c r="I63" s="70" t="n"/>
      <c r="J63" s="70" t="n"/>
      <c r="K63" s="70" t="n"/>
      <c r="L63" s="70" t="n"/>
      <c r="M63" s="70" t="n"/>
      <c r="N63" s="70" t="n"/>
    </row>
    <row r="64">
      <c r="A64" s="70" t="n"/>
      <c r="B64" s="70" t="n"/>
      <c r="C64" s="70" t="n"/>
      <c r="D64" s="70" t="n"/>
      <c r="E64" s="70" t="n"/>
      <c r="F64" s="70" t="n"/>
      <c r="G64" s="70" t="n"/>
      <c r="H64" s="70" t="n"/>
      <c r="I64" s="70" t="n"/>
      <c r="J64" s="70" t="n"/>
      <c r="K64" s="70" t="n"/>
      <c r="L64" s="70" t="n"/>
      <c r="M64" s="70" t="n"/>
      <c r="N64" s="70" t="n"/>
    </row>
    <row r="65">
      <c r="A65" s="70" t="n"/>
      <c r="B65" s="70" t="n"/>
      <c r="C65" s="70" t="n"/>
      <c r="D65" s="70" t="n"/>
      <c r="E65" s="70" t="n"/>
      <c r="F65" s="70" t="n"/>
      <c r="G65" s="70" t="n"/>
      <c r="H65" s="70" t="n"/>
      <c r="I65" s="70" t="n"/>
      <c r="J65" s="70" t="n"/>
      <c r="K65" s="70" t="n"/>
      <c r="L65" s="70" t="n"/>
      <c r="M65" s="70" t="n"/>
      <c r="N65" s="70" t="n"/>
    </row>
    <row r="66">
      <c r="A66" s="70" t="n"/>
      <c r="B66" s="70" t="n"/>
      <c r="C66" s="70" t="n"/>
      <c r="D66" s="70" t="n"/>
      <c r="E66" s="70" t="n"/>
      <c r="F66" s="70" t="n"/>
      <c r="G66" s="70" t="n"/>
      <c r="H66" s="70" t="n"/>
      <c r="I66" s="70" t="n"/>
      <c r="J66" s="70" t="n"/>
      <c r="K66" s="70" t="n"/>
      <c r="L66" s="70" t="n"/>
      <c r="M66" s="70" t="n"/>
      <c r="N66" s="70" t="n"/>
    </row>
    <row r="67">
      <c r="A67" s="70" t="n"/>
      <c r="B67" s="70" t="n"/>
      <c r="C67" s="70" t="n"/>
      <c r="D67" s="70" t="n"/>
      <c r="E67" s="70" t="n"/>
      <c r="F67" s="70" t="n"/>
      <c r="G67" s="70" t="n"/>
      <c r="H67" s="70" t="n"/>
      <c r="I67" s="70" t="n"/>
      <c r="J67" s="70" t="n"/>
      <c r="K67" s="70" t="n"/>
      <c r="L67" s="70" t="n"/>
      <c r="M67" s="70" t="n"/>
      <c r="N67" s="70" t="n"/>
    </row>
    <row r="68">
      <c r="A68" s="70" t="n"/>
      <c r="B68" s="70" t="n"/>
      <c r="C68" s="70" t="n"/>
      <c r="D68" s="70" t="n"/>
      <c r="E68" s="70" t="n"/>
      <c r="F68" s="70" t="n"/>
      <c r="G68" s="70" t="n"/>
      <c r="H68" s="70" t="n"/>
      <c r="I68" s="70" t="n"/>
      <c r="J68" s="70" t="n"/>
      <c r="K68" s="70" t="n"/>
      <c r="L68" s="70" t="n"/>
      <c r="M68" s="70" t="n"/>
      <c r="N68" s="70" t="n"/>
    </row>
    <row r="69">
      <c r="A69" s="70" t="n"/>
      <c r="B69" s="70" t="n"/>
      <c r="C69" s="70" t="n"/>
      <c r="D69" s="70" t="n"/>
      <c r="E69" s="70" t="n"/>
      <c r="F69" s="70" t="n"/>
      <c r="G69" s="70" t="n"/>
      <c r="H69" s="70" t="n"/>
      <c r="I69" s="70" t="n"/>
      <c r="J69" s="70" t="n"/>
      <c r="K69" s="70" t="n"/>
      <c r="L69" s="70" t="n"/>
      <c r="M69" s="70" t="n"/>
      <c r="N69" s="70" t="n"/>
    </row>
    <row r="70">
      <c r="A70" s="70" t="n"/>
      <c r="B70" s="70" t="n"/>
      <c r="C70" s="70" t="n"/>
      <c r="D70" s="70" t="n"/>
      <c r="E70" s="70" t="n"/>
      <c r="F70" s="70" t="n"/>
      <c r="G70" s="70" t="n"/>
      <c r="H70" s="70" t="n"/>
      <c r="I70" s="70" t="n"/>
      <c r="J70" s="70" t="n"/>
      <c r="K70" s="70" t="n"/>
      <c r="L70" s="70" t="n"/>
      <c r="M70" s="70" t="n"/>
      <c r="N70" s="70" t="n"/>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B35:G35"/>
    <mergeCell ref="B4:G4"/>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N70"/>
  <sheetViews>
    <sheetView workbookViewId="0">
      <pane xSplit="1" ySplit="13" topLeftCell="B14" activePane="bottomRight" state="frozen"/>
      <selection pane="topRight" activeCell="A1" sqref="A1"/>
      <selection pane="bottomLeft" activeCell="A1" sqref="A1"/>
      <selection pane="bottomRight" activeCell="A1" sqref="A1"/>
    </sheetView>
  </sheetViews>
  <sheetFormatPr baseColWidth="8" defaultRowHeight="14.5"/>
  <cols>
    <col width="3" customWidth="1" style="62" min="1" max="1"/>
    <col width="18" customWidth="1" style="62" min="2" max="4"/>
    <col width="16" customWidth="1" style="62" min="5" max="5"/>
    <col width="14" customWidth="1" style="62" min="6" max="6"/>
    <col width="16" customWidth="1" style="62" min="7" max="7"/>
    <col width="3" customWidth="1" style="62" min="8" max="8"/>
    <col width="22" customWidth="1" style="62" min="9" max="9"/>
    <col width="18" customWidth="1" style="62" min="10" max="14"/>
  </cols>
  <sheetData>
    <row r="1">
      <c r="A1" s="69" t="inlineStr">
        <is>
          <t>Case 5 – Project Radiant (GreenLight Energy)</t>
        </is>
      </c>
    </row>
    <row r="2">
      <c r="A2" s="4" t="inlineStr">
        <is>
          <t>⬅ Back to Index</t>
        </is>
      </c>
      <c r="B2" s="70" t="n"/>
      <c r="C2" s="70" t="n"/>
      <c r="D2" s="70" t="n"/>
      <c r="E2" s="70" t="n"/>
      <c r="F2" s="70" t="n"/>
      <c r="G2" s="70" t="n"/>
      <c r="H2" s="70" t="n"/>
      <c r="I2" s="70" t="n"/>
      <c r="J2" s="70" t="n"/>
      <c r="K2" s="70" t="n"/>
      <c r="L2" s="70" t="n"/>
      <c r="M2" s="70" t="n"/>
      <c r="N2" s="70" t="n"/>
    </row>
    <row r="3">
      <c r="A3" s="70" t="n"/>
      <c r="B3" s="70" t="n"/>
      <c r="C3" s="70" t="n"/>
      <c r="D3" s="70" t="n"/>
      <c r="E3" s="70" t="n"/>
      <c r="F3" s="70" t="n"/>
      <c r="G3" s="70" t="n"/>
      <c r="H3" s="70" t="n"/>
      <c r="I3" s="70" t="n"/>
      <c r="J3" s="70" t="n"/>
      <c r="K3" s="70" t="n"/>
      <c r="L3" s="70" t="n"/>
      <c r="M3" s="70" t="n"/>
      <c r="N3" s="70" t="n"/>
    </row>
    <row r="4">
      <c r="A4" s="70" t="n"/>
      <c r="B4" s="67" t="inlineStr">
        <is>
          <t>INPUTS</t>
        </is>
      </c>
      <c r="C4" s="72" t="n"/>
      <c r="D4" s="72" t="n"/>
      <c r="E4" s="72" t="n"/>
      <c r="F4" s="72" t="n"/>
      <c r="G4" s="73" t="n"/>
      <c r="H4" s="70" t="n"/>
      <c r="I4" s="68" t="inlineStr">
        <is>
          <t>OUTPUTS / DECISION</t>
        </is>
      </c>
      <c r="J4" s="72" t="n"/>
      <c r="K4" s="72" t="n"/>
      <c r="L4" s="72" t="n"/>
      <c r="M4" s="72" t="n"/>
      <c r="N4" s="73" t="n"/>
    </row>
    <row r="5" ht="29" customHeight="1" s="62">
      <c r="A5" s="70" t="n"/>
      <c r="B5" s="7" t="inlineStr">
        <is>
          <t>WACC / Discount rate</t>
        </is>
      </c>
      <c r="C5" s="29" t="n">
        <v>0.09</v>
      </c>
      <c r="D5" s="30" t="n"/>
      <c r="E5" s="30" t="n"/>
      <c r="F5" s="30" t="n"/>
      <c r="G5" s="30" t="n"/>
      <c r="H5" s="70" t="n"/>
      <c r="I5" s="31" t="inlineStr">
        <is>
          <t>Key Outputs</t>
        </is>
      </c>
      <c r="J5" s="32" t="n"/>
      <c r="K5" s="32" t="n"/>
      <c r="L5" s="32" t="n"/>
      <c r="M5" s="32" t="n"/>
      <c r="N5" s="32" t="n"/>
    </row>
    <row r="6">
      <c r="A6" s="70" t="n"/>
      <c r="B6" s="7" t="inlineStr">
        <is>
          <t>XIRR Guess</t>
        </is>
      </c>
      <c r="C6" s="29" t="n">
        <v>0.1</v>
      </c>
      <c r="D6" s="30" t="n"/>
      <c r="E6" s="30" t="n"/>
      <c r="F6" s="30" t="n"/>
      <c r="G6" s="30" t="n"/>
      <c r="H6" s="70" t="n"/>
      <c r="I6" s="5" t="inlineStr">
        <is>
          <t>Metric</t>
        </is>
      </c>
      <c r="J6" s="5" t="inlineStr">
        <is>
          <t>Value</t>
        </is>
      </c>
      <c r="K6" s="32" t="n"/>
      <c r="L6" s="32" t="n"/>
      <c r="M6" s="32" t="n"/>
      <c r="N6" s="32" t="n"/>
    </row>
    <row r="7" ht="29" customHeight="1" s="62">
      <c r="A7" s="70" t="n"/>
      <c r="B7" s="7" t="inlineStr">
        <is>
          <t>Scenario B WACC (risk premium)</t>
        </is>
      </c>
      <c r="C7" s="29" t="n">
        <v>0.12</v>
      </c>
      <c r="D7" s="30" t="n"/>
      <c r="E7" s="30" t="n"/>
      <c r="F7" s="30" t="n"/>
      <c r="G7" s="30" t="n"/>
      <c r="H7" s="70" t="n"/>
      <c r="I7" s="6" t="inlineStr">
        <is>
          <t>XNPV (₹)</t>
        </is>
      </c>
      <c r="J7" s="74">
        <f>IFERROR(XNPV($C$5,$D$14:$D$33,$C$14:$C$33),"")</f>
        <v/>
      </c>
      <c r="K7" s="32" t="n"/>
      <c r="L7" s="32" t="n"/>
      <c r="M7" s="32" t="n"/>
      <c r="N7" s="32" t="n"/>
    </row>
    <row r="8" ht="29" customHeight="1" s="62">
      <c r="A8" s="70" t="n"/>
      <c r="B8" s="7" t="inlineStr">
        <is>
          <t>Delay months for tagged rows</t>
        </is>
      </c>
      <c r="C8" s="38" t="n">
        <v>6</v>
      </c>
      <c r="D8" s="30" t="n"/>
      <c r="E8" s="30" t="n"/>
      <c r="F8" s="30" t="n"/>
      <c r="G8" s="30" t="n"/>
      <c r="H8" s="70" t="n"/>
      <c r="I8" s="6" t="inlineStr">
        <is>
          <t>XIRR (%)</t>
        </is>
      </c>
      <c r="J8" s="35">
        <f>IFERROR(XIRR($D$14:$D$33,$C$14:$C$33,$C$6),"")</f>
        <v/>
      </c>
      <c r="K8" s="32" t="n"/>
      <c r="L8" s="32" t="n"/>
      <c r="M8" s="32" t="n"/>
      <c r="N8" s="32" t="n"/>
    </row>
    <row r="9">
      <c r="A9" s="70" t="n"/>
      <c r="B9" s="30" t="n"/>
      <c r="C9" s="30" t="n"/>
      <c r="D9" s="30" t="n"/>
      <c r="E9" s="30" t="n"/>
      <c r="F9" s="30" t="n"/>
      <c r="G9" s="30" t="n"/>
      <c r="H9" s="70" t="n"/>
      <c r="I9" s="6" t="inlineStr">
        <is>
          <t>Decision</t>
        </is>
      </c>
      <c r="J9" s="9">
        <f>IF(J7="","",IF(J7&gt;0,"ACCEPT (XNPV&gt;0)","REJECT (XNPV≤0)"))</f>
        <v/>
      </c>
      <c r="K9" s="32" t="n"/>
      <c r="L9" s="32" t="n"/>
      <c r="M9" s="32" t="n"/>
      <c r="N9" s="32" t="n"/>
    </row>
    <row r="10">
      <c r="A10" s="70" t="n"/>
      <c r="B10" s="30" t="n"/>
      <c r="C10" s="30" t="n"/>
      <c r="D10" s="30" t="n"/>
      <c r="E10" s="30" t="n"/>
      <c r="F10" s="30" t="n"/>
      <c r="G10" s="30" t="n"/>
      <c r="H10" s="70" t="n"/>
      <c r="I10" s="32" t="n"/>
      <c r="J10" s="32" t="n"/>
      <c r="K10" s="32" t="n"/>
      <c r="L10" s="32" t="n"/>
      <c r="M10" s="32" t="n"/>
      <c r="N10" s="32" t="n"/>
    </row>
    <row r="11" ht="15.5" customHeight="1" s="62">
      <c r="A11" s="70" t="n"/>
      <c r="B11" s="30" t="n"/>
      <c r="C11" s="30" t="n"/>
      <c r="D11" s="30" t="n"/>
      <c r="E11" s="30" t="n"/>
      <c r="F11" s="30" t="n"/>
      <c r="G11" s="30" t="n"/>
      <c r="H11" s="70" t="n"/>
      <c r="I11" s="36" t="inlineStr">
        <is>
          <t>Checks</t>
        </is>
      </c>
      <c r="J11" s="37" t="n"/>
      <c r="K11" s="37" t="n"/>
      <c r="L11" s="32" t="n"/>
      <c r="M11" s="32" t="n"/>
      <c r="N11" s="32" t="n"/>
    </row>
    <row r="12" ht="62" customHeight="1" s="62">
      <c r="A12" s="70" t="n"/>
      <c r="B12" s="11" t="inlineStr">
        <is>
          <t>Cash Flow Schedule (enter dates &amp; cash flows)</t>
        </is>
      </c>
      <c r="C12" s="30" t="n"/>
      <c r="D12" s="30" t="n"/>
      <c r="E12" s="30" t="n"/>
      <c r="F12" s="30" t="n"/>
      <c r="G12" s="30" t="n"/>
      <c r="H12" s="70" t="n"/>
      <c r="I12" s="12" t="inlineStr">
        <is>
          <t>Check</t>
        </is>
      </c>
      <c r="J12" s="12" t="inlineStr">
        <is>
          <t>Status</t>
        </is>
      </c>
      <c r="K12" s="37" t="n"/>
      <c r="L12" s="32" t="n"/>
      <c r="M12" s="32" t="n"/>
      <c r="N12" s="32" t="n"/>
    </row>
    <row r="13">
      <c r="A13" s="70" t="n"/>
      <c r="B13" s="13" t="inlineStr">
        <is>
          <t>#</t>
        </is>
      </c>
      <c r="C13" s="13" t="inlineStr">
        <is>
          <t>Date</t>
        </is>
      </c>
      <c r="D13" s="13" t="inlineStr">
        <is>
          <t>Cash Flow (₹)</t>
        </is>
      </c>
      <c r="E13" s="13" t="inlineStr">
        <is>
          <t>Tag/Notes</t>
        </is>
      </c>
      <c r="F13" s="30" t="n"/>
      <c r="G13" s="30" t="n"/>
      <c r="H13" s="70" t="n"/>
      <c r="I13" s="10" t="inlineStr">
        <is>
          <t>Dates increasing?</t>
        </is>
      </c>
      <c r="J13" s="10">
        <f>IF(COUNT($C$14:$C$33)&lt;2,"",IF(SUMPRODUCT(--($C$15:$C$33&lt;&gt;""),--($C$14:$C$32&lt;&gt;""),--($C$15:$C$33&lt;$C$14:$C$32))=0,"OK","Review"))</f>
        <v/>
      </c>
      <c r="K13" s="37" t="n"/>
      <c r="L13" s="32" t="n"/>
      <c r="M13" s="32" t="n"/>
      <c r="N13" s="32" t="n"/>
    </row>
    <row r="14" ht="29" customHeight="1" s="62">
      <c r="A14" s="70" t="n"/>
      <c r="B14" s="38" t="n">
        <v>1</v>
      </c>
      <c r="C14" s="33" t="n">
        <v>43831</v>
      </c>
      <c r="D14" s="75" t="n">
        <v>-18000</v>
      </c>
      <c r="E14" s="30" t="n"/>
      <c r="F14" s="30" t="n"/>
      <c r="G14" s="30" t="n"/>
      <c r="H14" s="70" t="n"/>
      <c r="I14" s="10" t="inlineStr">
        <is>
          <t>Has at least one (-) and one (+) CF?</t>
        </is>
      </c>
      <c r="J14" s="10">
        <f>IF(AND(COUNTIF($D$14:$D$33,"&lt;0")&gt;=1,COUNTIF($D$14:$D$33,"&gt;0")&gt;=1),"OK","Review")</f>
        <v/>
      </c>
      <c r="K14" s="37" t="n"/>
      <c r="L14" s="14">
        <f>IF(C14="","",IF(E14="DELAY",EDATE(C14,$C$8),C14))</f>
        <v/>
      </c>
      <c r="M14" s="76">
        <f>IF(D14="",0,D14)</f>
        <v/>
      </c>
      <c r="N14" s="32" t="n"/>
    </row>
    <row r="15" ht="29" customHeight="1" s="62">
      <c r="A15" s="70" t="n"/>
      <c r="B15" s="38" t="n">
        <v>2</v>
      </c>
      <c r="C15" s="33" t="n">
        <v>43905</v>
      </c>
      <c r="D15" s="75" t="n">
        <v>4000</v>
      </c>
      <c r="E15" s="30" t="n"/>
      <c r="F15" s="30" t="n"/>
      <c r="G15" s="30" t="n"/>
      <c r="H15" s="70" t="n"/>
      <c r="I15" s="10" t="inlineStr">
        <is>
          <t>Multiple sign changes warning</t>
        </is>
      </c>
      <c r="J15" s="10">
        <f>IF(OR(COUNTIF($D$14:$D$33,"&lt;0")=0,COUNTIF($D$14:$D$33,"&gt;0")=0),"",IF(SUMPRODUCT(--(($D$14:$D$32*$D$15:$D$33)&lt;0))&gt;1,"Warning","OK"))</f>
        <v/>
      </c>
      <c r="K15" s="37" t="n"/>
      <c r="L15" s="14">
        <f>IF(C15="","",IF(E15="DELAY",EDATE(C15,$C$8),C15))</f>
        <v/>
      </c>
      <c r="M15" s="76">
        <f>IF(D15="",0,D15)</f>
        <v/>
      </c>
      <c r="N15" s="32" t="n"/>
    </row>
    <row r="16" ht="29" customHeight="1" s="62">
      <c r="A16" s="70" t="n"/>
      <c r="B16" s="38" t="n">
        <v>3</v>
      </c>
      <c r="C16" s="33" t="n">
        <v>44027</v>
      </c>
      <c r="D16" s="75" t="n">
        <v>5000</v>
      </c>
      <c r="E16" s="30" t="n"/>
      <c r="F16" s="30" t="n"/>
      <c r="G16" s="30" t="n"/>
      <c r="H16" s="70" t="n"/>
      <c r="I16" s="10" t="inlineStr">
        <is>
          <t>XNPV vs PV-sum consistency</t>
        </is>
      </c>
      <c r="J16" s="10">
        <f>IF(J7="","",IF(ABS(J7-SUM($H$38:$H$57))&lt;1,"OK","Review"))</f>
        <v/>
      </c>
      <c r="K16" s="37" t="n"/>
      <c r="L16" s="14">
        <f>IF(C16="","",IF(E16="DELAY",EDATE(C16,$C$8),C16))</f>
        <v/>
      </c>
      <c r="M16" s="76">
        <f>IF(D16="",0,D16)</f>
        <v/>
      </c>
      <c r="N16" s="32" t="n"/>
    </row>
    <row r="17">
      <c r="A17" s="70" t="n"/>
      <c r="B17" s="38" t="n">
        <v>4</v>
      </c>
      <c r="C17" s="33" t="n">
        <v>44211</v>
      </c>
      <c r="D17" s="75" t="n">
        <v>6000</v>
      </c>
      <c r="E17" s="30" t="n"/>
      <c r="F17" s="30" t="n"/>
      <c r="G17" s="30" t="n"/>
      <c r="H17" s="70" t="n"/>
      <c r="I17" s="37" t="n"/>
      <c r="J17" s="37" t="n"/>
      <c r="K17" s="37" t="n"/>
      <c r="L17" s="14">
        <f>IF(C17="","",IF(E17="DELAY",EDATE(C17,$C$8),C17))</f>
        <v/>
      </c>
      <c r="M17" s="76">
        <f>IF(D17="",0,D17)</f>
        <v/>
      </c>
      <c r="N17" s="32" t="n"/>
    </row>
    <row r="18">
      <c r="A18" s="70" t="n"/>
      <c r="B18" s="38" t="n">
        <v>5</v>
      </c>
      <c r="C18" s="33" t="n">
        <v>44362</v>
      </c>
      <c r="D18" s="75" t="n">
        <v>4500</v>
      </c>
      <c r="E18" s="30" t="n"/>
      <c r="F18" s="30" t="n"/>
      <c r="G18" s="30" t="n"/>
      <c r="H18" s="70" t="n"/>
      <c r="I18" s="70" t="n"/>
      <c r="J18" s="70" t="n"/>
      <c r="K18" s="70" t="n"/>
      <c r="L18" s="16">
        <f>IF(C18="","",IF(E18="DELAY",EDATE(C18,$C$8),C18))</f>
        <v/>
      </c>
      <c r="M18" s="77">
        <f>IF(D18="",0,D18)</f>
        <v/>
      </c>
      <c r="N18" s="70" t="n"/>
    </row>
    <row r="19" ht="15.5" customHeight="1" s="62">
      <c r="A19" s="70" t="n"/>
      <c r="B19" s="38" t="n">
        <v>6</v>
      </c>
      <c r="C19" s="33" t="n">
        <v>44561</v>
      </c>
      <c r="D19" s="75" t="n">
        <v>3000</v>
      </c>
      <c r="E19" s="7" t="inlineStr">
        <is>
          <t>DELAY</t>
        </is>
      </c>
      <c r="F19" s="30" t="n"/>
      <c r="G19" s="30" t="n"/>
      <c r="H19" s="70" t="n"/>
      <c r="I19" s="8" t="inlineStr">
        <is>
          <t>Scenario comparison</t>
        </is>
      </c>
      <c r="J19" s="32" t="n"/>
      <c r="K19" s="32" t="n"/>
      <c r="L19" s="14">
        <f>IF(C19="","",IF(E19="DELAY",EDATE(C19,$C$8),C19))</f>
        <v/>
      </c>
      <c r="M19" s="76">
        <f>IF(D19="",0,D19)</f>
        <v/>
      </c>
      <c r="N19" s="32" t="n"/>
    </row>
    <row r="20">
      <c r="A20" s="70" t="n"/>
      <c r="B20" s="38" t="n">
        <v>7</v>
      </c>
      <c r="C20" s="33" t="n"/>
      <c r="D20" s="75" t="n"/>
      <c r="E20" s="30" t="n"/>
      <c r="F20" s="30" t="n"/>
      <c r="G20" s="30" t="n"/>
      <c r="H20" s="70" t="n"/>
      <c r="I20" s="5" t="inlineStr">
        <is>
          <t>Metric</t>
        </is>
      </c>
      <c r="J20" s="5" t="inlineStr">
        <is>
          <t>Scenario A</t>
        </is>
      </c>
      <c r="K20" s="5" t="inlineStr">
        <is>
          <t>Scenario B</t>
        </is>
      </c>
      <c r="L20" s="14">
        <f>IF(C20="","",IF(E20="DELAY",EDATE(C20,$C$8),C20))</f>
        <v/>
      </c>
      <c r="M20" s="76">
        <f>IF(D20="",0,D20)</f>
        <v/>
      </c>
      <c r="N20" s="32" t="n"/>
    </row>
    <row r="21">
      <c r="A21" s="70" t="n"/>
      <c r="B21" s="38" t="n">
        <v>8</v>
      </c>
      <c r="C21" s="33" t="n"/>
      <c r="D21" s="75" t="n"/>
      <c r="E21" s="30" t="n"/>
      <c r="F21" s="30" t="n"/>
      <c r="G21" s="30" t="n"/>
      <c r="H21" s="70" t="n"/>
      <c r="I21" s="6" t="inlineStr">
        <is>
          <t>XNPV (₹)</t>
        </is>
      </c>
      <c r="J21" s="74">
        <f>J7</f>
        <v/>
      </c>
      <c r="K21" s="74">
        <f>IFERROR(XNPV($C$7,$M$14:$M$33,$L$14:$L$33),"")</f>
        <v/>
      </c>
      <c r="L21" s="14">
        <f>IF(C21="","",IF(E21="DELAY",EDATE(C21,$C$8),C21))</f>
        <v/>
      </c>
      <c r="M21" s="76">
        <f>IF(D21="",0,D21)</f>
        <v/>
      </c>
      <c r="N21" s="32" t="n"/>
    </row>
    <row r="22">
      <c r="A22" s="70" t="n"/>
      <c r="B22" s="38" t="n">
        <v>9</v>
      </c>
      <c r="C22" s="33" t="n"/>
      <c r="D22" s="75" t="n"/>
      <c r="E22" s="30" t="n"/>
      <c r="F22" s="30" t="n"/>
      <c r="G22" s="30" t="n"/>
      <c r="H22" s="70" t="n"/>
      <c r="I22" s="6" t="inlineStr">
        <is>
          <t>XIRR (%)</t>
        </is>
      </c>
      <c r="J22" s="35">
        <f>J8</f>
        <v/>
      </c>
      <c r="K22" s="35">
        <f>IFERROR(XIRR($M$14:$M$33,$L$14:$L$33,$C$6),"")</f>
        <v/>
      </c>
      <c r="L22" s="14">
        <f>IF(C22="","",IF(E22="DELAY",EDATE(C22,$C$8),C22))</f>
        <v/>
      </c>
      <c r="M22" s="76">
        <f>IF(D22="",0,D22)</f>
        <v/>
      </c>
      <c r="N22" s="32" t="n"/>
    </row>
    <row r="23">
      <c r="A23" s="70" t="n"/>
      <c r="B23" s="38" t="n">
        <v>10</v>
      </c>
      <c r="C23" s="33" t="n"/>
      <c r="D23" s="75" t="n"/>
      <c r="E23" s="30" t="n"/>
      <c r="F23" s="30" t="n"/>
      <c r="G23" s="30" t="n"/>
      <c r="H23" s="70" t="n"/>
      <c r="I23" s="32" t="n"/>
      <c r="J23" s="32" t="n"/>
      <c r="K23" s="32" t="n"/>
      <c r="L23" s="14">
        <f>IF(C23="","",IF(E23="DELAY",EDATE(C23,$C$8),C23))</f>
        <v/>
      </c>
      <c r="M23" s="76">
        <f>IF(D23="",0,D23)</f>
        <v/>
      </c>
      <c r="N23" s="32" t="n"/>
    </row>
    <row r="24">
      <c r="A24" s="70" t="n"/>
      <c r="B24" s="38" t="n">
        <v>11</v>
      </c>
      <c r="C24" s="33" t="n"/>
      <c r="D24" s="75" t="n"/>
      <c r="E24" s="30" t="n"/>
      <c r="F24" s="30" t="n"/>
      <c r="G24" s="30" t="n"/>
      <c r="H24" s="70" t="n"/>
      <c r="I24" s="32" t="n"/>
      <c r="J24" s="32" t="n"/>
      <c r="K24" s="32" t="n"/>
      <c r="L24" s="14">
        <f>IF(C24="","",IF(E24="DELAY",EDATE(C24,$C$8),C24))</f>
        <v/>
      </c>
      <c r="M24" s="76">
        <f>IF(D24="",0,D24)</f>
        <v/>
      </c>
      <c r="N24" s="32" t="n"/>
    </row>
    <row r="25">
      <c r="A25" s="70" t="n"/>
      <c r="B25" s="38" t="n">
        <v>12</v>
      </c>
      <c r="C25" s="33" t="n"/>
      <c r="D25" s="75" t="n"/>
      <c r="E25" s="30" t="n"/>
      <c r="F25" s="30" t="n"/>
      <c r="G25" s="30" t="n"/>
      <c r="H25" s="70" t="n"/>
      <c r="I25" s="32" t="n"/>
      <c r="J25" s="32" t="n"/>
      <c r="K25" s="32" t="n"/>
      <c r="L25" s="14">
        <f>IF(C25="","",IF(E25="DELAY",EDATE(C25,$C$8),C25))</f>
        <v/>
      </c>
      <c r="M25" s="76">
        <f>IF(D25="",0,D25)</f>
        <v/>
      </c>
      <c r="N25" s="32" t="n"/>
    </row>
    <row r="26">
      <c r="A26" s="70" t="n"/>
      <c r="B26" s="38" t="n">
        <v>13</v>
      </c>
      <c r="C26" s="33" t="n"/>
      <c r="D26" s="75" t="n"/>
      <c r="E26" s="30" t="n"/>
      <c r="F26" s="30" t="n"/>
      <c r="G26" s="30" t="n"/>
      <c r="H26" s="70" t="n"/>
      <c r="I26" s="70" t="n"/>
      <c r="J26" s="70" t="n"/>
      <c r="K26" s="70" t="n"/>
      <c r="L26" s="16">
        <f>IF(C26="","",IF(E26="DELAY",EDATE(C26,$C$8),C26))</f>
        <v/>
      </c>
      <c r="M26" s="77">
        <f>IF(D26="",0,D26)</f>
        <v/>
      </c>
      <c r="N26" s="70" t="n"/>
    </row>
    <row r="27">
      <c r="A27" s="70" t="n"/>
      <c r="B27" s="38" t="n">
        <v>14</v>
      </c>
      <c r="C27" s="33" t="n"/>
      <c r="D27" s="75" t="n"/>
      <c r="E27" s="30" t="n"/>
      <c r="F27" s="30" t="n"/>
      <c r="G27" s="30" t="n"/>
      <c r="H27" s="70" t="n"/>
      <c r="I27" s="70" t="n"/>
      <c r="J27" s="70" t="n"/>
      <c r="K27" s="70" t="n"/>
      <c r="L27" s="16">
        <f>IF(C27="","",IF(E27="DELAY",EDATE(C27,$C$8),C27))</f>
        <v/>
      </c>
      <c r="M27" s="77">
        <f>IF(D27="",0,D27)</f>
        <v/>
      </c>
      <c r="N27" s="70" t="n"/>
    </row>
    <row r="28">
      <c r="A28" s="70" t="n"/>
      <c r="B28" s="38" t="n">
        <v>15</v>
      </c>
      <c r="C28" s="33" t="n"/>
      <c r="D28" s="75" t="n"/>
      <c r="E28" s="30" t="n"/>
      <c r="F28" s="30" t="n"/>
      <c r="G28" s="30" t="n"/>
      <c r="H28" s="70" t="n"/>
      <c r="I28" s="70" t="n"/>
      <c r="J28" s="70" t="n"/>
      <c r="K28" s="70" t="n"/>
      <c r="L28" s="16">
        <f>IF(C28="","",IF(E28="DELAY",EDATE(C28,$C$8),C28))</f>
        <v/>
      </c>
      <c r="M28" s="77">
        <f>IF(D28="",0,D28)</f>
        <v/>
      </c>
      <c r="N28" s="70" t="n"/>
    </row>
    <row r="29">
      <c r="A29" s="70" t="n"/>
      <c r="B29" s="38" t="n">
        <v>16</v>
      </c>
      <c r="C29" s="33" t="n"/>
      <c r="D29" s="75" t="n"/>
      <c r="E29" s="30" t="n"/>
      <c r="F29" s="30" t="n"/>
      <c r="G29" s="30" t="n"/>
      <c r="H29" s="70" t="n"/>
      <c r="I29" s="70" t="n"/>
      <c r="J29" s="70" t="n"/>
      <c r="K29" s="70" t="n"/>
      <c r="L29" s="16">
        <f>IF(C29="","",IF(E29="DELAY",EDATE(C29,$C$8),C29))</f>
        <v/>
      </c>
      <c r="M29" s="77">
        <f>IF(D29="",0,D29)</f>
        <v/>
      </c>
      <c r="N29" s="70" t="n"/>
    </row>
    <row r="30">
      <c r="A30" s="70" t="n"/>
      <c r="B30" s="38" t="n">
        <v>17</v>
      </c>
      <c r="C30" s="33" t="n"/>
      <c r="D30" s="75" t="n"/>
      <c r="E30" s="30" t="n"/>
      <c r="F30" s="30" t="n"/>
      <c r="G30" s="30" t="n"/>
      <c r="H30" s="70" t="n"/>
      <c r="I30" s="70" t="n"/>
      <c r="J30" s="70" t="n"/>
      <c r="K30" s="70" t="n"/>
      <c r="L30" s="16">
        <f>IF(C30="","",IF(E30="DELAY",EDATE(C30,$C$8),C30))</f>
        <v/>
      </c>
      <c r="M30" s="77">
        <f>IF(D30="",0,D30)</f>
        <v/>
      </c>
      <c r="N30" s="70" t="n"/>
    </row>
    <row r="31">
      <c r="A31" s="70" t="n"/>
      <c r="B31" s="38" t="n">
        <v>18</v>
      </c>
      <c r="C31" s="33" t="n"/>
      <c r="D31" s="75" t="n"/>
      <c r="E31" s="30" t="n"/>
      <c r="F31" s="30" t="n"/>
      <c r="G31" s="30" t="n"/>
      <c r="H31" s="70" t="n"/>
      <c r="I31" s="70" t="n"/>
      <c r="J31" s="70" t="n"/>
      <c r="K31" s="70" t="n"/>
      <c r="L31" s="16">
        <f>IF(C31="","",IF(E31="DELAY",EDATE(C31,$C$8),C31))</f>
        <v/>
      </c>
      <c r="M31" s="77">
        <f>IF(D31="",0,D31)</f>
        <v/>
      </c>
      <c r="N31" s="70" t="n"/>
    </row>
    <row r="32">
      <c r="A32" s="70" t="n"/>
      <c r="B32" s="38" t="n">
        <v>19</v>
      </c>
      <c r="C32" s="33" t="n"/>
      <c r="D32" s="75" t="n"/>
      <c r="E32" s="30" t="n"/>
      <c r="F32" s="30" t="n"/>
      <c r="G32" s="30" t="n"/>
      <c r="H32" s="70" t="n"/>
      <c r="I32" s="70" t="n"/>
      <c r="J32" s="70" t="n"/>
      <c r="K32" s="70" t="n"/>
      <c r="L32" s="16">
        <f>IF(C32="","",IF(E32="DELAY",EDATE(C32,$C$8),C32))</f>
        <v/>
      </c>
      <c r="M32" s="77">
        <f>IF(D32="",0,D32)</f>
        <v/>
      </c>
      <c r="N32" s="70" t="n"/>
    </row>
    <row r="33">
      <c r="A33" s="70" t="n"/>
      <c r="B33" s="38" t="n">
        <v>20</v>
      </c>
      <c r="C33" s="33" t="n"/>
      <c r="D33" s="75" t="n"/>
      <c r="E33" s="30" t="n"/>
      <c r="F33" s="30" t="n"/>
      <c r="G33" s="30" t="n"/>
      <c r="H33" s="70" t="n"/>
      <c r="I33" s="70" t="n"/>
      <c r="J33" s="70" t="n"/>
      <c r="K33" s="70" t="n"/>
      <c r="L33" s="16">
        <f>IF(C33="","",IF(E33="DELAY",EDATE(C33,$C$8),C33))</f>
        <v/>
      </c>
      <c r="M33" s="77">
        <f>IF(D33="",0,D33)</f>
        <v/>
      </c>
      <c r="N33" s="70" t="n"/>
    </row>
    <row r="34">
      <c r="A34" s="70" t="n"/>
      <c r="B34" s="70" t="n"/>
      <c r="C34" s="70" t="n"/>
      <c r="D34" s="70" t="n"/>
      <c r="E34" s="70" t="n"/>
      <c r="F34" s="70" t="n"/>
      <c r="G34" s="70" t="n"/>
      <c r="H34" s="70" t="n"/>
      <c r="I34" s="70" t="n"/>
      <c r="J34" s="70" t="n"/>
      <c r="K34" s="70" t="n"/>
      <c r="L34" s="70" t="n"/>
      <c r="M34" s="70" t="n"/>
      <c r="N34" s="70" t="n"/>
    </row>
    <row r="35">
      <c r="A35" s="70" t="n"/>
      <c r="B35" s="64" t="inlineStr">
        <is>
          <t>CALCULATIONS</t>
        </is>
      </c>
      <c r="C35" s="72" t="n"/>
      <c r="D35" s="72" t="n"/>
      <c r="E35" s="72" t="n"/>
      <c r="F35" s="72" t="n"/>
      <c r="G35" s="73" t="n"/>
      <c r="H35" s="39" t="n"/>
      <c r="I35" s="39" t="n"/>
      <c r="J35" s="70" t="n"/>
      <c r="K35" s="70" t="n"/>
      <c r="L35" s="70" t="n"/>
      <c r="M35" s="70" t="n"/>
      <c r="N35" s="70" t="n"/>
    </row>
    <row r="36" ht="58" customHeight="1" s="62">
      <c r="A36" s="70" t="n"/>
      <c r="B36" s="20" t="inlineStr">
        <is>
          <t>PV engine (base date = first entered date in the schedule, row 14)</t>
        </is>
      </c>
      <c r="C36" s="39" t="n"/>
      <c r="D36" s="39" t="n"/>
      <c r="E36" s="39" t="n"/>
      <c r="F36" s="39" t="n"/>
      <c r="G36" s="39" t="n"/>
      <c r="H36" s="39" t="n"/>
      <c r="I36" s="39" t="n"/>
      <c r="J36" s="70" t="n"/>
      <c r="K36" s="70" t="n"/>
      <c r="L36" s="70" t="n"/>
      <c r="M36" s="70" t="n"/>
      <c r="N36" s="70" t="n"/>
    </row>
    <row r="37" ht="58" customHeight="1" s="62">
      <c r="A37" s="70" t="n"/>
      <c r="B37" s="18" t="inlineStr">
        <is>
          <t>#</t>
        </is>
      </c>
      <c r="C37" s="18" t="inlineStr">
        <is>
          <t>Date</t>
        </is>
      </c>
      <c r="D37" s="18" t="inlineStr">
        <is>
          <t>CF (₹)</t>
        </is>
      </c>
      <c r="E37" s="18" t="inlineStr">
        <is>
          <t>Days</t>
        </is>
      </c>
      <c r="F37" s="18" t="inlineStr">
        <is>
          <t>t (yrs)</t>
        </is>
      </c>
      <c r="G37" s="18" t="inlineStr">
        <is>
          <t>Discount Factor</t>
        </is>
      </c>
      <c r="H37" s="18" t="inlineStr">
        <is>
          <t>PV (₹)</t>
        </is>
      </c>
      <c r="I37" s="18" t="inlineStr">
        <is>
          <t>Cum PV (₹)</t>
        </is>
      </c>
      <c r="J37" s="70" t="n"/>
      <c r="K37" s="70" t="n"/>
      <c r="L37" s="70" t="n"/>
      <c r="M37" s="70" t="n"/>
      <c r="N37" s="70" t="n"/>
    </row>
    <row r="38">
      <c r="A38" s="70" t="n"/>
      <c r="B38" s="19">
        <f>B14</f>
        <v/>
      </c>
      <c r="C38" s="19">
        <f>C14</f>
        <v/>
      </c>
      <c r="D38" s="19">
        <f>D14</f>
        <v/>
      </c>
      <c r="E38" s="19">
        <f>IF(C14="","",C14-$C$14)</f>
        <v/>
      </c>
      <c r="F38" s="78">
        <f>IF(E38="","",E38/365)</f>
        <v/>
      </c>
      <c r="G38" s="79">
        <f>IF(F38="","",(1+$C$5)^F38)</f>
        <v/>
      </c>
      <c r="H38" s="80">
        <f>IF(OR(C14="",D14=""),"",D14/G38)</f>
        <v/>
      </c>
      <c r="I38" s="80">
        <f>IF(H38="","",SUM($H$38:H38))</f>
        <v/>
      </c>
      <c r="J38" s="70" t="n"/>
      <c r="K38" s="70" t="n"/>
      <c r="L38" s="70" t="n"/>
      <c r="M38" s="70" t="n"/>
      <c r="N38" s="70" t="n"/>
    </row>
    <row r="39">
      <c r="A39" s="70" t="n"/>
      <c r="B39" s="19">
        <f>B15</f>
        <v/>
      </c>
      <c r="C39" s="19">
        <f>C15</f>
        <v/>
      </c>
      <c r="D39" s="19">
        <f>D15</f>
        <v/>
      </c>
      <c r="E39" s="19">
        <f>IF(C15="","",C15-$C$14)</f>
        <v/>
      </c>
      <c r="F39" s="78">
        <f>IF(E39="","",E39/365)</f>
        <v/>
      </c>
      <c r="G39" s="79">
        <f>IF(F39="","",(1+$C$5)^F39)</f>
        <v/>
      </c>
      <c r="H39" s="80">
        <f>IF(OR(C15="",D15=""),"",D15/G39)</f>
        <v/>
      </c>
      <c r="I39" s="80">
        <f>IF(H39="","",SUM($H$38:H39))</f>
        <v/>
      </c>
      <c r="J39" s="70" t="n"/>
      <c r="K39" s="70" t="n"/>
      <c r="L39" s="70" t="n"/>
      <c r="M39" s="70" t="n"/>
      <c r="N39" s="70" t="n"/>
    </row>
    <row r="40">
      <c r="A40" s="70" t="n"/>
      <c r="B40" s="19">
        <f>B16</f>
        <v/>
      </c>
      <c r="C40" s="19">
        <f>C16</f>
        <v/>
      </c>
      <c r="D40" s="19">
        <f>D16</f>
        <v/>
      </c>
      <c r="E40" s="19">
        <f>IF(C16="","",C16-$C$14)</f>
        <v/>
      </c>
      <c r="F40" s="78">
        <f>IF(E40="","",E40/365)</f>
        <v/>
      </c>
      <c r="G40" s="79">
        <f>IF(F40="","",(1+$C$5)^F40)</f>
        <v/>
      </c>
      <c r="H40" s="80">
        <f>IF(OR(C16="",D16=""),"",D16/G40)</f>
        <v/>
      </c>
      <c r="I40" s="80">
        <f>IF(H40="","",SUM($H$38:H40))</f>
        <v/>
      </c>
      <c r="J40" s="70" t="n"/>
      <c r="K40" s="70" t="n"/>
      <c r="L40" s="70" t="n"/>
      <c r="M40" s="70" t="n"/>
      <c r="N40" s="70" t="n"/>
    </row>
    <row r="41">
      <c r="A41" s="70" t="n"/>
      <c r="B41" s="19">
        <f>B17</f>
        <v/>
      </c>
      <c r="C41" s="19">
        <f>C17</f>
        <v/>
      </c>
      <c r="D41" s="19">
        <f>D17</f>
        <v/>
      </c>
      <c r="E41" s="19">
        <f>IF(C17="","",C17-$C$14)</f>
        <v/>
      </c>
      <c r="F41" s="78">
        <f>IF(E41="","",E41/365)</f>
        <v/>
      </c>
      <c r="G41" s="79">
        <f>IF(F41="","",(1+$C$5)^F41)</f>
        <v/>
      </c>
      <c r="H41" s="80">
        <f>IF(OR(C17="",D17=""),"",D17/G41)</f>
        <v/>
      </c>
      <c r="I41" s="80">
        <f>IF(H41="","",SUM($H$38:H41))</f>
        <v/>
      </c>
      <c r="J41" s="70" t="n"/>
      <c r="K41" s="70" t="n"/>
      <c r="L41" s="70" t="n"/>
      <c r="M41" s="70" t="n"/>
      <c r="N41" s="70" t="n"/>
    </row>
    <row r="42">
      <c r="A42" s="70" t="n"/>
      <c r="B42" s="19">
        <f>B18</f>
        <v/>
      </c>
      <c r="C42" s="19">
        <f>C18</f>
        <v/>
      </c>
      <c r="D42" s="19">
        <f>D18</f>
        <v/>
      </c>
      <c r="E42" s="19">
        <f>IF(C18="","",C18-$C$14)</f>
        <v/>
      </c>
      <c r="F42" s="78">
        <f>IF(E42="","",E42/365)</f>
        <v/>
      </c>
      <c r="G42" s="79">
        <f>IF(F42="","",(1+$C$5)^F42)</f>
        <v/>
      </c>
      <c r="H42" s="80">
        <f>IF(OR(C18="",D18=""),"",D18/G42)</f>
        <v/>
      </c>
      <c r="I42" s="80">
        <f>IF(H42="","",SUM($H$38:H42))</f>
        <v/>
      </c>
      <c r="J42" s="70" t="n"/>
      <c r="K42" s="70" t="n"/>
      <c r="L42" s="70" t="n"/>
      <c r="M42" s="70" t="n"/>
      <c r="N42" s="70" t="n"/>
    </row>
    <row r="43">
      <c r="A43" s="70" t="n"/>
      <c r="B43" s="19">
        <f>B19</f>
        <v/>
      </c>
      <c r="C43" s="19">
        <f>C19</f>
        <v/>
      </c>
      <c r="D43" s="19">
        <f>D19</f>
        <v/>
      </c>
      <c r="E43" s="19">
        <f>IF(C19="","",C19-$C$14)</f>
        <v/>
      </c>
      <c r="F43" s="78">
        <f>IF(E43="","",E43/365)</f>
        <v/>
      </c>
      <c r="G43" s="79">
        <f>IF(F43="","",(1+$C$5)^F43)</f>
        <v/>
      </c>
      <c r="H43" s="80">
        <f>IF(OR(C19="",D19=""),"",D19/G43)</f>
        <v/>
      </c>
      <c r="I43" s="80">
        <f>IF(H43="","",SUM($H$38:H43))</f>
        <v/>
      </c>
      <c r="J43" s="70" t="n"/>
      <c r="K43" s="70" t="n"/>
      <c r="L43" s="70" t="n"/>
      <c r="M43" s="70" t="n"/>
      <c r="N43" s="70" t="n"/>
    </row>
    <row r="44">
      <c r="A44" s="70" t="n"/>
      <c r="B44" s="19">
        <f>B20</f>
        <v/>
      </c>
      <c r="C44" s="19">
        <f>C20</f>
        <v/>
      </c>
      <c r="D44" s="19">
        <f>D20</f>
        <v/>
      </c>
      <c r="E44" s="19">
        <f>IF(C20="","",C20-$C$14)</f>
        <v/>
      </c>
      <c r="F44" s="78">
        <f>IF(E44="","",E44/365)</f>
        <v/>
      </c>
      <c r="G44" s="79">
        <f>IF(F44="","",(1+$C$5)^F44)</f>
        <v/>
      </c>
      <c r="H44" s="80">
        <f>IF(OR(C20="",D20=""),"",D20/G44)</f>
        <v/>
      </c>
      <c r="I44" s="80">
        <f>IF(H44="","",SUM($H$38:H44))</f>
        <v/>
      </c>
      <c r="J44" s="70" t="n"/>
      <c r="K44" s="70" t="n"/>
      <c r="L44" s="70" t="n"/>
      <c r="M44" s="70" t="n"/>
      <c r="N44" s="70" t="n"/>
    </row>
    <row r="45">
      <c r="A45" s="70" t="n"/>
      <c r="B45" s="19">
        <f>B21</f>
        <v/>
      </c>
      <c r="C45" s="19">
        <f>C21</f>
        <v/>
      </c>
      <c r="D45" s="19">
        <f>D21</f>
        <v/>
      </c>
      <c r="E45" s="19">
        <f>IF(C21="","",C21-$C$14)</f>
        <v/>
      </c>
      <c r="F45" s="78">
        <f>IF(E45="","",E45/365)</f>
        <v/>
      </c>
      <c r="G45" s="79">
        <f>IF(F45="","",(1+$C$5)^F45)</f>
        <v/>
      </c>
      <c r="H45" s="80">
        <f>IF(OR(C21="",D21=""),"",D21/G45)</f>
        <v/>
      </c>
      <c r="I45" s="80">
        <f>IF(H45="","",SUM($H$38:H45))</f>
        <v/>
      </c>
      <c r="J45" s="70" t="n"/>
      <c r="K45" s="70" t="n"/>
      <c r="L45" s="70" t="n"/>
      <c r="M45" s="70" t="n"/>
      <c r="N45" s="70" t="n"/>
    </row>
    <row r="46">
      <c r="A46" s="70" t="n"/>
      <c r="B46" s="19">
        <f>B22</f>
        <v/>
      </c>
      <c r="C46" s="19">
        <f>C22</f>
        <v/>
      </c>
      <c r="D46" s="19">
        <f>D22</f>
        <v/>
      </c>
      <c r="E46" s="19">
        <f>IF(C22="","",C22-$C$14)</f>
        <v/>
      </c>
      <c r="F46" s="78">
        <f>IF(E46="","",E46/365)</f>
        <v/>
      </c>
      <c r="G46" s="79">
        <f>IF(F46="","",(1+$C$5)^F46)</f>
        <v/>
      </c>
      <c r="H46" s="80">
        <f>IF(OR(C22="",D22=""),"",D22/G46)</f>
        <v/>
      </c>
      <c r="I46" s="80">
        <f>IF(H46="","",SUM($H$38:H46))</f>
        <v/>
      </c>
      <c r="J46" s="70" t="n"/>
      <c r="K46" s="70" t="n"/>
      <c r="L46" s="70" t="n"/>
      <c r="M46" s="70" t="n"/>
      <c r="N46" s="70" t="n"/>
    </row>
    <row r="47">
      <c r="A47" s="70" t="n"/>
      <c r="B47" s="19">
        <f>B23</f>
        <v/>
      </c>
      <c r="C47" s="19">
        <f>C23</f>
        <v/>
      </c>
      <c r="D47" s="19">
        <f>D23</f>
        <v/>
      </c>
      <c r="E47" s="19">
        <f>IF(C23="","",C23-$C$14)</f>
        <v/>
      </c>
      <c r="F47" s="78">
        <f>IF(E47="","",E47/365)</f>
        <v/>
      </c>
      <c r="G47" s="79">
        <f>IF(F47="","",(1+$C$5)^F47)</f>
        <v/>
      </c>
      <c r="H47" s="80">
        <f>IF(OR(C23="",D23=""),"",D23/G47)</f>
        <v/>
      </c>
      <c r="I47" s="80">
        <f>IF(H47="","",SUM($H$38:H47))</f>
        <v/>
      </c>
      <c r="J47" s="70" t="n"/>
      <c r="K47" s="70" t="n"/>
      <c r="L47" s="70" t="n"/>
      <c r="M47" s="70" t="n"/>
      <c r="N47" s="70" t="n"/>
    </row>
    <row r="48">
      <c r="A48" s="70" t="n"/>
      <c r="B48" s="19">
        <f>B24</f>
        <v/>
      </c>
      <c r="C48" s="19">
        <f>C24</f>
        <v/>
      </c>
      <c r="D48" s="19">
        <f>D24</f>
        <v/>
      </c>
      <c r="E48" s="19">
        <f>IF(C24="","",C24-$C$14)</f>
        <v/>
      </c>
      <c r="F48" s="78">
        <f>IF(E48="","",E48/365)</f>
        <v/>
      </c>
      <c r="G48" s="79">
        <f>IF(F48="","",(1+$C$5)^F48)</f>
        <v/>
      </c>
      <c r="H48" s="80">
        <f>IF(OR(C24="",D24=""),"",D24/G48)</f>
        <v/>
      </c>
      <c r="I48" s="80">
        <f>IF(H48="","",SUM($H$38:H48))</f>
        <v/>
      </c>
      <c r="J48" s="70" t="n"/>
      <c r="K48" s="70" t="n"/>
      <c r="L48" s="70" t="n"/>
      <c r="M48" s="70" t="n"/>
      <c r="N48" s="70" t="n"/>
    </row>
    <row r="49">
      <c r="A49" s="70" t="n"/>
      <c r="B49" s="19">
        <f>B25</f>
        <v/>
      </c>
      <c r="C49" s="19">
        <f>C25</f>
        <v/>
      </c>
      <c r="D49" s="19">
        <f>D25</f>
        <v/>
      </c>
      <c r="E49" s="19">
        <f>IF(C25="","",C25-$C$14)</f>
        <v/>
      </c>
      <c r="F49" s="78">
        <f>IF(E49="","",E49/365)</f>
        <v/>
      </c>
      <c r="G49" s="79">
        <f>IF(F49="","",(1+$C$5)^F49)</f>
        <v/>
      </c>
      <c r="H49" s="80">
        <f>IF(OR(C25="",D25=""),"",D25/G49)</f>
        <v/>
      </c>
      <c r="I49" s="80">
        <f>IF(H49="","",SUM($H$38:H49))</f>
        <v/>
      </c>
      <c r="J49" s="70" t="n"/>
      <c r="K49" s="70" t="n"/>
      <c r="L49" s="70" t="n"/>
      <c r="M49" s="70" t="n"/>
      <c r="N49" s="70" t="n"/>
    </row>
    <row r="50">
      <c r="A50" s="70" t="n"/>
      <c r="B50" s="19">
        <f>B26</f>
        <v/>
      </c>
      <c r="C50" s="19">
        <f>C26</f>
        <v/>
      </c>
      <c r="D50" s="19">
        <f>D26</f>
        <v/>
      </c>
      <c r="E50" s="19">
        <f>IF(C26="","",C26-$C$14)</f>
        <v/>
      </c>
      <c r="F50" s="78">
        <f>IF(E50="","",E50/365)</f>
        <v/>
      </c>
      <c r="G50" s="79">
        <f>IF(F50="","",(1+$C$5)^F50)</f>
        <v/>
      </c>
      <c r="H50" s="80">
        <f>IF(OR(C26="",D26=""),"",D26/G50)</f>
        <v/>
      </c>
      <c r="I50" s="80">
        <f>IF(H50="","",SUM($H$38:H50))</f>
        <v/>
      </c>
      <c r="J50" s="70" t="n"/>
      <c r="K50" s="70" t="n"/>
      <c r="L50" s="70" t="n"/>
      <c r="M50" s="70" t="n"/>
      <c r="N50" s="70" t="n"/>
    </row>
    <row r="51">
      <c r="A51" s="70" t="n"/>
      <c r="B51" s="19">
        <f>B27</f>
        <v/>
      </c>
      <c r="C51" s="19">
        <f>C27</f>
        <v/>
      </c>
      <c r="D51" s="19">
        <f>D27</f>
        <v/>
      </c>
      <c r="E51" s="19">
        <f>IF(C27="","",C27-$C$14)</f>
        <v/>
      </c>
      <c r="F51" s="78">
        <f>IF(E51="","",E51/365)</f>
        <v/>
      </c>
      <c r="G51" s="79">
        <f>IF(F51="","",(1+$C$5)^F51)</f>
        <v/>
      </c>
      <c r="H51" s="80">
        <f>IF(OR(C27="",D27=""),"",D27/G51)</f>
        <v/>
      </c>
      <c r="I51" s="80">
        <f>IF(H51="","",SUM($H$38:H51))</f>
        <v/>
      </c>
      <c r="J51" s="70" t="n"/>
      <c r="K51" s="70" t="n"/>
      <c r="L51" s="70" t="n"/>
      <c r="M51" s="70" t="n"/>
      <c r="N51" s="70" t="n"/>
    </row>
    <row r="52">
      <c r="A52" s="70" t="n"/>
      <c r="B52" s="19">
        <f>B28</f>
        <v/>
      </c>
      <c r="C52" s="19">
        <f>C28</f>
        <v/>
      </c>
      <c r="D52" s="19">
        <f>D28</f>
        <v/>
      </c>
      <c r="E52" s="19">
        <f>IF(C28="","",C28-$C$14)</f>
        <v/>
      </c>
      <c r="F52" s="78">
        <f>IF(E52="","",E52/365)</f>
        <v/>
      </c>
      <c r="G52" s="79">
        <f>IF(F52="","",(1+$C$5)^F52)</f>
        <v/>
      </c>
      <c r="H52" s="80">
        <f>IF(OR(C28="",D28=""),"",D28/G52)</f>
        <v/>
      </c>
      <c r="I52" s="80">
        <f>IF(H52="","",SUM($H$38:H52))</f>
        <v/>
      </c>
      <c r="J52" s="70" t="n"/>
      <c r="K52" s="70" t="n"/>
      <c r="L52" s="70" t="n"/>
      <c r="M52" s="70" t="n"/>
      <c r="N52" s="70" t="n"/>
    </row>
    <row r="53">
      <c r="A53" s="70" t="n"/>
      <c r="B53" s="19">
        <f>B29</f>
        <v/>
      </c>
      <c r="C53" s="19">
        <f>C29</f>
        <v/>
      </c>
      <c r="D53" s="19">
        <f>D29</f>
        <v/>
      </c>
      <c r="E53" s="19">
        <f>IF(C29="","",C29-$C$14)</f>
        <v/>
      </c>
      <c r="F53" s="78">
        <f>IF(E53="","",E53/365)</f>
        <v/>
      </c>
      <c r="G53" s="79">
        <f>IF(F53="","",(1+$C$5)^F53)</f>
        <v/>
      </c>
      <c r="H53" s="80">
        <f>IF(OR(C29="",D29=""),"",D29/G53)</f>
        <v/>
      </c>
      <c r="I53" s="80">
        <f>IF(H53="","",SUM($H$38:H53))</f>
        <v/>
      </c>
      <c r="J53" s="70" t="n"/>
      <c r="K53" s="70" t="n"/>
      <c r="L53" s="70" t="n"/>
      <c r="M53" s="70" t="n"/>
      <c r="N53" s="70" t="n"/>
    </row>
    <row r="54">
      <c r="A54" s="70" t="n"/>
      <c r="B54" s="19">
        <f>B30</f>
        <v/>
      </c>
      <c r="C54" s="19">
        <f>C30</f>
        <v/>
      </c>
      <c r="D54" s="19">
        <f>D30</f>
        <v/>
      </c>
      <c r="E54" s="19">
        <f>IF(C30="","",C30-$C$14)</f>
        <v/>
      </c>
      <c r="F54" s="78">
        <f>IF(E54="","",E54/365)</f>
        <v/>
      </c>
      <c r="G54" s="79">
        <f>IF(F54="","",(1+$C$5)^F54)</f>
        <v/>
      </c>
      <c r="H54" s="80">
        <f>IF(OR(C30="",D30=""),"",D30/G54)</f>
        <v/>
      </c>
      <c r="I54" s="80">
        <f>IF(H54="","",SUM($H$38:H54))</f>
        <v/>
      </c>
      <c r="J54" s="70" t="n"/>
      <c r="K54" s="70" t="n"/>
      <c r="L54" s="70" t="n"/>
      <c r="M54" s="70" t="n"/>
      <c r="N54" s="70" t="n"/>
    </row>
    <row r="55">
      <c r="A55" s="70" t="n"/>
      <c r="B55" s="19">
        <f>B31</f>
        <v/>
      </c>
      <c r="C55" s="19">
        <f>C31</f>
        <v/>
      </c>
      <c r="D55" s="19">
        <f>D31</f>
        <v/>
      </c>
      <c r="E55" s="19">
        <f>IF(C31="","",C31-$C$14)</f>
        <v/>
      </c>
      <c r="F55" s="78">
        <f>IF(E55="","",E55/365)</f>
        <v/>
      </c>
      <c r="G55" s="79">
        <f>IF(F55="","",(1+$C$5)^F55)</f>
        <v/>
      </c>
      <c r="H55" s="80">
        <f>IF(OR(C31="",D31=""),"",D31/G55)</f>
        <v/>
      </c>
      <c r="I55" s="80">
        <f>IF(H55="","",SUM($H$38:H55))</f>
        <v/>
      </c>
      <c r="J55" s="70" t="n"/>
      <c r="K55" s="70" t="n"/>
      <c r="L55" s="70" t="n"/>
      <c r="M55" s="70" t="n"/>
      <c r="N55" s="70" t="n"/>
    </row>
    <row r="56">
      <c r="A56" s="70" t="n"/>
      <c r="B56" s="19">
        <f>B32</f>
        <v/>
      </c>
      <c r="C56" s="19">
        <f>C32</f>
        <v/>
      </c>
      <c r="D56" s="19">
        <f>D32</f>
        <v/>
      </c>
      <c r="E56" s="19">
        <f>IF(C32="","",C32-$C$14)</f>
        <v/>
      </c>
      <c r="F56" s="78">
        <f>IF(E56="","",E56/365)</f>
        <v/>
      </c>
      <c r="G56" s="79">
        <f>IF(F56="","",(1+$C$5)^F56)</f>
        <v/>
      </c>
      <c r="H56" s="80">
        <f>IF(OR(C32="",D32=""),"",D32/G56)</f>
        <v/>
      </c>
      <c r="I56" s="80">
        <f>IF(H56="","",SUM($H$38:H56))</f>
        <v/>
      </c>
      <c r="J56" s="70" t="n"/>
      <c r="K56" s="70" t="n"/>
      <c r="L56" s="70" t="n"/>
      <c r="M56" s="70" t="n"/>
      <c r="N56" s="70" t="n"/>
    </row>
    <row r="57">
      <c r="A57" s="70" t="n"/>
      <c r="B57" s="19">
        <f>B33</f>
        <v/>
      </c>
      <c r="C57" s="19">
        <f>C33</f>
        <v/>
      </c>
      <c r="D57" s="19">
        <f>D33</f>
        <v/>
      </c>
      <c r="E57" s="19">
        <f>IF(C33="","",C33-$C$14)</f>
        <v/>
      </c>
      <c r="F57" s="78">
        <f>IF(E57="","",E57/365)</f>
        <v/>
      </c>
      <c r="G57" s="79">
        <f>IF(F57="","",(1+$C$5)^F57)</f>
        <v/>
      </c>
      <c r="H57" s="80">
        <f>IF(OR(C33="",D33=""),"",D33/G57)</f>
        <v/>
      </c>
      <c r="I57" s="80">
        <f>IF(H57="","",SUM($H$38:H57))</f>
        <v/>
      </c>
      <c r="J57" s="70" t="n"/>
      <c r="K57" s="70" t="n"/>
      <c r="L57" s="70" t="n"/>
      <c r="M57" s="70" t="n"/>
      <c r="N57" s="70" t="n"/>
    </row>
    <row r="58">
      <c r="A58" s="70" t="n"/>
      <c r="B58" s="70" t="n"/>
      <c r="C58" s="70" t="n"/>
      <c r="D58" s="70" t="n"/>
      <c r="E58" s="70" t="n"/>
      <c r="F58" s="70" t="n"/>
      <c r="G58" s="70" t="n"/>
      <c r="H58" s="70" t="n"/>
      <c r="I58" s="70" t="n"/>
      <c r="J58" s="70" t="n"/>
      <c r="K58" s="70" t="n"/>
      <c r="L58" s="70" t="n"/>
      <c r="M58" s="70" t="n"/>
      <c r="N58" s="70" t="n"/>
    </row>
    <row r="59">
      <c r="A59" s="70" t="n"/>
      <c r="B59" s="70" t="n"/>
      <c r="C59" s="70" t="n"/>
      <c r="D59" s="70" t="n"/>
      <c r="E59" s="70" t="n"/>
      <c r="F59" s="70" t="n"/>
      <c r="G59" s="70" t="n"/>
      <c r="H59" s="70" t="n"/>
      <c r="I59" s="70" t="n"/>
      <c r="J59" s="70" t="n"/>
      <c r="K59" s="70" t="n"/>
      <c r="L59" s="70" t="n"/>
      <c r="M59" s="70" t="n"/>
      <c r="N59" s="70" t="n"/>
    </row>
    <row r="60">
      <c r="A60" s="70" t="n"/>
      <c r="B60" s="70" t="n"/>
      <c r="C60" s="70" t="n"/>
      <c r="D60" s="70" t="n"/>
      <c r="E60" s="70" t="n"/>
      <c r="F60" s="70" t="n"/>
      <c r="G60" s="70" t="n"/>
      <c r="H60" s="70" t="n"/>
      <c r="I60" s="70" t="n"/>
      <c r="J60" s="70" t="n"/>
      <c r="K60" s="70" t="n"/>
      <c r="L60" s="70" t="n"/>
      <c r="M60" s="70" t="n"/>
      <c r="N60" s="70" t="n"/>
    </row>
    <row r="61">
      <c r="A61" s="70" t="n"/>
      <c r="B61" s="70" t="n"/>
      <c r="C61" s="70" t="n"/>
      <c r="D61" s="70" t="n"/>
      <c r="E61" s="70" t="n"/>
      <c r="F61" s="70" t="n"/>
      <c r="G61" s="70" t="n"/>
      <c r="H61" s="70" t="n"/>
      <c r="I61" s="70" t="n"/>
      <c r="J61" s="70" t="n"/>
      <c r="K61" s="70" t="n"/>
      <c r="L61" s="70" t="n"/>
      <c r="M61" s="70" t="n"/>
      <c r="N61" s="70" t="n"/>
    </row>
    <row r="62">
      <c r="A62" s="70" t="n"/>
      <c r="B62" s="70" t="n"/>
      <c r="C62" s="70" t="n"/>
      <c r="D62" s="70" t="n"/>
      <c r="E62" s="70" t="n"/>
      <c r="F62" s="70" t="n"/>
      <c r="G62" s="70" t="n"/>
      <c r="H62" s="70" t="n"/>
      <c r="I62" s="70" t="n"/>
      <c r="J62" s="70" t="n"/>
      <c r="K62" s="70" t="n"/>
      <c r="L62" s="70" t="n"/>
      <c r="M62" s="70" t="n"/>
      <c r="N62" s="70" t="n"/>
    </row>
    <row r="63">
      <c r="A63" s="70" t="n"/>
      <c r="B63" s="70" t="n"/>
      <c r="C63" s="70" t="n"/>
      <c r="D63" s="70" t="n"/>
      <c r="E63" s="70" t="n"/>
      <c r="F63" s="70" t="n"/>
      <c r="G63" s="70" t="n"/>
      <c r="H63" s="70" t="n"/>
      <c r="I63" s="70" t="n"/>
      <c r="J63" s="70" t="n"/>
      <c r="K63" s="70" t="n"/>
      <c r="L63" s="70" t="n"/>
      <c r="M63" s="70" t="n"/>
      <c r="N63" s="70" t="n"/>
    </row>
    <row r="64">
      <c r="A64" s="70" t="n"/>
      <c r="B64" s="70" t="n"/>
      <c r="C64" s="70" t="n"/>
      <c r="D64" s="70" t="n"/>
      <c r="E64" s="70" t="n"/>
      <c r="F64" s="70" t="n"/>
      <c r="G64" s="70" t="n"/>
      <c r="H64" s="70" t="n"/>
      <c r="I64" s="70" t="n"/>
      <c r="J64" s="70" t="n"/>
      <c r="K64" s="70" t="n"/>
      <c r="L64" s="70" t="n"/>
      <c r="M64" s="70" t="n"/>
      <c r="N64" s="70" t="n"/>
    </row>
    <row r="65">
      <c r="A65" s="70" t="n"/>
      <c r="B65" s="70" t="n"/>
      <c r="C65" s="70" t="n"/>
      <c r="D65" s="70" t="n"/>
      <c r="E65" s="70" t="n"/>
      <c r="F65" s="70" t="n"/>
      <c r="G65" s="70" t="n"/>
      <c r="H65" s="70" t="n"/>
      <c r="I65" s="70" t="n"/>
      <c r="J65" s="70" t="n"/>
      <c r="K65" s="70" t="n"/>
      <c r="L65" s="70" t="n"/>
      <c r="M65" s="70" t="n"/>
      <c r="N65" s="70" t="n"/>
    </row>
    <row r="66">
      <c r="A66" s="70" t="n"/>
      <c r="B66" s="70" t="n"/>
      <c r="C66" s="70" t="n"/>
      <c r="D66" s="70" t="n"/>
      <c r="E66" s="70" t="n"/>
      <c r="F66" s="70" t="n"/>
      <c r="G66" s="70" t="n"/>
      <c r="H66" s="70" t="n"/>
      <c r="I66" s="70" t="n"/>
      <c r="J66" s="70" t="n"/>
      <c r="K66" s="70" t="n"/>
      <c r="L66" s="70" t="n"/>
      <c r="M66" s="70" t="n"/>
      <c r="N66" s="70" t="n"/>
    </row>
    <row r="67">
      <c r="A67" s="70" t="n"/>
      <c r="B67" s="70" t="n"/>
      <c r="C67" s="70" t="n"/>
      <c r="D67" s="70" t="n"/>
      <c r="E67" s="70" t="n"/>
      <c r="F67" s="70" t="n"/>
      <c r="G67" s="70" t="n"/>
      <c r="H67" s="70" t="n"/>
      <c r="I67" s="70" t="n"/>
      <c r="J67" s="70" t="n"/>
      <c r="K67" s="70" t="n"/>
      <c r="L67" s="70" t="n"/>
      <c r="M67" s="70" t="n"/>
      <c r="N67" s="70" t="n"/>
    </row>
    <row r="68">
      <c r="A68" s="70" t="n"/>
      <c r="B68" s="70" t="n"/>
      <c r="C68" s="70" t="n"/>
      <c r="D68" s="70" t="n"/>
      <c r="E68" s="70" t="n"/>
      <c r="F68" s="70" t="n"/>
      <c r="G68" s="70" t="n"/>
      <c r="H68" s="70" t="n"/>
      <c r="I68" s="70" t="n"/>
      <c r="J68" s="70" t="n"/>
      <c r="K68" s="70" t="n"/>
      <c r="L68" s="70" t="n"/>
      <c r="M68" s="70" t="n"/>
      <c r="N68" s="70" t="n"/>
    </row>
    <row r="69">
      <c r="A69" s="70" t="n"/>
      <c r="B69" s="70" t="n"/>
      <c r="C69" s="70" t="n"/>
      <c r="D69" s="70" t="n"/>
      <c r="E69" s="70" t="n"/>
      <c r="F69" s="70" t="n"/>
      <c r="G69" s="70" t="n"/>
      <c r="H69" s="70" t="n"/>
      <c r="I69" s="70" t="n"/>
      <c r="J69" s="70" t="n"/>
      <c r="K69" s="70" t="n"/>
      <c r="L69" s="70" t="n"/>
      <c r="M69" s="70" t="n"/>
      <c r="N69" s="70" t="n"/>
    </row>
    <row r="70">
      <c r="A70" s="70" t="n"/>
      <c r="B70" s="70" t="n"/>
      <c r="C70" s="70" t="n"/>
      <c r="D70" s="70" t="n"/>
      <c r="E70" s="70" t="n"/>
      <c r="F70" s="70" t="n"/>
      <c r="G70" s="70" t="n"/>
      <c r="H70" s="70" t="n"/>
      <c r="I70" s="70" t="n"/>
      <c r="J70" s="70" t="n"/>
      <c r="K70" s="70" t="n"/>
      <c r="L70" s="70" t="n"/>
      <c r="M70" s="70" t="n"/>
      <c r="N70" s="70" t="n"/>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B35:G35"/>
    <mergeCell ref="B4:G4"/>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N70"/>
  <sheetViews>
    <sheetView workbookViewId="0">
      <pane xSplit="1" ySplit="13" topLeftCell="B14" activePane="bottomRight" state="frozen"/>
      <selection pane="topRight" activeCell="A1" sqref="A1"/>
      <selection pane="bottomLeft" activeCell="A1" sqref="A1"/>
      <selection pane="bottomRight" activeCell="A1" sqref="A1"/>
    </sheetView>
  </sheetViews>
  <sheetFormatPr baseColWidth="8" defaultRowHeight="14.5"/>
  <cols>
    <col width="3" customWidth="1" style="62" min="1" max="1"/>
    <col width="18" customWidth="1" style="62" min="2" max="4"/>
    <col width="16" customWidth="1" style="62" min="5" max="5"/>
    <col width="14" customWidth="1" style="62" min="6" max="6"/>
    <col width="16" customWidth="1" style="62" min="7" max="7"/>
    <col width="3" customWidth="1" style="62" min="8" max="8"/>
    <col width="22" customWidth="1" style="62" min="9" max="9"/>
    <col width="18" customWidth="1" style="62" min="10" max="14"/>
  </cols>
  <sheetData>
    <row r="1">
      <c r="A1" s="69" t="inlineStr">
        <is>
          <t>Case 6 – Project Horizon (BrightFuture Renewables)</t>
        </is>
      </c>
    </row>
    <row r="2">
      <c r="A2" s="4" t="inlineStr">
        <is>
          <t>⬅ Back to Index</t>
        </is>
      </c>
      <c r="B2" s="70" t="n"/>
      <c r="C2" s="70" t="n"/>
      <c r="D2" s="70" t="n"/>
      <c r="E2" s="70" t="n"/>
      <c r="F2" s="70" t="n"/>
      <c r="G2" s="70" t="n"/>
      <c r="H2" s="70" t="n"/>
      <c r="I2" s="70" t="n"/>
      <c r="J2" s="70" t="n"/>
      <c r="K2" s="70" t="n"/>
      <c r="L2" s="70" t="n"/>
      <c r="M2" s="70" t="n"/>
      <c r="N2" s="70" t="n"/>
    </row>
    <row r="3">
      <c r="A3" s="70" t="n"/>
      <c r="B3" s="70" t="n"/>
      <c r="C3" s="70" t="n"/>
      <c r="D3" s="70" t="n"/>
      <c r="E3" s="70" t="n"/>
      <c r="F3" s="70" t="n"/>
      <c r="G3" s="70" t="n"/>
      <c r="H3" s="70" t="n"/>
      <c r="I3" s="70" t="n"/>
      <c r="J3" s="70" t="n"/>
      <c r="K3" s="70" t="n"/>
      <c r="L3" s="70" t="n"/>
      <c r="M3" s="70" t="n"/>
      <c r="N3" s="70" t="n"/>
    </row>
    <row r="4">
      <c r="A4" s="70" t="n"/>
      <c r="B4" s="67" t="inlineStr">
        <is>
          <t>INPUTS</t>
        </is>
      </c>
      <c r="C4" s="72" t="n"/>
      <c r="D4" s="72" t="n"/>
      <c r="E4" s="72" t="n"/>
      <c r="F4" s="72" t="n"/>
      <c r="G4" s="73" t="n"/>
      <c r="H4" s="70" t="n"/>
      <c r="I4" s="68" t="inlineStr">
        <is>
          <t>OUTPUTS / DECISION</t>
        </is>
      </c>
      <c r="J4" s="72" t="n"/>
      <c r="K4" s="72" t="n"/>
      <c r="L4" s="72" t="n"/>
      <c r="M4" s="72" t="n"/>
      <c r="N4" s="73" t="n"/>
    </row>
    <row r="5" ht="29" customHeight="1" s="62">
      <c r="A5" s="70" t="n"/>
      <c r="B5" s="7" t="inlineStr">
        <is>
          <t>WACC / Discount rate</t>
        </is>
      </c>
      <c r="C5" s="29" t="n">
        <v>0.1025</v>
      </c>
      <c r="D5" s="30" t="n"/>
      <c r="E5" s="30" t="n"/>
      <c r="F5" s="30" t="n"/>
      <c r="G5" s="30" t="n"/>
      <c r="H5" s="70" t="n"/>
      <c r="I5" s="31" t="inlineStr">
        <is>
          <t>Key Outputs</t>
        </is>
      </c>
      <c r="J5" s="32" t="n"/>
      <c r="K5" s="32" t="n"/>
      <c r="L5" s="32" t="n"/>
      <c r="M5" s="32" t="n"/>
      <c r="N5" s="32" t="n"/>
    </row>
    <row r="6">
      <c r="A6" s="70" t="n"/>
      <c r="B6" s="7" t="inlineStr">
        <is>
          <t>XIRR Guess</t>
        </is>
      </c>
      <c r="C6" s="29" t="n">
        <v>0.1</v>
      </c>
      <c r="D6" s="30" t="n"/>
      <c r="E6" s="30" t="n"/>
      <c r="F6" s="30" t="n"/>
      <c r="G6" s="30" t="n"/>
      <c r="H6" s="70" t="n"/>
      <c r="I6" s="5" t="inlineStr">
        <is>
          <t>Metric</t>
        </is>
      </c>
      <c r="J6" s="5" t="inlineStr">
        <is>
          <t>Value</t>
        </is>
      </c>
      <c r="K6" s="32" t="n"/>
      <c r="L6" s="32" t="n"/>
      <c r="M6" s="32" t="n"/>
      <c r="N6" s="32" t="n"/>
    </row>
    <row r="7">
      <c r="A7" s="70" t="n"/>
      <c r="B7" s="30" t="n"/>
      <c r="C7" s="30" t="n"/>
      <c r="D7" s="30" t="n"/>
      <c r="E7" s="30" t="n"/>
      <c r="F7" s="30" t="n"/>
      <c r="G7" s="30" t="n"/>
      <c r="H7" s="70" t="n"/>
      <c r="I7" s="6" t="inlineStr">
        <is>
          <t>XNPV (₹)</t>
        </is>
      </c>
      <c r="J7" s="74">
        <f>IFERROR(XNPV($C$5,$D$14:$D$33,$C$14:$C$33),"")</f>
        <v/>
      </c>
      <c r="K7" s="32" t="n"/>
      <c r="L7" s="32" t="n"/>
      <c r="M7" s="32" t="n"/>
      <c r="N7" s="32" t="n"/>
    </row>
    <row r="8">
      <c r="A8" s="70" t="n"/>
      <c r="B8" s="30" t="n"/>
      <c r="C8" s="30" t="n"/>
      <c r="D8" s="30" t="n"/>
      <c r="E8" s="30" t="n"/>
      <c r="F8" s="30" t="n"/>
      <c r="G8" s="30" t="n"/>
      <c r="H8" s="70" t="n"/>
      <c r="I8" s="6" t="inlineStr">
        <is>
          <t>XIRR (%)</t>
        </is>
      </c>
      <c r="J8" s="35">
        <f>IFERROR(XIRR($D$14:$D$33,$C$14:$C$33,$C$6),"")</f>
        <v/>
      </c>
      <c r="K8" s="32" t="n"/>
      <c r="L8" s="32" t="n"/>
      <c r="M8" s="32" t="n"/>
      <c r="N8" s="32" t="n"/>
    </row>
    <row r="9">
      <c r="A9" s="70" t="n"/>
      <c r="B9" s="30" t="n"/>
      <c r="C9" s="30" t="n"/>
      <c r="D9" s="30" t="n"/>
      <c r="E9" s="30" t="n"/>
      <c r="F9" s="30" t="n"/>
      <c r="G9" s="30" t="n"/>
      <c r="H9" s="70" t="n"/>
      <c r="I9" s="6" t="inlineStr">
        <is>
          <t>Decision</t>
        </is>
      </c>
      <c r="J9" s="9">
        <f>IF(J7="","",IF(J7&gt;0,"ACCEPT (XNPV&gt;0)","REJECT (XNPV≤0)"))</f>
        <v/>
      </c>
      <c r="K9" s="32" t="n"/>
      <c r="L9" s="32" t="n"/>
      <c r="M9" s="32" t="n"/>
      <c r="N9" s="32" t="n"/>
    </row>
    <row r="10">
      <c r="A10" s="70" t="n"/>
      <c r="B10" s="30" t="n"/>
      <c r="C10" s="30" t="n"/>
      <c r="D10" s="30" t="n"/>
      <c r="E10" s="30" t="n"/>
      <c r="F10" s="30" t="n"/>
      <c r="G10" s="30" t="n"/>
      <c r="H10" s="70" t="n"/>
      <c r="I10" s="32" t="n"/>
      <c r="J10" s="32" t="n"/>
      <c r="K10" s="32" t="n"/>
      <c r="L10" s="32" t="n"/>
      <c r="M10" s="32" t="n"/>
      <c r="N10" s="32" t="n"/>
    </row>
    <row r="11" ht="15.5" customHeight="1" s="62">
      <c r="A11" s="70" t="n"/>
      <c r="B11" s="30" t="n"/>
      <c r="C11" s="30" t="n"/>
      <c r="D11" s="30" t="n"/>
      <c r="E11" s="30" t="n"/>
      <c r="F11" s="30" t="n"/>
      <c r="G11" s="30" t="n"/>
      <c r="H11" s="70" t="n"/>
      <c r="I11" s="36" t="inlineStr">
        <is>
          <t>Checks</t>
        </is>
      </c>
      <c r="J11" s="37" t="n"/>
      <c r="K11" s="37" t="n"/>
      <c r="L11" s="32" t="n"/>
      <c r="M11" s="32" t="n"/>
      <c r="N11" s="32" t="n"/>
    </row>
    <row r="12" ht="62" customHeight="1" s="62">
      <c r="A12" s="70" t="n"/>
      <c r="B12" s="11" t="inlineStr">
        <is>
          <t>Cash Flow Schedule (enter dates &amp; cash flows)</t>
        </is>
      </c>
      <c r="C12" s="30" t="n"/>
      <c r="D12" s="30" t="n"/>
      <c r="E12" s="30" t="n"/>
      <c r="F12" s="30" t="n"/>
      <c r="G12" s="30" t="n"/>
      <c r="H12" s="70" t="n"/>
      <c r="I12" s="12" t="inlineStr">
        <is>
          <t>Check</t>
        </is>
      </c>
      <c r="J12" s="12" t="inlineStr">
        <is>
          <t>Status</t>
        </is>
      </c>
      <c r="K12" s="37" t="n"/>
      <c r="L12" s="32" t="n"/>
      <c r="M12" s="32" t="n"/>
      <c r="N12" s="32" t="n"/>
    </row>
    <row r="13">
      <c r="A13" s="70" t="n"/>
      <c r="B13" s="13" t="inlineStr">
        <is>
          <t>#</t>
        </is>
      </c>
      <c r="C13" s="13" t="inlineStr">
        <is>
          <t>Date</t>
        </is>
      </c>
      <c r="D13" s="13" t="inlineStr">
        <is>
          <t>Cash Flow (₹)</t>
        </is>
      </c>
      <c r="E13" s="13" t="inlineStr">
        <is>
          <t>Tag/Notes</t>
        </is>
      </c>
      <c r="F13" s="30" t="n"/>
      <c r="G13" s="30" t="n"/>
      <c r="H13" s="70" t="n"/>
      <c r="I13" s="10" t="inlineStr">
        <is>
          <t>Dates increasing?</t>
        </is>
      </c>
      <c r="J13" s="10">
        <f>IF(COUNT($C$14:$C$33)&lt;2,"",IF(SUMPRODUCT(--($C$15:$C$33&lt;&gt;""),--($C$14:$C$32&lt;&gt;""),--($C$15:$C$33&lt;$C$14:$C$32))=0,"OK","Review"))</f>
        <v/>
      </c>
      <c r="K13" s="37" t="n"/>
      <c r="L13" s="32" t="n"/>
      <c r="M13" s="32" t="n"/>
      <c r="N13" s="32" t="n"/>
    </row>
    <row r="14" ht="29" customHeight="1" s="62">
      <c r="A14" s="70" t="n"/>
      <c r="B14" s="38" t="n">
        <v>1</v>
      </c>
      <c r="C14" s="33" t="n">
        <v>45047</v>
      </c>
      <c r="D14" s="75" t="n">
        <v>-25000</v>
      </c>
      <c r="E14" s="30" t="n"/>
      <c r="F14" s="30" t="n"/>
      <c r="G14" s="30" t="n"/>
      <c r="H14" s="70" t="n"/>
      <c r="I14" s="10" t="inlineStr">
        <is>
          <t>Has at least one (-) and one (+) CF?</t>
        </is>
      </c>
      <c r="J14" s="10">
        <f>IF(AND(COUNTIF($D$14:$D$33,"&lt;0")&gt;=1,COUNTIF($D$14:$D$33,"&gt;0")&gt;=1),"OK","Review")</f>
        <v/>
      </c>
      <c r="K14" s="37" t="n"/>
      <c r="L14" s="41" t="n"/>
      <c r="M14" s="32" t="n"/>
      <c r="N14" s="32" t="n"/>
    </row>
    <row r="15" ht="29" customHeight="1" s="62">
      <c r="A15" s="70" t="n"/>
      <c r="B15" s="38" t="n">
        <v>2</v>
      </c>
      <c r="C15" s="33" t="n">
        <v>45139</v>
      </c>
      <c r="D15" s="75" t="n">
        <v>6000</v>
      </c>
      <c r="E15" s="30" t="n"/>
      <c r="F15" s="30" t="n"/>
      <c r="G15" s="30" t="n"/>
      <c r="H15" s="70" t="n"/>
      <c r="I15" s="10" t="inlineStr">
        <is>
          <t>Multiple sign changes warning</t>
        </is>
      </c>
      <c r="J15" s="10">
        <f>IF(OR(COUNTIF($D$14:$D$33,"&lt;0")=0,COUNTIF($D$14:$D$33,"&gt;0")=0),"",IF(SUMPRODUCT(--(($D$14:$D$32*$D$15:$D$33)&lt;0))&gt;1,"Warning","OK"))</f>
        <v/>
      </c>
      <c r="K15" s="37" t="n"/>
      <c r="L15" s="41" t="n"/>
      <c r="M15" s="32" t="n"/>
      <c r="N15" s="32" t="n"/>
    </row>
    <row r="16" ht="29" customHeight="1" s="62">
      <c r="A16" s="70" t="n"/>
      <c r="B16" s="38" t="n">
        <v>3</v>
      </c>
      <c r="C16" s="33" t="n">
        <v>45231</v>
      </c>
      <c r="D16" s="75" t="n">
        <v>7000</v>
      </c>
      <c r="E16" s="30" t="n"/>
      <c r="F16" s="30" t="n"/>
      <c r="G16" s="30" t="n"/>
      <c r="H16" s="70" t="n"/>
      <c r="I16" s="10" t="inlineStr">
        <is>
          <t>XNPV vs PV-sum consistency</t>
        </is>
      </c>
      <c r="J16" s="10">
        <f>IF(J7="","",IF(ABS(J7-SUM($H$38:$H$57))&lt;1,"OK","Review"))</f>
        <v/>
      </c>
      <c r="K16" s="37" t="n"/>
      <c r="L16" s="41" t="n"/>
      <c r="M16" s="32" t="n"/>
      <c r="N16" s="32" t="n"/>
    </row>
    <row r="17">
      <c r="A17" s="70" t="n"/>
      <c r="B17" s="38" t="n">
        <v>4</v>
      </c>
      <c r="C17" s="33" t="n">
        <v>45352</v>
      </c>
      <c r="D17" s="75" t="n">
        <v>8000</v>
      </c>
      <c r="E17" s="30" t="n"/>
      <c r="F17" s="30" t="n"/>
      <c r="G17" s="30" t="n"/>
      <c r="H17" s="70" t="n"/>
      <c r="I17" s="37" t="n"/>
      <c r="J17" s="37" t="n"/>
      <c r="K17" s="37" t="n"/>
      <c r="L17" s="41" t="n"/>
      <c r="M17" s="32" t="n"/>
      <c r="N17" s="32" t="n"/>
    </row>
    <row r="18">
      <c r="A18" s="70" t="n"/>
      <c r="B18" s="38" t="n">
        <v>5</v>
      </c>
      <c r="C18" s="33" t="n">
        <v>45505</v>
      </c>
      <c r="D18" s="75" t="n">
        <v>6500</v>
      </c>
      <c r="E18" s="30" t="n"/>
      <c r="F18" s="30" t="n"/>
      <c r="G18" s="30" t="n"/>
      <c r="H18" s="70" t="n"/>
      <c r="I18" s="70" t="n"/>
      <c r="J18" s="70" t="n"/>
      <c r="K18" s="70" t="n"/>
      <c r="L18" s="26" t="n"/>
      <c r="M18" s="70" t="n"/>
      <c r="N18" s="70" t="n"/>
    </row>
    <row r="19" ht="15.5" customHeight="1" s="62">
      <c r="A19" s="70" t="n"/>
      <c r="B19" s="38" t="n">
        <v>6</v>
      </c>
      <c r="C19" s="33" t="n">
        <v>45657</v>
      </c>
      <c r="D19" s="75" t="n">
        <v>4000</v>
      </c>
      <c r="E19" s="30" t="n"/>
      <c r="F19" s="30" t="n"/>
      <c r="G19" s="30" t="n"/>
      <c r="H19" s="70" t="n"/>
      <c r="I19" s="8" t="inlineStr">
        <is>
          <t>Timing summary</t>
        </is>
      </c>
      <c r="J19" s="32" t="n"/>
      <c r="K19" s="32" t="n"/>
      <c r="L19" s="41" t="n"/>
      <c r="M19" s="32" t="n"/>
      <c r="N19" s="32" t="n"/>
    </row>
    <row r="20">
      <c r="A20" s="70" t="n"/>
      <c r="B20" s="38" t="n">
        <v>7</v>
      </c>
      <c r="C20" s="33" t="n"/>
      <c r="D20" s="75" t="n"/>
      <c r="E20" s="30" t="n"/>
      <c r="F20" s="30" t="n"/>
      <c r="G20" s="30" t="n"/>
      <c r="H20" s="70" t="n"/>
      <c r="I20" s="5" t="inlineStr">
        <is>
          <t>Metric</t>
        </is>
      </c>
      <c r="J20" s="5" t="inlineStr">
        <is>
          <t>Value</t>
        </is>
      </c>
      <c r="K20" s="32" t="n"/>
      <c r="L20" s="41" t="n"/>
      <c r="M20" s="32" t="n"/>
      <c r="N20" s="32" t="n"/>
    </row>
    <row r="21" ht="29" customHeight="1" s="62">
      <c r="A21" s="70" t="n"/>
      <c r="B21" s="38" t="n">
        <v>8</v>
      </c>
      <c r="C21" s="33" t="n"/>
      <c r="D21" s="75" t="n"/>
      <c r="E21" s="30" t="n"/>
      <c r="F21" s="30" t="n"/>
      <c r="G21" s="30" t="n"/>
      <c r="H21" s="70" t="n"/>
      <c r="I21" s="6" t="inlineStr">
        <is>
          <t>Discounted payback date (approx)</t>
        </is>
      </c>
      <c r="J21" s="14">
        <f>IFERROR(_xludf.XLOOKUP(TRUE,$I$38:$I$57&gt;=0,$C$14:$C$33,,1),"")</f>
        <v/>
      </c>
      <c r="K21" s="32" t="n"/>
      <c r="L21" s="41" t="n"/>
      <c r="M21" s="32" t="n"/>
      <c r="N21" s="32" t="n"/>
    </row>
    <row r="22">
      <c r="A22" s="70" t="n"/>
      <c r="B22" s="38" t="n">
        <v>9</v>
      </c>
      <c r="C22" s="33" t="n"/>
      <c r="D22" s="75" t="n"/>
      <c r="E22" s="30" t="n"/>
      <c r="F22" s="30" t="n"/>
      <c r="G22" s="30" t="n"/>
      <c r="H22" s="70" t="n"/>
      <c r="I22" s="6" t="inlineStr">
        <is>
          <t>Cum PV at end (₹)</t>
        </is>
      </c>
      <c r="J22" s="74">
        <f>IFERROR(LOOKUP(9.9E+307,$I$38:$I$57),"")</f>
        <v/>
      </c>
      <c r="K22" s="32" t="n"/>
      <c r="L22" s="41" t="n"/>
      <c r="M22" s="32" t="n"/>
      <c r="N22" s="32" t="n"/>
    </row>
    <row r="23">
      <c r="A23" s="70" t="n"/>
      <c r="B23" s="38" t="n">
        <v>10</v>
      </c>
      <c r="C23" s="33" t="n"/>
      <c r="D23" s="75" t="n"/>
      <c r="E23" s="30" t="n"/>
      <c r="F23" s="30" t="n"/>
      <c r="G23" s="30" t="n"/>
      <c r="H23" s="70" t="n"/>
      <c r="I23" s="32" t="n"/>
      <c r="J23" s="32" t="n"/>
      <c r="K23" s="32" t="n"/>
      <c r="L23" s="41" t="n"/>
      <c r="M23" s="32" t="n"/>
      <c r="N23" s="32" t="n"/>
    </row>
    <row r="24">
      <c r="A24" s="70" t="n"/>
      <c r="B24" s="38" t="n">
        <v>11</v>
      </c>
      <c r="C24" s="33" t="n"/>
      <c r="D24" s="75" t="n"/>
      <c r="E24" s="30" t="n"/>
      <c r="F24" s="30" t="n"/>
      <c r="G24" s="30" t="n"/>
      <c r="H24" s="70" t="n"/>
      <c r="I24" s="32" t="n"/>
      <c r="J24" s="32" t="n"/>
      <c r="K24" s="32" t="n"/>
      <c r="L24" s="41" t="n"/>
      <c r="M24" s="32" t="n"/>
      <c r="N24" s="32" t="n"/>
    </row>
    <row r="25">
      <c r="A25" s="70" t="n"/>
      <c r="B25" s="38" t="n">
        <v>12</v>
      </c>
      <c r="C25" s="33" t="n"/>
      <c r="D25" s="75" t="n"/>
      <c r="E25" s="30" t="n"/>
      <c r="F25" s="30" t="n"/>
      <c r="G25" s="30" t="n"/>
      <c r="H25" s="70" t="n"/>
      <c r="I25" s="32" t="n"/>
      <c r="J25" s="32" t="n"/>
      <c r="K25" s="32" t="n"/>
      <c r="L25" s="41" t="n"/>
      <c r="M25" s="32" t="n"/>
      <c r="N25" s="32" t="n"/>
    </row>
    <row r="26">
      <c r="A26" s="70" t="n"/>
      <c r="B26" s="38" t="n">
        <v>13</v>
      </c>
      <c r="C26" s="33" t="n"/>
      <c r="D26" s="75" t="n"/>
      <c r="E26" s="30" t="n"/>
      <c r="F26" s="30" t="n"/>
      <c r="G26" s="30" t="n"/>
      <c r="H26" s="70" t="n"/>
      <c r="I26" s="70" t="n"/>
      <c r="J26" s="70" t="n"/>
      <c r="K26" s="70" t="n"/>
      <c r="L26" s="26" t="n"/>
      <c r="M26" s="70" t="n"/>
      <c r="N26" s="70" t="n"/>
    </row>
    <row r="27">
      <c r="A27" s="70" t="n"/>
      <c r="B27" s="38" t="n">
        <v>14</v>
      </c>
      <c r="C27" s="33" t="n"/>
      <c r="D27" s="75" t="n"/>
      <c r="E27" s="30" t="n"/>
      <c r="F27" s="30" t="n"/>
      <c r="G27" s="30" t="n"/>
      <c r="H27" s="70" t="n"/>
      <c r="I27" s="70" t="n"/>
      <c r="J27" s="70" t="n"/>
      <c r="K27" s="70" t="n"/>
      <c r="L27" s="26" t="n"/>
      <c r="M27" s="70" t="n"/>
      <c r="N27" s="70" t="n"/>
    </row>
    <row r="28">
      <c r="A28" s="70" t="n"/>
      <c r="B28" s="38" t="n">
        <v>15</v>
      </c>
      <c r="C28" s="33" t="n"/>
      <c r="D28" s="75" t="n"/>
      <c r="E28" s="30" t="n"/>
      <c r="F28" s="30" t="n"/>
      <c r="G28" s="30" t="n"/>
      <c r="H28" s="70" t="n"/>
      <c r="I28" s="70" t="n"/>
      <c r="J28" s="70" t="n"/>
      <c r="K28" s="70" t="n"/>
      <c r="L28" s="26" t="n"/>
      <c r="M28" s="70" t="n"/>
      <c r="N28" s="70" t="n"/>
    </row>
    <row r="29">
      <c r="A29" s="70" t="n"/>
      <c r="B29" s="38" t="n">
        <v>16</v>
      </c>
      <c r="C29" s="33" t="n"/>
      <c r="D29" s="75" t="n"/>
      <c r="E29" s="30" t="n"/>
      <c r="F29" s="30" t="n"/>
      <c r="G29" s="30" t="n"/>
      <c r="H29" s="70" t="n"/>
      <c r="I29" s="70" t="n"/>
      <c r="J29" s="70" t="n"/>
      <c r="K29" s="70" t="n"/>
      <c r="L29" s="26" t="n"/>
      <c r="M29" s="70" t="n"/>
      <c r="N29" s="70" t="n"/>
    </row>
    <row r="30">
      <c r="A30" s="70" t="n"/>
      <c r="B30" s="38" t="n">
        <v>17</v>
      </c>
      <c r="C30" s="33" t="n"/>
      <c r="D30" s="75" t="n"/>
      <c r="E30" s="30" t="n"/>
      <c r="F30" s="30" t="n"/>
      <c r="G30" s="30" t="n"/>
      <c r="H30" s="70" t="n"/>
      <c r="I30" s="70" t="n"/>
      <c r="J30" s="70" t="n"/>
      <c r="K30" s="70" t="n"/>
      <c r="L30" s="26" t="n"/>
      <c r="M30" s="70" t="n"/>
      <c r="N30" s="70" t="n"/>
    </row>
    <row r="31">
      <c r="A31" s="70" t="n"/>
      <c r="B31" s="38" t="n">
        <v>18</v>
      </c>
      <c r="C31" s="33" t="n"/>
      <c r="D31" s="75" t="n"/>
      <c r="E31" s="30" t="n"/>
      <c r="F31" s="30" t="n"/>
      <c r="G31" s="30" t="n"/>
      <c r="H31" s="70" t="n"/>
      <c r="I31" s="70" t="n"/>
      <c r="J31" s="70" t="n"/>
      <c r="K31" s="70" t="n"/>
      <c r="L31" s="26" t="n"/>
      <c r="M31" s="70" t="n"/>
      <c r="N31" s="70" t="n"/>
    </row>
    <row r="32">
      <c r="A32" s="70" t="n"/>
      <c r="B32" s="38" t="n">
        <v>19</v>
      </c>
      <c r="C32" s="33" t="n"/>
      <c r="D32" s="75" t="n"/>
      <c r="E32" s="30" t="n"/>
      <c r="F32" s="30" t="n"/>
      <c r="G32" s="30" t="n"/>
      <c r="H32" s="70" t="n"/>
      <c r="I32" s="70" t="n"/>
      <c r="J32" s="70" t="n"/>
      <c r="K32" s="70" t="n"/>
      <c r="L32" s="26" t="n"/>
      <c r="M32" s="70" t="n"/>
      <c r="N32" s="70" t="n"/>
    </row>
    <row r="33">
      <c r="A33" s="70" t="n"/>
      <c r="B33" s="38" t="n">
        <v>20</v>
      </c>
      <c r="C33" s="33" t="n"/>
      <c r="D33" s="75" t="n"/>
      <c r="E33" s="30" t="n"/>
      <c r="F33" s="30" t="n"/>
      <c r="G33" s="30" t="n"/>
      <c r="H33" s="70" t="n"/>
      <c r="I33" s="70" t="n"/>
      <c r="J33" s="70" t="n"/>
      <c r="K33" s="70" t="n"/>
      <c r="L33" s="26" t="n"/>
      <c r="M33" s="70" t="n"/>
      <c r="N33" s="70" t="n"/>
    </row>
    <row r="34">
      <c r="A34" s="70" t="n"/>
      <c r="B34" s="70" t="n"/>
      <c r="C34" s="70" t="n"/>
      <c r="D34" s="70" t="n"/>
      <c r="E34" s="70" t="n"/>
      <c r="F34" s="70" t="n"/>
      <c r="G34" s="70" t="n"/>
      <c r="H34" s="70" t="n"/>
      <c r="I34" s="70" t="n"/>
      <c r="J34" s="70" t="n"/>
      <c r="K34" s="70" t="n"/>
      <c r="L34" s="70" t="n"/>
      <c r="M34" s="70" t="n"/>
      <c r="N34" s="70" t="n"/>
    </row>
    <row r="35">
      <c r="A35" s="70" t="n"/>
      <c r="B35" s="64" t="inlineStr">
        <is>
          <t>CALCULATIONS</t>
        </is>
      </c>
      <c r="C35" s="72" t="n"/>
      <c r="D35" s="72" t="n"/>
      <c r="E35" s="72" t="n"/>
      <c r="F35" s="72" t="n"/>
      <c r="G35" s="73" t="n"/>
      <c r="H35" s="39" t="n"/>
      <c r="I35" s="39" t="n"/>
      <c r="J35" s="70" t="n"/>
      <c r="K35" s="70" t="n"/>
      <c r="L35" s="70" t="n"/>
      <c r="M35" s="70" t="n"/>
      <c r="N35" s="70" t="n"/>
    </row>
    <row r="36" ht="58" customHeight="1" s="62">
      <c r="A36" s="70" t="n"/>
      <c r="B36" s="20" t="inlineStr">
        <is>
          <t>PV engine (base date = first entered date in the schedule, row 14)</t>
        </is>
      </c>
      <c r="C36" s="39" t="n"/>
      <c r="D36" s="39" t="n"/>
      <c r="E36" s="39" t="n"/>
      <c r="F36" s="39" t="n"/>
      <c r="G36" s="39" t="n"/>
      <c r="H36" s="39" t="n"/>
      <c r="I36" s="39" t="n"/>
      <c r="J36" s="70" t="n"/>
      <c r="K36" s="70" t="n"/>
      <c r="L36" s="70" t="n"/>
      <c r="M36" s="70" t="n"/>
      <c r="N36" s="70" t="n"/>
    </row>
    <row r="37" ht="58" customHeight="1" s="62">
      <c r="A37" s="70" t="n"/>
      <c r="B37" s="18" t="inlineStr">
        <is>
          <t>#</t>
        </is>
      </c>
      <c r="C37" s="18" t="inlineStr">
        <is>
          <t>Date</t>
        </is>
      </c>
      <c r="D37" s="18" t="inlineStr">
        <is>
          <t>CF (₹)</t>
        </is>
      </c>
      <c r="E37" s="18" t="inlineStr">
        <is>
          <t>Days</t>
        </is>
      </c>
      <c r="F37" s="18" t="inlineStr">
        <is>
          <t>t (yrs)</t>
        </is>
      </c>
      <c r="G37" s="18" t="inlineStr">
        <is>
          <t>Discount Factor</t>
        </is>
      </c>
      <c r="H37" s="18" t="inlineStr">
        <is>
          <t>PV (₹)</t>
        </is>
      </c>
      <c r="I37" s="18" t="inlineStr">
        <is>
          <t>Cum PV (₹)</t>
        </is>
      </c>
      <c r="J37" s="70" t="n"/>
      <c r="K37" s="70" t="n"/>
      <c r="L37" s="70" t="n"/>
      <c r="M37" s="70" t="n"/>
      <c r="N37" s="70" t="n"/>
    </row>
    <row r="38">
      <c r="A38" s="70" t="n"/>
      <c r="B38" s="19">
        <f>B14</f>
        <v/>
      </c>
      <c r="C38" s="19">
        <f>C14</f>
        <v/>
      </c>
      <c r="D38" s="19">
        <f>D14</f>
        <v/>
      </c>
      <c r="E38" s="19">
        <f>IF(C14="","",C14-$C$14)</f>
        <v/>
      </c>
      <c r="F38" s="78">
        <f>IF(E38="","",E38/365)</f>
        <v/>
      </c>
      <c r="G38" s="79">
        <f>IF(F38="","",(1+$C$5)^F38)</f>
        <v/>
      </c>
      <c r="H38" s="80">
        <f>IF(OR(C14="",D14=""),"",D14/G38)</f>
        <v/>
      </c>
      <c r="I38" s="80">
        <f>IF(H38="","",SUM($H$38:H38))</f>
        <v/>
      </c>
      <c r="J38" s="70" t="n"/>
      <c r="K38" s="70" t="n"/>
      <c r="L38" s="70" t="n"/>
      <c r="M38" s="70" t="n"/>
      <c r="N38" s="70" t="n"/>
    </row>
    <row r="39">
      <c r="A39" s="70" t="n"/>
      <c r="B39" s="19">
        <f>B15</f>
        <v/>
      </c>
      <c r="C39" s="19">
        <f>C15</f>
        <v/>
      </c>
      <c r="D39" s="19">
        <f>D15</f>
        <v/>
      </c>
      <c r="E39" s="19">
        <f>IF(C15="","",C15-$C$14)</f>
        <v/>
      </c>
      <c r="F39" s="78">
        <f>IF(E39="","",E39/365)</f>
        <v/>
      </c>
      <c r="G39" s="79">
        <f>IF(F39="","",(1+$C$5)^F39)</f>
        <v/>
      </c>
      <c r="H39" s="80">
        <f>IF(OR(C15="",D15=""),"",D15/G39)</f>
        <v/>
      </c>
      <c r="I39" s="80">
        <f>IF(H39="","",SUM($H$38:H39))</f>
        <v/>
      </c>
      <c r="J39" s="70" t="n"/>
      <c r="K39" s="70" t="n"/>
      <c r="L39" s="70" t="n"/>
      <c r="M39" s="70" t="n"/>
      <c r="N39" s="70" t="n"/>
    </row>
    <row r="40">
      <c r="A40" s="70" t="n"/>
      <c r="B40" s="19">
        <f>B16</f>
        <v/>
      </c>
      <c r="C40" s="19">
        <f>C16</f>
        <v/>
      </c>
      <c r="D40" s="19">
        <f>D16</f>
        <v/>
      </c>
      <c r="E40" s="19">
        <f>IF(C16="","",C16-$C$14)</f>
        <v/>
      </c>
      <c r="F40" s="78">
        <f>IF(E40="","",E40/365)</f>
        <v/>
      </c>
      <c r="G40" s="79">
        <f>IF(F40="","",(1+$C$5)^F40)</f>
        <v/>
      </c>
      <c r="H40" s="80">
        <f>IF(OR(C16="",D16=""),"",D16/G40)</f>
        <v/>
      </c>
      <c r="I40" s="80">
        <f>IF(H40="","",SUM($H$38:H40))</f>
        <v/>
      </c>
      <c r="J40" s="70" t="n"/>
      <c r="K40" s="70" t="n"/>
      <c r="L40" s="70" t="n"/>
      <c r="M40" s="70" t="n"/>
      <c r="N40" s="70" t="n"/>
    </row>
    <row r="41">
      <c r="A41" s="70" t="n"/>
      <c r="B41" s="19">
        <f>B17</f>
        <v/>
      </c>
      <c r="C41" s="19">
        <f>C17</f>
        <v/>
      </c>
      <c r="D41" s="19">
        <f>D17</f>
        <v/>
      </c>
      <c r="E41" s="19">
        <f>IF(C17="","",C17-$C$14)</f>
        <v/>
      </c>
      <c r="F41" s="78">
        <f>IF(E41="","",E41/365)</f>
        <v/>
      </c>
      <c r="G41" s="79">
        <f>IF(F41="","",(1+$C$5)^F41)</f>
        <v/>
      </c>
      <c r="H41" s="80">
        <f>IF(OR(C17="",D17=""),"",D17/G41)</f>
        <v/>
      </c>
      <c r="I41" s="80">
        <f>IF(H41="","",SUM($H$38:H41))</f>
        <v/>
      </c>
      <c r="J41" s="70" t="n"/>
      <c r="K41" s="70" t="n"/>
      <c r="L41" s="70" t="n"/>
      <c r="M41" s="70" t="n"/>
      <c r="N41" s="70" t="n"/>
    </row>
    <row r="42">
      <c r="A42" s="70" t="n"/>
      <c r="B42" s="19">
        <f>B18</f>
        <v/>
      </c>
      <c r="C42" s="19">
        <f>C18</f>
        <v/>
      </c>
      <c r="D42" s="19">
        <f>D18</f>
        <v/>
      </c>
      <c r="E42" s="19">
        <f>IF(C18="","",C18-$C$14)</f>
        <v/>
      </c>
      <c r="F42" s="78">
        <f>IF(E42="","",E42/365)</f>
        <v/>
      </c>
      <c r="G42" s="79">
        <f>IF(F42="","",(1+$C$5)^F42)</f>
        <v/>
      </c>
      <c r="H42" s="80">
        <f>IF(OR(C18="",D18=""),"",D18/G42)</f>
        <v/>
      </c>
      <c r="I42" s="80">
        <f>IF(H42="","",SUM($H$38:H42))</f>
        <v/>
      </c>
      <c r="J42" s="70" t="n"/>
      <c r="K42" s="70" t="n"/>
      <c r="L42" s="70" t="n"/>
      <c r="M42" s="70" t="n"/>
      <c r="N42" s="70" t="n"/>
    </row>
    <row r="43">
      <c r="A43" s="70" t="n"/>
      <c r="B43" s="19">
        <f>B19</f>
        <v/>
      </c>
      <c r="C43" s="19">
        <f>C19</f>
        <v/>
      </c>
      <c r="D43" s="19">
        <f>D19</f>
        <v/>
      </c>
      <c r="E43" s="19">
        <f>IF(C19="","",C19-$C$14)</f>
        <v/>
      </c>
      <c r="F43" s="78">
        <f>IF(E43="","",E43/365)</f>
        <v/>
      </c>
      <c r="G43" s="79">
        <f>IF(F43="","",(1+$C$5)^F43)</f>
        <v/>
      </c>
      <c r="H43" s="80">
        <f>IF(OR(C19="",D19=""),"",D19/G43)</f>
        <v/>
      </c>
      <c r="I43" s="80">
        <f>IF(H43="","",SUM($H$38:H43))</f>
        <v/>
      </c>
      <c r="J43" s="70" t="n"/>
      <c r="K43" s="70" t="n"/>
      <c r="L43" s="70" t="n"/>
      <c r="M43" s="70" t="n"/>
      <c r="N43" s="70" t="n"/>
    </row>
    <row r="44">
      <c r="A44" s="70" t="n"/>
      <c r="B44" s="19">
        <f>B20</f>
        <v/>
      </c>
      <c r="C44" s="19">
        <f>C20</f>
        <v/>
      </c>
      <c r="D44" s="19">
        <f>D20</f>
        <v/>
      </c>
      <c r="E44" s="19">
        <f>IF(C20="","",C20-$C$14)</f>
        <v/>
      </c>
      <c r="F44" s="78">
        <f>IF(E44="","",E44/365)</f>
        <v/>
      </c>
      <c r="G44" s="79">
        <f>IF(F44="","",(1+$C$5)^F44)</f>
        <v/>
      </c>
      <c r="H44" s="80">
        <f>IF(OR(C20="",D20=""),"",D20/G44)</f>
        <v/>
      </c>
      <c r="I44" s="80">
        <f>IF(H44="","",SUM($H$38:H44))</f>
        <v/>
      </c>
      <c r="J44" s="70" t="n"/>
      <c r="K44" s="70" t="n"/>
      <c r="L44" s="70" t="n"/>
      <c r="M44" s="70" t="n"/>
      <c r="N44" s="70" t="n"/>
    </row>
    <row r="45">
      <c r="A45" s="70" t="n"/>
      <c r="B45" s="19">
        <f>B21</f>
        <v/>
      </c>
      <c r="C45" s="19">
        <f>C21</f>
        <v/>
      </c>
      <c r="D45" s="19">
        <f>D21</f>
        <v/>
      </c>
      <c r="E45" s="19">
        <f>IF(C21="","",C21-$C$14)</f>
        <v/>
      </c>
      <c r="F45" s="78">
        <f>IF(E45="","",E45/365)</f>
        <v/>
      </c>
      <c r="G45" s="79">
        <f>IF(F45="","",(1+$C$5)^F45)</f>
        <v/>
      </c>
      <c r="H45" s="80">
        <f>IF(OR(C21="",D21=""),"",D21/G45)</f>
        <v/>
      </c>
      <c r="I45" s="80">
        <f>IF(H45="","",SUM($H$38:H45))</f>
        <v/>
      </c>
      <c r="J45" s="70" t="n"/>
      <c r="K45" s="70" t="n"/>
      <c r="L45" s="70" t="n"/>
      <c r="M45" s="70" t="n"/>
      <c r="N45" s="70" t="n"/>
    </row>
    <row r="46">
      <c r="A46" s="70" t="n"/>
      <c r="B46" s="19">
        <f>B22</f>
        <v/>
      </c>
      <c r="C46" s="19">
        <f>C22</f>
        <v/>
      </c>
      <c r="D46" s="19">
        <f>D22</f>
        <v/>
      </c>
      <c r="E46" s="19">
        <f>IF(C22="","",C22-$C$14)</f>
        <v/>
      </c>
      <c r="F46" s="78">
        <f>IF(E46="","",E46/365)</f>
        <v/>
      </c>
      <c r="G46" s="79">
        <f>IF(F46="","",(1+$C$5)^F46)</f>
        <v/>
      </c>
      <c r="H46" s="80">
        <f>IF(OR(C22="",D22=""),"",D22/G46)</f>
        <v/>
      </c>
      <c r="I46" s="80">
        <f>IF(H46="","",SUM($H$38:H46))</f>
        <v/>
      </c>
      <c r="J46" s="70" t="n"/>
      <c r="K46" s="70" t="n"/>
      <c r="L46" s="70" t="n"/>
      <c r="M46" s="70" t="n"/>
      <c r="N46" s="70" t="n"/>
    </row>
    <row r="47">
      <c r="A47" s="70" t="n"/>
      <c r="B47" s="19">
        <f>B23</f>
        <v/>
      </c>
      <c r="C47" s="19">
        <f>C23</f>
        <v/>
      </c>
      <c r="D47" s="19">
        <f>D23</f>
        <v/>
      </c>
      <c r="E47" s="19">
        <f>IF(C23="","",C23-$C$14)</f>
        <v/>
      </c>
      <c r="F47" s="78">
        <f>IF(E47="","",E47/365)</f>
        <v/>
      </c>
      <c r="G47" s="79">
        <f>IF(F47="","",(1+$C$5)^F47)</f>
        <v/>
      </c>
      <c r="H47" s="80">
        <f>IF(OR(C23="",D23=""),"",D23/G47)</f>
        <v/>
      </c>
      <c r="I47" s="80">
        <f>IF(H47="","",SUM($H$38:H47))</f>
        <v/>
      </c>
      <c r="J47" s="70" t="n"/>
      <c r="K47" s="70" t="n"/>
      <c r="L47" s="70" t="n"/>
      <c r="M47" s="70" t="n"/>
      <c r="N47" s="70" t="n"/>
    </row>
    <row r="48">
      <c r="A48" s="70" t="n"/>
      <c r="B48" s="19">
        <f>B24</f>
        <v/>
      </c>
      <c r="C48" s="19">
        <f>C24</f>
        <v/>
      </c>
      <c r="D48" s="19">
        <f>D24</f>
        <v/>
      </c>
      <c r="E48" s="19">
        <f>IF(C24="","",C24-$C$14)</f>
        <v/>
      </c>
      <c r="F48" s="78">
        <f>IF(E48="","",E48/365)</f>
        <v/>
      </c>
      <c r="G48" s="79">
        <f>IF(F48="","",(1+$C$5)^F48)</f>
        <v/>
      </c>
      <c r="H48" s="80">
        <f>IF(OR(C24="",D24=""),"",D24/G48)</f>
        <v/>
      </c>
      <c r="I48" s="80">
        <f>IF(H48="","",SUM($H$38:H48))</f>
        <v/>
      </c>
      <c r="J48" s="70" t="n"/>
      <c r="K48" s="70" t="n"/>
      <c r="L48" s="70" t="n"/>
      <c r="M48" s="70" t="n"/>
      <c r="N48" s="70" t="n"/>
    </row>
    <row r="49">
      <c r="A49" s="70" t="n"/>
      <c r="B49" s="19">
        <f>B25</f>
        <v/>
      </c>
      <c r="C49" s="19">
        <f>C25</f>
        <v/>
      </c>
      <c r="D49" s="19">
        <f>D25</f>
        <v/>
      </c>
      <c r="E49" s="19">
        <f>IF(C25="","",C25-$C$14)</f>
        <v/>
      </c>
      <c r="F49" s="78">
        <f>IF(E49="","",E49/365)</f>
        <v/>
      </c>
      <c r="G49" s="79">
        <f>IF(F49="","",(1+$C$5)^F49)</f>
        <v/>
      </c>
      <c r="H49" s="80">
        <f>IF(OR(C25="",D25=""),"",D25/G49)</f>
        <v/>
      </c>
      <c r="I49" s="80">
        <f>IF(H49="","",SUM($H$38:H49))</f>
        <v/>
      </c>
      <c r="J49" s="70" t="n"/>
      <c r="K49" s="70" t="n"/>
      <c r="L49" s="70" t="n"/>
      <c r="M49" s="70" t="n"/>
      <c r="N49" s="70" t="n"/>
    </row>
    <row r="50">
      <c r="A50" s="70" t="n"/>
      <c r="B50" s="19">
        <f>B26</f>
        <v/>
      </c>
      <c r="C50" s="19">
        <f>C26</f>
        <v/>
      </c>
      <c r="D50" s="19">
        <f>D26</f>
        <v/>
      </c>
      <c r="E50" s="19">
        <f>IF(C26="","",C26-$C$14)</f>
        <v/>
      </c>
      <c r="F50" s="78">
        <f>IF(E50="","",E50/365)</f>
        <v/>
      </c>
      <c r="G50" s="79">
        <f>IF(F50="","",(1+$C$5)^F50)</f>
        <v/>
      </c>
      <c r="H50" s="80">
        <f>IF(OR(C26="",D26=""),"",D26/G50)</f>
        <v/>
      </c>
      <c r="I50" s="80">
        <f>IF(H50="","",SUM($H$38:H50))</f>
        <v/>
      </c>
      <c r="J50" s="70" t="n"/>
      <c r="K50" s="70" t="n"/>
      <c r="L50" s="70" t="n"/>
      <c r="M50" s="70" t="n"/>
      <c r="N50" s="70" t="n"/>
    </row>
    <row r="51">
      <c r="A51" s="70" t="n"/>
      <c r="B51" s="19">
        <f>B27</f>
        <v/>
      </c>
      <c r="C51" s="19">
        <f>C27</f>
        <v/>
      </c>
      <c r="D51" s="19">
        <f>D27</f>
        <v/>
      </c>
      <c r="E51" s="19">
        <f>IF(C27="","",C27-$C$14)</f>
        <v/>
      </c>
      <c r="F51" s="78">
        <f>IF(E51="","",E51/365)</f>
        <v/>
      </c>
      <c r="G51" s="79">
        <f>IF(F51="","",(1+$C$5)^F51)</f>
        <v/>
      </c>
      <c r="H51" s="80">
        <f>IF(OR(C27="",D27=""),"",D27/G51)</f>
        <v/>
      </c>
      <c r="I51" s="80">
        <f>IF(H51="","",SUM($H$38:H51))</f>
        <v/>
      </c>
      <c r="J51" s="70" t="n"/>
      <c r="K51" s="70" t="n"/>
      <c r="L51" s="70" t="n"/>
      <c r="M51" s="70" t="n"/>
      <c r="N51" s="70" t="n"/>
    </row>
    <row r="52">
      <c r="A52" s="70" t="n"/>
      <c r="B52" s="19">
        <f>B28</f>
        <v/>
      </c>
      <c r="C52" s="19">
        <f>C28</f>
        <v/>
      </c>
      <c r="D52" s="19">
        <f>D28</f>
        <v/>
      </c>
      <c r="E52" s="19">
        <f>IF(C28="","",C28-$C$14)</f>
        <v/>
      </c>
      <c r="F52" s="78">
        <f>IF(E52="","",E52/365)</f>
        <v/>
      </c>
      <c r="G52" s="79">
        <f>IF(F52="","",(1+$C$5)^F52)</f>
        <v/>
      </c>
      <c r="H52" s="80">
        <f>IF(OR(C28="",D28=""),"",D28/G52)</f>
        <v/>
      </c>
      <c r="I52" s="80">
        <f>IF(H52="","",SUM($H$38:H52))</f>
        <v/>
      </c>
      <c r="J52" s="70" t="n"/>
      <c r="K52" s="70" t="n"/>
      <c r="L52" s="70" t="n"/>
      <c r="M52" s="70" t="n"/>
      <c r="N52" s="70" t="n"/>
    </row>
    <row r="53">
      <c r="A53" s="70" t="n"/>
      <c r="B53" s="19">
        <f>B29</f>
        <v/>
      </c>
      <c r="C53" s="19">
        <f>C29</f>
        <v/>
      </c>
      <c r="D53" s="19">
        <f>D29</f>
        <v/>
      </c>
      <c r="E53" s="19">
        <f>IF(C29="","",C29-$C$14)</f>
        <v/>
      </c>
      <c r="F53" s="78">
        <f>IF(E53="","",E53/365)</f>
        <v/>
      </c>
      <c r="G53" s="79">
        <f>IF(F53="","",(1+$C$5)^F53)</f>
        <v/>
      </c>
      <c r="H53" s="80">
        <f>IF(OR(C29="",D29=""),"",D29/G53)</f>
        <v/>
      </c>
      <c r="I53" s="80">
        <f>IF(H53="","",SUM($H$38:H53))</f>
        <v/>
      </c>
      <c r="J53" s="70" t="n"/>
      <c r="K53" s="70" t="n"/>
      <c r="L53" s="70" t="n"/>
      <c r="M53" s="70" t="n"/>
      <c r="N53" s="70" t="n"/>
    </row>
    <row r="54">
      <c r="A54" s="70" t="n"/>
      <c r="B54" s="19">
        <f>B30</f>
        <v/>
      </c>
      <c r="C54" s="19">
        <f>C30</f>
        <v/>
      </c>
      <c r="D54" s="19">
        <f>D30</f>
        <v/>
      </c>
      <c r="E54" s="19">
        <f>IF(C30="","",C30-$C$14)</f>
        <v/>
      </c>
      <c r="F54" s="78">
        <f>IF(E54="","",E54/365)</f>
        <v/>
      </c>
      <c r="G54" s="79">
        <f>IF(F54="","",(1+$C$5)^F54)</f>
        <v/>
      </c>
      <c r="H54" s="80">
        <f>IF(OR(C30="",D30=""),"",D30/G54)</f>
        <v/>
      </c>
      <c r="I54" s="80">
        <f>IF(H54="","",SUM($H$38:H54))</f>
        <v/>
      </c>
      <c r="J54" s="70" t="n"/>
      <c r="K54" s="70" t="n"/>
      <c r="L54" s="70" t="n"/>
      <c r="M54" s="70" t="n"/>
      <c r="N54" s="70" t="n"/>
    </row>
    <row r="55">
      <c r="A55" s="70" t="n"/>
      <c r="B55" s="19">
        <f>B31</f>
        <v/>
      </c>
      <c r="C55" s="19">
        <f>C31</f>
        <v/>
      </c>
      <c r="D55" s="19">
        <f>D31</f>
        <v/>
      </c>
      <c r="E55" s="19">
        <f>IF(C31="","",C31-$C$14)</f>
        <v/>
      </c>
      <c r="F55" s="78">
        <f>IF(E55="","",E55/365)</f>
        <v/>
      </c>
      <c r="G55" s="79">
        <f>IF(F55="","",(1+$C$5)^F55)</f>
        <v/>
      </c>
      <c r="H55" s="80">
        <f>IF(OR(C31="",D31=""),"",D31/G55)</f>
        <v/>
      </c>
      <c r="I55" s="80">
        <f>IF(H55="","",SUM($H$38:H55))</f>
        <v/>
      </c>
      <c r="J55" s="70" t="n"/>
      <c r="K55" s="70" t="n"/>
      <c r="L55" s="70" t="n"/>
      <c r="M55" s="70" t="n"/>
      <c r="N55" s="70" t="n"/>
    </row>
    <row r="56">
      <c r="A56" s="70" t="n"/>
      <c r="B56" s="19">
        <f>B32</f>
        <v/>
      </c>
      <c r="C56" s="19">
        <f>C32</f>
        <v/>
      </c>
      <c r="D56" s="19">
        <f>D32</f>
        <v/>
      </c>
      <c r="E56" s="19">
        <f>IF(C32="","",C32-$C$14)</f>
        <v/>
      </c>
      <c r="F56" s="78">
        <f>IF(E56="","",E56/365)</f>
        <v/>
      </c>
      <c r="G56" s="79">
        <f>IF(F56="","",(1+$C$5)^F56)</f>
        <v/>
      </c>
      <c r="H56" s="80">
        <f>IF(OR(C32="",D32=""),"",D32/G56)</f>
        <v/>
      </c>
      <c r="I56" s="80">
        <f>IF(H56="","",SUM($H$38:H56))</f>
        <v/>
      </c>
      <c r="J56" s="70" t="n"/>
      <c r="K56" s="70" t="n"/>
      <c r="L56" s="70" t="n"/>
      <c r="M56" s="70" t="n"/>
      <c r="N56" s="70" t="n"/>
    </row>
    <row r="57">
      <c r="A57" s="70" t="n"/>
      <c r="B57" s="19">
        <f>B33</f>
        <v/>
      </c>
      <c r="C57" s="19">
        <f>C33</f>
        <v/>
      </c>
      <c r="D57" s="19">
        <f>D33</f>
        <v/>
      </c>
      <c r="E57" s="19">
        <f>IF(C33="","",C33-$C$14)</f>
        <v/>
      </c>
      <c r="F57" s="78">
        <f>IF(E57="","",E57/365)</f>
        <v/>
      </c>
      <c r="G57" s="79">
        <f>IF(F57="","",(1+$C$5)^F57)</f>
        <v/>
      </c>
      <c r="H57" s="80">
        <f>IF(OR(C33="",D33=""),"",D33/G57)</f>
        <v/>
      </c>
      <c r="I57" s="80">
        <f>IF(H57="","",SUM($H$38:H57))</f>
        <v/>
      </c>
      <c r="J57" s="70" t="n"/>
      <c r="K57" s="70" t="n"/>
      <c r="L57" s="70" t="n"/>
      <c r="M57" s="70" t="n"/>
      <c r="N57" s="70" t="n"/>
    </row>
    <row r="58">
      <c r="A58" s="70" t="n"/>
      <c r="B58" s="70" t="n"/>
      <c r="C58" s="70" t="n"/>
      <c r="D58" s="70" t="n"/>
      <c r="E58" s="70" t="n"/>
      <c r="F58" s="70" t="n"/>
      <c r="G58" s="70" t="n"/>
      <c r="H58" s="70" t="n"/>
      <c r="I58" s="70" t="n"/>
      <c r="J58" s="70" t="n"/>
      <c r="K58" s="70" t="n"/>
      <c r="L58" s="70" t="n"/>
      <c r="M58" s="70" t="n"/>
      <c r="N58" s="70" t="n"/>
    </row>
    <row r="59">
      <c r="A59" s="70" t="n"/>
      <c r="B59" s="70" t="n"/>
      <c r="C59" s="70" t="n"/>
      <c r="D59" s="70" t="n"/>
      <c r="E59" s="70" t="n"/>
      <c r="F59" s="70" t="n"/>
      <c r="G59" s="70" t="n"/>
      <c r="H59" s="70" t="n"/>
      <c r="I59" s="70" t="n"/>
      <c r="J59" s="70" t="n"/>
      <c r="K59" s="70" t="n"/>
      <c r="L59" s="70" t="n"/>
      <c r="M59" s="70" t="n"/>
      <c r="N59" s="70" t="n"/>
    </row>
    <row r="60">
      <c r="A60" s="70" t="n"/>
      <c r="B60" s="70" t="n"/>
      <c r="C60" s="70" t="n"/>
      <c r="D60" s="70" t="n"/>
      <c r="E60" s="70" t="n"/>
      <c r="F60" s="70" t="n"/>
      <c r="G60" s="70" t="n"/>
      <c r="H60" s="70" t="n"/>
      <c r="I60" s="70" t="n"/>
      <c r="J60" s="70" t="n"/>
      <c r="K60" s="70" t="n"/>
      <c r="L60" s="70" t="n"/>
      <c r="M60" s="70" t="n"/>
      <c r="N60" s="70" t="n"/>
    </row>
    <row r="61">
      <c r="A61" s="70" t="n"/>
      <c r="B61" s="70" t="n"/>
      <c r="C61" s="70" t="n"/>
      <c r="D61" s="70" t="n"/>
      <c r="E61" s="70" t="n"/>
      <c r="F61" s="70" t="n"/>
      <c r="G61" s="70" t="n"/>
      <c r="H61" s="70" t="n"/>
      <c r="I61" s="70" t="n"/>
      <c r="J61" s="70" t="n"/>
      <c r="K61" s="70" t="n"/>
      <c r="L61" s="70" t="n"/>
      <c r="M61" s="70" t="n"/>
      <c r="N61" s="70" t="n"/>
    </row>
    <row r="62">
      <c r="A62" s="70" t="n"/>
      <c r="B62" s="70" t="n"/>
      <c r="C62" s="70" t="n"/>
      <c r="D62" s="70" t="n"/>
      <c r="E62" s="70" t="n"/>
      <c r="F62" s="70" t="n"/>
      <c r="G62" s="70" t="n"/>
      <c r="H62" s="70" t="n"/>
      <c r="I62" s="70" t="n"/>
      <c r="J62" s="70" t="n"/>
      <c r="K62" s="70" t="n"/>
      <c r="L62" s="70" t="n"/>
      <c r="M62" s="70" t="n"/>
      <c r="N62" s="70" t="n"/>
    </row>
    <row r="63">
      <c r="A63" s="70" t="n"/>
      <c r="B63" s="70" t="n"/>
      <c r="C63" s="70" t="n"/>
      <c r="D63" s="70" t="n"/>
      <c r="E63" s="70" t="n"/>
      <c r="F63" s="70" t="n"/>
      <c r="G63" s="70" t="n"/>
      <c r="H63" s="70" t="n"/>
      <c r="I63" s="70" t="n"/>
      <c r="J63" s="70" t="n"/>
      <c r="K63" s="70" t="n"/>
      <c r="L63" s="70" t="n"/>
      <c r="M63" s="70" t="n"/>
      <c r="N63" s="70" t="n"/>
    </row>
    <row r="64">
      <c r="A64" s="70" t="n"/>
      <c r="B64" s="70" t="n"/>
      <c r="C64" s="70" t="n"/>
      <c r="D64" s="70" t="n"/>
      <c r="E64" s="70" t="n"/>
      <c r="F64" s="70" t="n"/>
      <c r="G64" s="70" t="n"/>
      <c r="H64" s="70" t="n"/>
      <c r="I64" s="70" t="n"/>
      <c r="J64" s="70" t="n"/>
      <c r="K64" s="70" t="n"/>
      <c r="L64" s="70" t="n"/>
      <c r="M64" s="70" t="n"/>
      <c r="N64" s="70" t="n"/>
    </row>
    <row r="65">
      <c r="A65" s="70" t="n"/>
      <c r="B65" s="70" t="n"/>
      <c r="C65" s="70" t="n"/>
      <c r="D65" s="70" t="n"/>
      <c r="E65" s="70" t="n"/>
      <c r="F65" s="70" t="n"/>
      <c r="G65" s="70" t="n"/>
      <c r="H65" s="70" t="n"/>
      <c r="I65" s="70" t="n"/>
      <c r="J65" s="70" t="n"/>
      <c r="K65" s="70" t="n"/>
      <c r="L65" s="70" t="n"/>
      <c r="M65" s="70" t="n"/>
      <c r="N65" s="70" t="n"/>
    </row>
    <row r="66">
      <c r="A66" s="70" t="n"/>
      <c r="B66" s="70" t="n"/>
      <c r="C66" s="70" t="n"/>
      <c r="D66" s="70" t="n"/>
      <c r="E66" s="70" t="n"/>
      <c r="F66" s="70" t="n"/>
      <c r="G66" s="70" t="n"/>
      <c r="H66" s="70" t="n"/>
      <c r="I66" s="70" t="n"/>
      <c r="J66" s="70" t="n"/>
      <c r="K66" s="70" t="n"/>
      <c r="L66" s="70" t="n"/>
      <c r="M66" s="70" t="n"/>
      <c r="N66" s="70" t="n"/>
    </row>
    <row r="67">
      <c r="A67" s="70" t="n"/>
      <c r="B67" s="70" t="n"/>
      <c r="C67" s="70" t="n"/>
      <c r="D67" s="70" t="n"/>
      <c r="E67" s="70" t="n"/>
      <c r="F67" s="70" t="n"/>
      <c r="G67" s="70" t="n"/>
      <c r="H67" s="70" t="n"/>
      <c r="I67" s="70" t="n"/>
      <c r="J67" s="70" t="n"/>
      <c r="K67" s="70" t="n"/>
      <c r="L67" s="70" t="n"/>
      <c r="M67" s="70" t="n"/>
      <c r="N67" s="70" t="n"/>
    </row>
    <row r="68">
      <c r="A68" s="70" t="n"/>
      <c r="B68" s="70" t="n"/>
      <c r="C68" s="70" t="n"/>
      <c r="D68" s="70" t="n"/>
      <c r="E68" s="70" t="n"/>
      <c r="F68" s="70" t="n"/>
      <c r="G68" s="70" t="n"/>
      <c r="H68" s="70" t="n"/>
      <c r="I68" s="70" t="n"/>
      <c r="J68" s="70" t="n"/>
      <c r="K68" s="70" t="n"/>
      <c r="L68" s="70" t="n"/>
      <c r="M68" s="70" t="n"/>
      <c r="N68" s="70" t="n"/>
    </row>
    <row r="69">
      <c r="A69" s="70" t="n"/>
      <c r="B69" s="70" t="n"/>
      <c r="C69" s="70" t="n"/>
      <c r="D69" s="70" t="n"/>
      <c r="E69" s="70" t="n"/>
      <c r="F69" s="70" t="n"/>
      <c r="G69" s="70" t="n"/>
      <c r="H69" s="70" t="n"/>
      <c r="I69" s="70" t="n"/>
      <c r="J69" s="70" t="n"/>
      <c r="K69" s="70" t="n"/>
      <c r="L69" s="70" t="n"/>
      <c r="M69" s="70" t="n"/>
      <c r="N69" s="70" t="n"/>
    </row>
    <row r="70">
      <c r="A70" s="70" t="n"/>
      <c r="B70" s="70" t="n"/>
      <c r="C70" s="70" t="n"/>
      <c r="D70" s="70" t="n"/>
      <c r="E70" s="70" t="n"/>
      <c r="F70" s="70" t="n"/>
      <c r="G70" s="70" t="n"/>
      <c r="H70" s="70" t="n"/>
      <c r="I70" s="70" t="n"/>
      <c r="J70" s="70" t="n"/>
      <c r="K70" s="70" t="n"/>
      <c r="L70" s="70" t="n"/>
      <c r="M70" s="70" t="n"/>
      <c r="N70" s="70" t="n"/>
    </row>
  </sheetData>
  <sheetProtection selectLockedCells="0" selectUnlockedCells="0" sheet="1" objects="1" insertRows="0" insertHyperlinks="1" autoFilter="0" scenarios="1" formatColumns="0" deleteColumns="0" insertColumns="0" pivotTables="0" deleteRows="0" formatCells="0" formatRows="0" sort="0" password="AE3A"/>
  <mergeCells count="4">
    <mergeCell ref="B35:G35"/>
    <mergeCell ref="B4:G4"/>
    <mergeCell ref="I4:N4"/>
    <mergeCell ref="A1:N1"/>
  </mergeCells>
  <hyperlinks>
    <hyperlink ref="A2" location="'INDEX'!A1" display="⬅ Back to Index"/>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2025-12-21T16:05:30Z</dcterms:created>
  <dcterms:modified xmlns:dcterms="http://purl.org/dc/terms/" xmlns:xsi="http://www.w3.org/2001/XMLSchema-instance" xsi:type="dcterms:W3CDTF">2026-01-02T07:32:18Z</dcterms:modified>
  <cp:lastModifiedBy>srikanthyadav444p</cp:lastModifiedBy>
</cp:coreProperties>
</file>