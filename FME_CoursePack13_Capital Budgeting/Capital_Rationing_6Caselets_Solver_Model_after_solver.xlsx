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workbookPassword="AE3A" lockStructure="1"/>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CoverPage" sheetId="1" state="visible" r:id="rId1"/>
    <sheet xmlns:r="http://schemas.openxmlformats.org/officeDocument/2006/relationships" name="INDEX" sheetId="2" state="visible" r:id="rId2"/>
    <sheet xmlns:r="http://schemas.openxmlformats.org/officeDocument/2006/relationships" name="PROJECT_DATA" sheetId="3" state="visible" r:id="rId3"/>
    <sheet xmlns:r="http://schemas.openxmlformats.org/officeDocument/2006/relationships" name="Caselet_01_Optimus" sheetId="4" state="visible" r:id="rId4"/>
    <sheet xmlns:r="http://schemas.openxmlformats.org/officeDocument/2006/relationships" name="Caselet_02_NovaTech" sheetId="5" state="visible" r:id="rId5"/>
    <sheet xmlns:r="http://schemas.openxmlformats.org/officeDocument/2006/relationships" name="Caselet_03_InnovateCorp" sheetId="6" state="visible" r:id="rId6"/>
    <sheet xmlns:r="http://schemas.openxmlformats.org/officeDocument/2006/relationships" name="Caselet_04_FutureVision" sheetId="7" state="visible" r:id="rId7"/>
    <sheet xmlns:r="http://schemas.openxmlformats.org/officeDocument/2006/relationships" name="Caselet_05_VisionNext" sheetId="8" state="visible" r:id="rId8"/>
    <sheet xmlns:r="http://schemas.openxmlformats.org/officeDocument/2006/relationships" name="Caselet_06_GlobalTech" sheetId="9" state="visible" r:id="rId9"/>
    <sheet xmlns:r="http://schemas.openxmlformats.org/officeDocument/2006/relationships" name="CHECKS_SUMMARY" sheetId="10" state="visible" r:id="rId10"/>
  </sheets>
  <definedNames>
    <definedName name="solver_adj" localSheetId="3" hidden="1">Caselet_01_Optimus!$E$12:$E$21</definedName>
    <definedName name="solver_eng" localSheetId="3" hidden="1">1</definedName>
    <definedName name="solver_lhs1" localSheetId="3" hidden="1">Caselet_01_Optimus!$C$23</definedName>
    <definedName name="solver_lhs2" localSheetId="3" hidden="1">Caselet_01_Optimus!$E$12:$E$21</definedName>
    <definedName name="solver_lhs3" localSheetId="3" hidden="1">Caselet_01_Optimus!$E$12</definedName>
    <definedName name="solver_lhs4" localSheetId="3" hidden="1">Caselet_01_Optimus!$E$15</definedName>
    <definedName name="solver_lhs5" localSheetId="3" hidden="1">Caselet_01_Optimus!$E$17</definedName>
    <definedName name="solver_neg" localSheetId="3" hidden="1">1</definedName>
    <definedName name="solver_num" localSheetId="3" hidden="1">5</definedName>
    <definedName name="solver_opt" localSheetId="3" hidden="1">Caselet_01_Optimus!$C$24</definedName>
    <definedName name="solver_rel1" localSheetId="3" hidden="1">1</definedName>
    <definedName name="solver_rel2" localSheetId="3" hidden="1">5</definedName>
    <definedName name="solver_rel3" localSheetId="3" hidden="1">1</definedName>
    <definedName name="solver_rel4" localSheetId="3" hidden="1">1</definedName>
    <definedName name="solver_rel5" localSheetId="3" hidden="1">2</definedName>
    <definedName name="solver_rhs1" localSheetId="3" hidden="1">Caselet_01_Optimus!C5</definedName>
    <definedName name="solver_rhs2" localSheetId="3" hidden="1">"binary"</definedName>
    <definedName name="solver_rhs3" localSheetId="3" hidden="1">1-Caselet_01_Optimus!E13</definedName>
    <definedName name="solver_rhs4" localSheetId="3" hidden="1">Caselet_01_Optimus!E16</definedName>
    <definedName name="solver_rhs5" localSheetId="3" hidden="1">1</definedName>
    <definedName name="solver_typ" localSheetId="3" hidden="1">1</definedName>
    <definedName name="solver_val" localSheetId="3" hidden="1">0</definedName>
    <definedName name="solver_ver" localSheetId="3" hidden="1">3</definedName>
    <definedName name="solver_adj" localSheetId="4" hidden="1">Caselet_02_NovaTech!$E$12:$E$21</definedName>
    <definedName name="solver_eng" localSheetId="4" hidden="1">1</definedName>
    <definedName name="solver_lhs1" localSheetId="4" hidden="1">Caselet_02_NovaTech!$C$23</definedName>
    <definedName name="solver_lhs2" localSheetId="4" hidden="1">Caselet_02_NovaTech!$E$12:$E$21</definedName>
    <definedName name="solver_lhs3" localSheetId="4" hidden="1">Caselet_02_NovaTech!$C$26</definedName>
    <definedName name="solver_lhs4" localSheetId="4" hidden="1">Caselet_02_NovaTech!$C$26</definedName>
    <definedName name="solver_lhs5" localSheetId="4" hidden="1">Caselet_02_NovaTech!$E$18</definedName>
    <definedName name="solver_neg" localSheetId="4" hidden="1">1</definedName>
    <definedName name="solver_num" localSheetId="4" hidden="1">5</definedName>
    <definedName name="solver_opt" localSheetId="4" hidden="1">Caselet_02_NovaTech!$C$24</definedName>
    <definedName name="solver_rel1" localSheetId="4" hidden="1">1</definedName>
    <definedName name="solver_rel2" localSheetId="4" hidden="1">5</definedName>
    <definedName name="solver_rel3" localSheetId="4" hidden="1">3</definedName>
    <definedName name="solver_rel4" localSheetId="4" hidden="1">1</definedName>
    <definedName name="solver_rel5" localSheetId="4" hidden="1">1</definedName>
    <definedName name="solver_rhs1" localSheetId="4" hidden="1">Caselet_02_NovaTech!C5</definedName>
    <definedName name="solver_rhs2" localSheetId="4" hidden="1">"binary"</definedName>
    <definedName name="solver_rhs3" localSheetId="4" hidden="1">5</definedName>
    <definedName name="solver_rhs4" localSheetId="4" hidden="1">7</definedName>
    <definedName name="solver_rhs5" localSheetId="4" hidden="1">Caselet_02_NovaTech!E19</definedName>
    <definedName name="solver_typ" localSheetId="4" hidden="1">1</definedName>
    <definedName name="solver_val" localSheetId="4" hidden="1">0</definedName>
    <definedName name="solver_ver" localSheetId="4" hidden="1">3</definedName>
    <definedName name="solver_adj" localSheetId="5" hidden="1">Caselet_03_InnovateCorp!$E$12:$E$21</definedName>
    <definedName name="solver_eng" localSheetId="5" hidden="1">1</definedName>
    <definedName name="solver_lhs1" localSheetId="5" hidden="1">Caselet_03_InnovateCorp!$C$23</definedName>
    <definedName name="solver_lhs2" localSheetId="5" hidden="1">Caselet_03_InnovateCorp!$E$12:$E$21</definedName>
    <definedName name="solver_lhs3" localSheetId="5" hidden="1">Caselet_03_InnovateCorp!$E$12</definedName>
    <definedName name="solver_lhs4" localSheetId="5" hidden="1">Caselet_03_InnovateCorp!$E$14</definedName>
    <definedName name="solver_lhs5" localSheetId="5" hidden="1">Caselet_03_InnovateCorp!$E$15</definedName>
    <definedName name="solver_lhs6" localSheetId="5" hidden="1">Caselet_03_InnovateCorp!$E$18</definedName>
    <definedName name="solver_lhs7" localSheetId="5" hidden="1">Caselet_03_InnovateCorp!$E$19</definedName>
    <definedName name="solver_lhs8" localSheetId="5" hidden="1">Caselet_03_InnovateCorp!$E$12</definedName>
    <definedName name="solver_neg" localSheetId="5" hidden="1">1</definedName>
    <definedName name="solver_num" localSheetId="5" hidden="1">8</definedName>
    <definedName name="solver_opt" localSheetId="5" hidden="1">Caselet_03_InnovateCorp!$C$24</definedName>
    <definedName name="solver_rel1" localSheetId="5" hidden="1">1</definedName>
    <definedName name="solver_rel2" localSheetId="5" hidden="1">5</definedName>
    <definedName name="solver_rel3" localSheetId="5" hidden="1">2</definedName>
    <definedName name="solver_rel4" localSheetId="5" hidden="1">2</definedName>
    <definedName name="solver_rel5" localSheetId="5" hidden="1">2</definedName>
    <definedName name="solver_rel6" localSheetId="5" hidden="1">2</definedName>
    <definedName name="solver_rel7" localSheetId="5" hidden="1">2</definedName>
    <definedName name="solver_rel8" localSheetId="5" hidden="1">3</definedName>
    <definedName name="solver_rhs1" localSheetId="5" hidden="1">Caselet_03_InnovateCorp!C5</definedName>
    <definedName name="solver_rhs2" localSheetId="5" hidden="1">"binary"</definedName>
    <definedName name="solver_rhs3" localSheetId="5" hidden="1">1</definedName>
    <definedName name="solver_rhs4" localSheetId="5" hidden="1">1</definedName>
    <definedName name="solver_rhs5" localSheetId="5" hidden="1">1</definedName>
    <definedName name="solver_rhs6" localSheetId="5" hidden="1">0</definedName>
    <definedName name="solver_rhs7" localSheetId="5" hidden="1">0</definedName>
    <definedName name="solver_rhs8" localSheetId="5" hidden="1">1-Caselet_03_InnovateCorp!E13-Caselet_03_InnovateCorp!E14</definedName>
    <definedName name="solver_typ" localSheetId="5" hidden="1">1</definedName>
    <definedName name="solver_val" localSheetId="5" hidden="1">0</definedName>
    <definedName name="solver_ver" localSheetId="5" hidden="1">3</definedName>
    <definedName name="solver_adj" localSheetId="6" hidden="1">Caselet_04_FutureVision!$E$12:$E$21</definedName>
    <definedName name="solver_eng" localSheetId="6" hidden="1">1</definedName>
    <definedName name="solver_lhs1" localSheetId="6" hidden="1">Caselet_04_FutureVision!$C$23</definedName>
    <definedName name="solver_lhs2" localSheetId="6" hidden="1">Caselet_04_FutureVision!$E$12:$E$21</definedName>
    <definedName name="solver_lhs3" localSheetId="6" hidden="1">Caselet_04_FutureVision!$E$12</definedName>
    <definedName name="solver_lhs4" localSheetId="6" hidden="1">Caselet_04_FutureVision!$C$29</definedName>
    <definedName name="solver_neg" localSheetId="6" hidden="1">1</definedName>
    <definedName name="solver_num" localSheetId="6" hidden="1">4</definedName>
    <definedName name="solver_opt" localSheetId="6" hidden="1">Caselet_04_FutureVision!$C$24</definedName>
    <definedName name="solver_rel1" localSheetId="6" hidden="1">1</definedName>
    <definedName name="solver_rel2" localSheetId="6" hidden="1">5</definedName>
    <definedName name="solver_rel3" localSheetId="6" hidden="1">1</definedName>
    <definedName name="solver_rel4" localSheetId="6" hidden="1">1</definedName>
    <definedName name="solver_rhs1" localSheetId="6" hidden="1">Caselet_04_FutureVision!C5</definedName>
    <definedName name="solver_rhs2" localSheetId="6" hidden="1">"binary"</definedName>
    <definedName name="solver_rhs3" localSheetId="6" hidden="1">Caselet_04_FutureVision!E14</definedName>
    <definedName name="solver_rhs4" localSheetId="6" hidden="1">2500000</definedName>
    <definedName name="solver_typ" localSheetId="6" hidden="1">1</definedName>
    <definedName name="solver_val" localSheetId="6" hidden="1">0</definedName>
    <definedName name="solver_ver" localSheetId="6" hidden="1">3</definedName>
    <definedName name="solver_adj" localSheetId="7" hidden="1">Caselet_05_VisionNext!$E$12:$E$21</definedName>
    <definedName name="solver_eng" localSheetId="7" hidden="1">1</definedName>
    <definedName name="solver_lhs1" localSheetId="7" hidden="1">Caselet_05_VisionNext!$C$23</definedName>
    <definedName name="solver_lhs2" localSheetId="7" hidden="1">Caselet_05_VisionNext!$E$12:$E$21</definedName>
    <definedName name="solver_lhs3" localSheetId="7" hidden="1">Caselet_05_VisionNext!$E$18</definedName>
    <definedName name="solver_lhs4" localSheetId="7" hidden="1">Caselet_05_VisionNext!$E$19</definedName>
    <definedName name="solver_lhs5" localSheetId="7" hidden="1">Caselet_05_VisionNext!$E$21</definedName>
    <definedName name="solver_lhs6" localSheetId="7" hidden="1">Caselet_05_VisionNext!$C$32</definedName>
    <definedName name="solver_lhs7" localSheetId="7" hidden="1">Caselet_05_VisionNext!$E$16</definedName>
    <definedName name="solver_neg" localSheetId="7" hidden="1">1</definedName>
    <definedName name="solver_num" localSheetId="7" hidden="1">7</definedName>
    <definedName name="solver_opt" localSheetId="7" hidden="1">Caselet_05_VisionNext!$C$24</definedName>
    <definedName name="solver_rel1" localSheetId="7" hidden="1">1</definedName>
    <definedName name="solver_rel2" localSheetId="7" hidden="1">5</definedName>
    <definedName name="solver_rel3" localSheetId="7" hidden="1">2</definedName>
    <definedName name="solver_rel4" localSheetId="7" hidden="1">2</definedName>
    <definedName name="solver_rel5" localSheetId="7" hidden="1">2</definedName>
    <definedName name="solver_rel6" localSheetId="7" hidden="1">3</definedName>
    <definedName name="solver_rel7" localSheetId="7" hidden="1">1</definedName>
    <definedName name="solver_rhs1" localSheetId="7" hidden="1">Caselet_05_VisionNext!C5</definedName>
    <definedName name="solver_rhs2" localSheetId="7" hidden="1">"binary"</definedName>
    <definedName name="solver_rhs3" localSheetId="7" hidden="1">0</definedName>
    <definedName name="solver_rhs4" localSheetId="7" hidden="1">0</definedName>
    <definedName name="solver_rhs5" localSheetId="7" hidden="1">0</definedName>
    <definedName name="solver_rhs6" localSheetId="7" hidden="1">2</definedName>
    <definedName name="solver_rhs7" localSheetId="7" hidden="1">1-Caselet_05_VisionNext!E17</definedName>
    <definedName name="solver_typ" localSheetId="7" hidden="1">1</definedName>
    <definedName name="solver_val" localSheetId="7" hidden="1">0</definedName>
    <definedName name="solver_ver" localSheetId="7" hidden="1">3</definedName>
    <definedName name="solver_adj" localSheetId="8" hidden="1">Caselet_06_GlobalTech!$E$12:$E$21</definedName>
    <definedName name="solver_eng" localSheetId="8" hidden="1">1</definedName>
    <definedName name="solver_lhs1" localSheetId="8" hidden="1">Caselet_06_GlobalTech!$C$23</definedName>
    <definedName name="solver_lhs2" localSheetId="8" hidden="1">Caselet_06_GlobalTech!$E$12:$E$21</definedName>
    <definedName name="solver_lhs3" localSheetId="8" hidden="1">Caselet_06_GlobalTech!$C$30</definedName>
    <definedName name="solver_lhs4" localSheetId="8" hidden="1">Caselet_06_GlobalTech!$C$31</definedName>
    <definedName name="solver_lhs5" localSheetId="8" hidden="1">Caselet_06_GlobalTech!$C$24</definedName>
    <definedName name="solver_neg" localSheetId="8" hidden="1">1</definedName>
    <definedName name="solver_num" localSheetId="8" hidden="1">5</definedName>
    <definedName name="solver_opt" localSheetId="8" hidden="1">Caselet_06_GlobalTech!$C$24</definedName>
    <definedName name="solver_rel1" localSheetId="8" hidden="1">1</definedName>
    <definedName name="solver_rel2" localSheetId="8" hidden="1">5</definedName>
    <definedName name="solver_rel3" localSheetId="8" hidden="1">3</definedName>
    <definedName name="solver_rel4" localSheetId="8" hidden="1">1</definedName>
    <definedName name="solver_rel5" localSheetId="8" hidden="1">3</definedName>
    <definedName name="solver_rhs1" localSheetId="8" hidden="1">Caselet_06_GlobalTech!C5</definedName>
    <definedName name="solver_rhs2" localSheetId="8" hidden="1">"binary"</definedName>
    <definedName name="solver_rhs3" localSheetId="8" hidden="1">Caselet_06_GlobalTech!F7*Caselet_06_GlobalTech!C23</definedName>
    <definedName name="solver_rhs4" localSheetId="8" hidden="1">Caselet_06_GlobalTech!F6*Caselet_06_GlobalTech!C5</definedName>
    <definedName name="solver_rhs5" localSheetId="8" hidden="1">Caselet_06_GlobalTech!F5*Caselet_06_GlobalTech!C23</definedName>
    <definedName name="solver_typ" localSheetId="8" hidden="1">1</definedName>
    <definedName name="solver_val" localSheetId="8" hidden="1">0</definedName>
    <definedName name="solver_ver" localSheetId="8" hidden="1">3</definedName>
  </definedNames>
  <calcPr calcId="191029" fullCalcOnLoad="1"/>
</workbook>
</file>

<file path=xl/styles.xml><?xml version="1.0" encoding="utf-8"?>
<styleSheet xmlns="http://schemas.openxmlformats.org/spreadsheetml/2006/main">
  <numFmts count="2">
    <numFmt numFmtId="164" formatCode="\₹\ ###,##0"/>
    <numFmt numFmtId="165" formatCode="0.000"/>
  </numFmts>
  <fonts count="15">
    <font>
      <name val="Calibri"/>
      <family val="2"/>
      <color theme="1"/>
      <sz val="11"/>
      <scheme val="minor"/>
    </font>
    <font>
      <name val="Calibri"/>
      <family val="2"/>
      <b val="1"/>
      <sz val="16"/>
    </font>
    <font>
      <name val="Calibri"/>
      <family val="2"/>
      <b val="1"/>
      <sz val="11"/>
    </font>
    <font>
      <name val="Calibri"/>
      <family val="2"/>
      <b val="1"/>
      <color rgb="FFFFFFFF"/>
      <sz val="11"/>
    </font>
    <font>
      <name val="Calibri"/>
      <family val="2"/>
      <b val="1"/>
      <color rgb="FF1F4E79"/>
      <sz val="11"/>
      <u val="single"/>
    </font>
    <font>
      <name val="Calibri"/>
      <family val="2"/>
      <b val="1"/>
      <sz val="12"/>
    </font>
    <font>
      <name val="Calibri"/>
      <family val="2"/>
      <i val="1"/>
      <color rgb="FF1F4E79"/>
      <sz val="11"/>
    </font>
    <font>
      <name val="Calibri"/>
      <family val="2"/>
      <color theme="1"/>
      <sz val="11"/>
      <scheme val="minor"/>
    </font>
    <font>
      <name val="Calibri"/>
      <family val="2"/>
      <b val="1"/>
      <color theme="1"/>
      <sz val="11"/>
      <scheme val="minor"/>
    </font>
    <font>
      <name val="Calibri"/>
      <family val="2"/>
      <b val="1"/>
      <color rgb="FF0070C0"/>
      <sz val="24"/>
      <scheme val="minor"/>
    </font>
    <font>
      <name val="Calibri"/>
      <family val="2"/>
      <b val="1"/>
      <color theme="8" tint="-0.249977111117893"/>
      <sz val="18"/>
      <scheme val="minor"/>
    </font>
    <font>
      <name val="Calibri"/>
      <family val="2"/>
      <i val="1"/>
      <color theme="9" tint="-0.499984740745262"/>
      <sz val="11"/>
      <scheme val="minor"/>
    </font>
    <font>
      <name val="Calibri"/>
      <family val="2"/>
      <b val="1"/>
      <color theme="1"/>
      <sz val="18"/>
      <scheme val="minor"/>
    </font>
    <font>
      <name val="Calibri"/>
      <family val="2"/>
      <b val="1"/>
      <color theme="7" tint="-0.249977111117893"/>
      <sz val="18"/>
      <scheme val="minor"/>
    </font>
    <font>
      <name val="Cambria"/>
      <family val="1"/>
      <i val="1"/>
      <color theme="9" tint="-0.249977111117893"/>
      <sz val="11"/>
      <scheme val="major"/>
    </font>
  </fonts>
  <fills count="15">
    <fill>
      <patternFill/>
    </fill>
    <fill>
      <patternFill patternType="gray125"/>
    </fill>
    <fill>
      <patternFill patternType="solid">
        <fgColor rgb="FF1F4E79"/>
      </patternFill>
    </fill>
    <fill>
      <patternFill patternType="solid">
        <fgColor rgb="FF2F75B5"/>
      </patternFill>
    </fill>
    <fill>
      <patternFill patternType="solid">
        <fgColor rgb="FFD9EAF7"/>
      </patternFill>
    </fill>
    <fill>
      <patternFill patternType="solid">
        <fgColor rgb="FFEFEFEF"/>
      </patternFill>
    </fill>
    <fill>
      <patternFill patternType="solid">
        <fgColor rgb="FFDFF2D8"/>
      </patternFill>
    </fill>
    <fill>
      <patternFill patternType="solid">
        <fgColor rgb="FFFFE6CC"/>
      </patternFill>
    </fill>
    <fill>
      <patternFill patternType="solid">
        <fgColor rgb="FFFFF2CC"/>
      </patternFill>
    </fill>
    <fill>
      <patternFill patternType="solid">
        <fgColor theme="8" tint="0.3999755851924192"/>
        <bgColor indexed="64"/>
      </patternFill>
    </fill>
    <fill>
      <patternFill patternType="solid">
        <fgColor theme="4" tint="0.7999816888943144"/>
        <bgColor indexed="64"/>
      </patternFill>
    </fill>
    <fill>
      <patternFill patternType="solid">
        <fgColor rgb="FF0070C0"/>
        <bgColor indexed="64"/>
      </patternFill>
    </fill>
    <fill>
      <patternFill patternType="solid">
        <fgColor theme="5" tint="0.3999755851924192"/>
        <bgColor indexed="64"/>
      </patternFill>
    </fill>
    <fill>
      <patternFill patternType="solid">
        <fgColor theme="5" tint="0.7999816888943144"/>
        <bgColor indexed="64"/>
      </patternFill>
    </fill>
    <fill>
      <patternFill patternType="solid">
        <fgColor theme="6" tint="0.7999816888943144"/>
        <bgColor indexed="64"/>
      </patternFill>
    </fill>
  </fills>
  <borders count="6">
    <border>
      <left/>
      <right/>
      <top/>
      <bottom/>
      <diagonal/>
    </border>
    <border>
      <left style="thin">
        <color rgb="FF9E9E9E"/>
      </left>
      <right style="thin">
        <color rgb="FF9E9E9E"/>
      </right>
      <top style="thin">
        <color rgb="FF9E9E9E"/>
      </top>
      <bottom style="thin">
        <color rgb="FF9E9E9E"/>
      </bottom>
      <diagonal/>
    </border>
    <border>
      <left/>
      <right/>
      <top style="thin">
        <color rgb="FF9E9E9E"/>
      </top>
      <bottom style="thin">
        <color rgb="FF9E9E9E"/>
      </bottom>
      <diagonal/>
    </border>
    <border>
      <left/>
      <right style="thin">
        <color rgb="FF9E9E9E"/>
      </right>
      <top style="thin">
        <color rgb="FF9E9E9E"/>
      </top>
      <bottom style="thin">
        <color rgb="FF9E9E9E"/>
      </bottom>
      <diagonal/>
    </border>
    <border>
      <left/>
      <right/>
      <top style="thin">
        <color rgb="FF9E9E9E"/>
      </top>
      <bottom/>
      <diagonal/>
    </border>
    <border>
      <left/>
      <right style="thin">
        <color rgb="FF9E9E9E"/>
      </right>
      <top style="thin">
        <color rgb="FF9E9E9E"/>
      </top>
      <bottom/>
      <diagonal/>
    </border>
  </borders>
  <cellStyleXfs count="2">
    <xf numFmtId="0" fontId="7" fillId="0" borderId="0"/>
    <xf numFmtId="0" fontId="7" fillId="0" borderId="0"/>
  </cellStyleXfs>
  <cellXfs count="65">
    <xf numFmtId="0" fontId="0" fillId="0" borderId="0" pivotButton="0" quotePrefix="0" xfId="0"/>
    <xf numFmtId="0" fontId="2" fillId="0" borderId="0" applyAlignment="1" pivotButton="0" quotePrefix="0" xfId="0">
      <alignment horizontal="left" vertical="top" wrapText="1"/>
    </xf>
    <xf numFmtId="0" fontId="3"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top" wrapText="1"/>
    </xf>
    <xf numFmtId="0" fontId="4" fillId="0" borderId="1" applyAlignment="1" pivotButton="0" quotePrefix="0" xfId="0">
      <alignment horizontal="center" vertical="center" wrapText="1"/>
    </xf>
    <xf numFmtId="0" fontId="2" fillId="0" borderId="0" pivotButton="0" quotePrefix="0" xfId="0"/>
    <xf numFmtId="0" fontId="4" fillId="0" borderId="0" applyAlignment="1" pivotButton="0" quotePrefix="0" xfId="0">
      <alignment horizontal="center" vertical="center" wrapText="1"/>
    </xf>
    <xf numFmtId="0" fontId="2" fillId="0" borderId="1" applyAlignment="1" pivotButton="0" quotePrefix="0" xfId="0">
      <alignment horizontal="left" vertical="top" wrapText="1"/>
    </xf>
    <xf numFmtId="164" fontId="0" fillId="0" borderId="1" applyAlignment="1" pivotButton="0" quotePrefix="0" xfId="0">
      <alignment horizontal="right" vertical="center" wrapText="1"/>
    </xf>
    <xf numFmtId="0" fontId="2" fillId="0" borderId="1" pivotButton="0" quotePrefix="0" xfId="0"/>
    <xf numFmtId="0" fontId="4" fillId="0" borderId="0" applyAlignment="1" pivotButton="0" quotePrefix="0" xfId="0">
      <alignment horizontal="left" vertical="center"/>
    </xf>
    <xf numFmtId="0" fontId="3" fillId="6" borderId="1" applyAlignment="1" pivotButton="0" quotePrefix="0" xfId="0">
      <alignment horizontal="left" vertical="top" wrapText="1"/>
    </xf>
    <xf numFmtId="0" fontId="0" fillId="6" borderId="1" applyAlignment="1" pivotButton="0" quotePrefix="0" xfId="0">
      <alignment horizontal="left" vertical="top" wrapText="1"/>
    </xf>
    <xf numFmtId="0" fontId="2" fillId="4" borderId="1" applyAlignment="1" pivotButton="0" quotePrefix="0" xfId="0">
      <alignment horizontal="left" vertical="top" wrapText="1"/>
    </xf>
    <xf numFmtId="164" fontId="0" fillId="4" borderId="1" applyAlignment="1" pivotButton="0" quotePrefix="0" xfId="0">
      <alignment horizontal="left" vertical="top" wrapText="1"/>
    </xf>
    <xf numFmtId="0" fontId="0" fillId="4" borderId="1" applyAlignment="1" pivotButton="0" quotePrefix="0" xfId="0">
      <alignment horizontal="left" vertical="top" wrapText="1"/>
    </xf>
    <xf numFmtId="0" fontId="5" fillId="6" borderId="1" applyAlignment="1" pivotButton="0" quotePrefix="0" xfId="0">
      <alignment horizontal="left" vertical="top" wrapText="1"/>
    </xf>
    <xf numFmtId="164" fontId="0" fillId="6" borderId="1" applyAlignment="1" pivotButton="0" quotePrefix="0" xfId="0">
      <alignment horizontal="left" vertical="top" wrapText="1"/>
    </xf>
    <xf numFmtId="0" fontId="5" fillId="4" borderId="1" applyAlignment="1" pivotButton="0" quotePrefix="0" xfId="0">
      <alignment horizontal="left" vertical="top" wrapText="1"/>
    </xf>
    <xf numFmtId="1" fontId="0" fillId="6" borderId="1" applyAlignment="1" pivotButton="0" quotePrefix="0" xfId="0">
      <alignment horizontal="left" vertical="top" wrapText="1"/>
    </xf>
    <xf numFmtId="0" fontId="3" fillId="4" borderId="1" applyAlignment="1" pivotButton="0" quotePrefix="0" xfId="0">
      <alignment horizontal="left" vertical="top" wrapText="1"/>
    </xf>
    <xf numFmtId="0" fontId="3" fillId="7" borderId="1" applyAlignment="1" pivotButton="0" quotePrefix="0" xfId="0">
      <alignment horizontal="left" vertical="top" wrapText="1"/>
    </xf>
    <xf numFmtId="0" fontId="0" fillId="7" borderId="1" applyAlignment="1" pivotButton="0" quotePrefix="0" xfId="0">
      <alignment horizontal="left" vertical="top" wrapText="1"/>
    </xf>
    <xf numFmtId="0" fontId="2" fillId="7" borderId="1" applyAlignment="1" pivotButton="0" quotePrefix="0" xfId="0">
      <alignment horizontal="left" vertical="top" wrapText="1"/>
    </xf>
    <xf numFmtId="0" fontId="0" fillId="5" borderId="1" applyAlignment="1" pivotButton="0" quotePrefix="0" xfId="0">
      <alignment horizontal="left" vertical="top" wrapText="1"/>
    </xf>
    <xf numFmtId="0" fontId="2" fillId="5" borderId="1" applyAlignment="1" pivotButton="0" quotePrefix="0" xfId="0">
      <alignment horizontal="left" vertical="top" wrapText="1"/>
    </xf>
    <xf numFmtId="164" fontId="0" fillId="5" borderId="1" applyAlignment="1" pivotButton="0" quotePrefix="0" xfId="0">
      <alignment horizontal="left" vertical="top" wrapText="1"/>
    </xf>
    <xf numFmtId="1" fontId="0" fillId="5" borderId="1" applyAlignment="1" pivotButton="0" quotePrefix="0" xfId="0">
      <alignment horizontal="left" vertical="top" wrapText="1"/>
    </xf>
    <xf numFmtId="0" fontId="5" fillId="5" borderId="1" applyAlignment="1" pivotButton="0" quotePrefix="0" xfId="0">
      <alignment horizontal="left" vertical="top" wrapText="1"/>
    </xf>
    <xf numFmtId="165" fontId="0" fillId="5" borderId="1" applyAlignment="1" pivotButton="0" quotePrefix="0" xfId="0">
      <alignment horizontal="left" vertical="top" wrapText="1"/>
    </xf>
    <xf numFmtId="0" fontId="0" fillId="7" borderId="1" applyAlignment="1" pivotButton="0" quotePrefix="0" xfId="0">
      <alignment horizontal="center" vertical="center" wrapText="1"/>
    </xf>
    <xf numFmtId="165" fontId="0" fillId="4" borderId="1" applyAlignment="1" pivotButton="0" quotePrefix="0" xfId="0">
      <alignment horizontal="left" vertical="top" wrapText="1"/>
    </xf>
    <xf numFmtId="10" fontId="0" fillId="4" borderId="1" applyAlignment="1" pivotButton="0" quotePrefix="0" xfId="0">
      <alignment horizontal="left" vertical="top" wrapText="1"/>
    </xf>
    <xf numFmtId="0" fontId="6" fillId="4" borderId="1" applyAlignment="1" pivotButton="0" quotePrefix="0" xfId="0">
      <alignment horizontal="left" vertical="top" wrapText="1"/>
    </xf>
    <xf numFmtId="0" fontId="0" fillId="4" borderId="1" applyAlignment="1" pivotButton="0" quotePrefix="0" xfId="0">
      <alignment horizontal="center" vertical="center"/>
    </xf>
    <xf numFmtId="0" fontId="2" fillId="8" borderId="0" applyAlignment="1" pivotButton="0" quotePrefix="0" xfId="0">
      <alignment horizontal="left" vertical="center" wrapText="1"/>
    </xf>
    <xf numFmtId="0" fontId="0" fillId="8" borderId="0" applyAlignment="1" pivotButton="0" quotePrefix="0" xfId="0">
      <alignment horizontal="left" vertical="center" wrapText="1"/>
    </xf>
    <xf numFmtId="0" fontId="9" fillId="0" borderId="0" applyAlignment="1" pivotButton="0" quotePrefix="0" xfId="1">
      <alignment vertical="center"/>
    </xf>
    <xf numFmtId="0" fontId="7" fillId="0" borderId="0" pivotButton="0" quotePrefix="0" xfId="1"/>
    <xf numFmtId="0" fontId="10" fillId="0" borderId="0" applyAlignment="1" pivotButton="0" quotePrefix="0" xfId="1">
      <alignment vertical="center"/>
    </xf>
    <xf numFmtId="0" fontId="11" fillId="0" borderId="0" pivotButton="0" quotePrefix="0" xfId="1"/>
    <xf numFmtId="0" fontId="12" fillId="9" borderId="0" applyAlignment="1" pivotButton="0" quotePrefix="0" xfId="0">
      <alignment vertical="center"/>
    </xf>
    <xf numFmtId="0" fontId="13" fillId="0" borderId="0" applyAlignment="1" pivotButton="0" quotePrefix="0" xfId="1">
      <alignment vertical="center"/>
    </xf>
    <xf numFmtId="0" fontId="14" fillId="0" borderId="0" applyAlignment="1" pivotButton="0" quotePrefix="0" xfId="0">
      <alignment wrapText="1"/>
    </xf>
    <xf numFmtId="0" fontId="12" fillId="11" borderId="0" applyAlignment="1" pivotButton="0" quotePrefix="0" xfId="1">
      <alignment vertical="center"/>
    </xf>
    <xf numFmtId="0" fontId="7" fillId="11" borderId="0" pivotButton="0" quotePrefix="0" xfId="1"/>
    <xf numFmtId="0" fontId="12" fillId="12" borderId="0" applyAlignment="1" pivotButton="0" quotePrefix="0" xfId="1">
      <alignment vertical="center"/>
    </xf>
    <xf numFmtId="0" fontId="8" fillId="13" borderId="0" applyAlignment="1" pivotButton="0" quotePrefix="0" xfId="1">
      <alignment vertical="top" wrapText="1"/>
    </xf>
    <xf numFmtId="0" fontId="7" fillId="0" borderId="0" applyAlignment="1" pivotButton="0" quotePrefix="0" xfId="1">
      <alignment horizontal="left" vertical="center" indent="1"/>
    </xf>
    <xf numFmtId="0" fontId="8" fillId="0" borderId="0" pivotButton="0" quotePrefix="0" xfId="1"/>
    <xf numFmtId="0" fontId="8" fillId="0" borderId="0" applyAlignment="1" pivotButton="0" quotePrefix="0" xfId="1">
      <alignment horizontal="left" vertical="center" indent="1"/>
    </xf>
    <xf numFmtId="0" fontId="7" fillId="10" borderId="0" applyAlignment="1" pivotButton="0" quotePrefix="0" xfId="1">
      <alignment horizontal="justify" vertical="justify" wrapText="1"/>
    </xf>
    <xf numFmtId="0" fontId="7" fillId="10" borderId="0" applyAlignment="1" pivotButton="0" quotePrefix="0" xfId="1">
      <alignment horizontal="left" vertical="top" wrapText="1"/>
    </xf>
    <xf numFmtId="0" fontId="7" fillId="14" borderId="0" applyAlignment="1" pivotButton="0" quotePrefix="0" xfId="1">
      <alignment horizontal="justify" vertical="justify" wrapText="1"/>
    </xf>
    <xf numFmtId="0" fontId="1" fillId="0" borderId="0" applyAlignment="1" pivotButton="0" quotePrefix="0" xfId="0">
      <alignment horizontal="center" vertical="center" wrapText="1"/>
    </xf>
    <xf numFmtId="0" fontId="0" fillId="0" borderId="0" pivotButton="0" quotePrefix="0" xfId="0"/>
    <xf numFmtId="0" fontId="2" fillId="0" borderId="0" applyAlignment="1" pivotButton="0" quotePrefix="0" xfId="0">
      <alignment horizontal="center" vertical="top" wrapText="1"/>
    </xf>
    <xf numFmtId="0" fontId="3" fillId="5" borderId="1" applyAlignment="1" pivotButton="0" quotePrefix="0" xfId="0">
      <alignment horizontal="left" vertical="top" wrapText="1"/>
    </xf>
    <xf numFmtId="0" fontId="0" fillId="0" borderId="2" pivotButton="0" quotePrefix="0" xfId="0"/>
    <xf numFmtId="0" fontId="0" fillId="0" borderId="3" pivotButton="0" quotePrefix="0" xfId="0"/>
    <xf numFmtId="0" fontId="2" fillId="8" borderId="0" applyAlignment="1" pivotButton="0" quotePrefix="0" xfId="0">
      <alignment horizontal="left" vertical="center"/>
    </xf>
    <xf numFmtId="0" fontId="3" fillId="3" borderId="1" applyAlignment="1" pivotButton="0" quotePrefix="0" xfId="0">
      <alignment horizontal="center" vertical="center" wrapText="1"/>
    </xf>
    <xf numFmtId="0" fontId="3" fillId="7" borderId="1" applyAlignment="1" pivotButton="0" quotePrefix="0" xfId="0">
      <alignment horizontal="left" vertical="top" wrapText="1"/>
    </xf>
    <xf numFmtId="0" fontId="3" fillId="6" borderId="1" applyAlignment="1" pivotButton="0" quotePrefix="0" xfId="0">
      <alignment horizontal="left" vertical="top" wrapText="1"/>
    </xf>
  </cellXfs>
  <cellStyles count="2">
    <cellStyle name="Normal" xfId="0" builtinId="0"/>
    <cellStyle name="Normal 2"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Instructor Note</author>
  </authors>
  <commentList>
    <comment ref="C8" authorId="0" shapeId="0">
      <text>
        <t>Solver setup: Maximize C24, changing E12:E21 (Binary), subject to constraints in the Checks box.</t>
      </text>
    </comment>
    <comment ref="E11" authorId="0" shapeId="0">
      <text>
        <t>Decision variables for Solver. Set E12:E21 as Binary; Solver will choose 0/1.</t>
      </text>
    </comment>
    <comment ref="C23" authorId="0" shapeId="0">
      <text>
        <t>Total Cost must be ≤ Budget (C5).</t>
      </text>
    </comment>
    <comment ref="C24" authorId="0" shapeId="0">
      <text>
        <t>Objective cell. Use Solver to maximize Total NPV.</t>
      </text>
    </comment>
  </commentList>
</comments>
</file>

<file path=xl/comments/comment2.xml><?xml version="1.0" encoding="utf-8"?>
<comments xmlns="http://schemas.openxmlformats.org/spreadsheetml/2006/main">
  <authors>
    <author>Instructor Note</author>
  </authors>
  <commentList>
    <comment ref="C8" authorId="0" shapeId="0">
      <text>
        <t>Solver setup: Maximize C24, changing E12:E21 (Binary), subject to constraints in the Checks box.</t>
      </text>
    </comment>
    <comment ref="E11" authorId="0" shapeId="0">
      <text>
        <t>Decision variables for Solver. Set E12:E21 as Binary; Solver will choose 0/1.</t>
      </text>
    </comment>
    <comment ref="C23" authorId="0" shapeId="0">
      <text>
        <t>Total Cost must be ≤ Budget (C5).</t>
      </text>
    </comment>
    <comment ref="C24" authorId="0" shapeId="0">
      <text>
        <t>Objective cell. Use Solver to maximize Total NPV.</t>
      </text>
    </comment>
  </commentList>
</comments>
</file>

<file path=xl/comments/comment3.xml><?xml version="1.0" encoding="utf-8"?>
<comments xmlns="http://schemas.openxmlformats.org/spreadsheetml/2006/main">
  <authors>
    <author>Instructor Note</author>
  </authors>
  <commentList>
    <comment ref="F6" authorId="0" shapeId="0">
      <text>
        <t>High-NPV projects are defined by this cutoff. Constraint enforces inclusion of all projects meeting it.</t>
      </text>
    </comment>
    <comment ref="C8" authorId="0" shapeId="0">
      <text>
        <t>Solver setup: Maximize C24, changing E12:E21 (Binary), subject to constraints in the Checks box.</t>
      </text>
    </comment>
    <comment ref="E11" authorId="0" shapeId="0">
      <text>
        <t>Decision variables for Solver. Set E12:E21 as Binary; Solver will choose 0/1.</t>
      </text>
    </comment>
    <comment ref="C23" authorId="0" shapeId="0">
      <text>
        <t>Total Cost must be ≤ Budget (C5).</t>
      </text>
    </comment>
    <comment ref="C24" authorId="0" shapeId="0">
      <text>
        <t>Objective cell. Use Solver to maximize Total NPV.</t>
      </text>
    </comment>
  </commentList>
</comments>
</file>

<file path=xl/comments/comment4.xml><?xml version="1.0" encoding="utf-8"?>
<comments xmlns="http://schemas.openxmlformats.org/spreadsheetml/2006/main">
  <authors>
    <author>Instructor Note</author>
  </authors>
  <commentList>
    <comment ref="C8" authorId="0" shapeId="0">
      <text>
        <t>Solver setup: Maximize C24, changing E12:E21 (Binary), subject to constraints in the Checks box.</t>
      </text>
    </comment>
    <comment ref="E11" authorId="0" shapeId="0">
      <text>
        <t>Decision variables for Solver. Set E12:E21 as Binary; Solver will choose 0/1.</t>
      </text>
    </comment>
    <comment ref="C23" authorId="0" shapeId="0">
      <text>
        <t>Total Cost must be ≤ Budget (C5).</t>
      </text>
    </comment>
    <comment ref="C24" authorId="0" shapeId="0">
      <text>
        <t>Objective cell. Use Solver to maximize Total NPV.</t>
      </text>
    </comment>
  </commentList>
</comments>
</file>

<file path=xl/comments/comment5.xml><?xml version="1.0" encoding="utf-8"?>
<comments xmlns="http://schemas.openxmlformats.org/spreadsheetml/2006/main">
  <authors>
    <author>Instructor Note</author>
  </authors>
  <commentList>
    <comment ref="F5" authorId="0" shapeId="0">
      <text>
        <t>Projects with NPV below this value cannot be selected (enforced via constraint/check).</t>
      </text>
    </comment>
    <comment ref="C8" authorId="0" shapeId="0">
      <text>
        <t>Solver setup: Maximize C24, changing E12:E21 (Binary), subject to constraints in the Checks box.</t>
      </text>
    </comment>
    <comment ref="E11" authorId="0" shapeId="0">
      <text>
        <t>Decision variables for Solver. Set E12:E21 as Binary; Solver will choose 0/1.</t>
      </text>
    </comment>
    <comment ref="C23" authorId="0" shapeId="0">
      <text>
        <t>Total Cost must be ≤ Budget (C5).</t>
      </text>
    </comment>
    <comment ref="C24" authorId="0" shapeId="0">
      <text>
        <t>Objective cell. Use Solver to maximize Total NPV.</t>
      </text>
    </comment>
  </commentList>
</comments>
</file>

<file path=xl/comments/comment6.xml><?xml version="1.0" encoding="utf-8"?>
<comments xmlns="http://schemas.openxmlformats.org/spreadsheetml/2006/main">
  <authors>
    <author>Instructor Note</author>
  </authors>
  <commentList>
    <comment ref="F7" authorId="0" shapeId="0">
      <text>
        <t>Strategic allocation is computed as Cost(A,C,F) / Total Cost; must be ≥ this threshold.</t>
      </text>
    </comment>
    <comment ref="C8" authorId="0" shapeId="0">
      <text>
        <t>Solver setup: Maximize C24, changing E12:E21 (Binary), subject to constraints in the Checks box.</t>
      </text>
    </comment>
    <comment ref="E11" authorId="0" shapeId="0">
      <text>
        <t>Decision variables for Solver. Set E12:E21 as Binary; Solver will choose 0/1.</t>
      </text>
    </comment>
    <comment ref="C23" authorId="0" shapeId="0">
      <text>
        <t>Total Cost must be ≤ Budget (C5).</t>
      </text>
    </comment>
    <comment ref="C24" authorId="0" shapeId="0">
      <text>
        <t>Objective cell. Use Solver to maximize Total NPV.</t>
      </text>
    </comment>
  </commentList>
</comment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0</col>
      <colOff>0</colOff>
      <row>17</row>
      <rowOff>0</rowOff>
    </from>
    <to>
      <col>2</col>
      <colOff>603250</colOff>
      <row>27</row>
      <rowOff>171450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0" y="9131300"/>
          <a:ext cx="1822450" cy="20129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outlinePr summaryBelow="1" summaryRight="1"/>
    <pageSetUpPr/>
  </sheetPr>
  <dimension ref="A1:J33"/>
  <sheetViews>
    <sheetView tabSelected="1" workbookViewId="0">
      <selection activeCell="I3" sqref="I3"/>
    </sheetView>
  </sheetViews>
  <sheetFormatPr baseColWidth="8" defaultRowHeight="14.5"/>
  <cols>
    <col width="8.7265625" customWidth="1" style="39" min="1" max="6"/>
    <col width="13.90625" customWidth="1" style="39" min="7" max="7"/>
    <col width="5.6328125" customWidth="1" style="39" min="8" max="8"/>
    <col width="71.6328125" customWidth="1" style="39" min="9" max="9"/>
    <col width="7.1796875" customWidth="1" style="39" min="10" max="10"/>
    <col width="8.7265625" customWidth="1" style="39" min="11" max="16384"/>
  </cols>
  <sheetData>
    <row r="1" ht="31" customHeight="1" s="56">
      <c r="A1" s="38" t="inlineStr">
        <is>
          <t>FINANCIAL MODELING USING EXCEL</t>
        </is>
      </c>
    </row>
    <row r="2"/>
    <row r="3" ht="23.5" customHeight="1" s="56">
      <c r="A3" s="40" t="inlineStr">
        <is>
          <t>Capital Rationing Decision Models Using Excel</t>
        </is>
      </c>
    </row>
    <row r="4"/>
    <row r="5" ht="23.5" customHeight="1" s="56">
      <c r="A5" s="41" t="inlineStr">
        <is>
          <t>Optimal Project Selection Under Capital Constraints</t>
        </is>
      </c>
      <c r="I5" s="42" t="inlineStr">
        <is>
          <t>Learning Philosophy</t>
        </is>
      </c>
    </row>
    <row r="6"/>
    <row r="7" ht="28.5" customHeight="1" s="56">
      <c r="A7" s="43" t="inlineStr">
        <is>
          <t>Workbook Purpose</t>
        </is>
      </c>
      <c r="I7" s="44" t="inlineStr">
        <is>
          <t>When capital is scarce, value is created by choosing the right combination of projects—not by evaluating projects in isolation.</t>
        </is>
      </c>
    </row>
    <row r="8"/>
    <row r="9" ht="132.5" customHeight="1" s="56">
      <c r="A9" s="52" t="inlineStr">
        <is>
          <t>This workbook is designed to analyze capital rationing problems, where a firm must select an optimal combination of investment projects subject to limited capital availability. It presents six structured caselets that require evaluating mutually independent projects, comparing value creation, and identifying the project mix that maximizes total Net Present Value (NPV) under budget constraints.
The workbook emphasizes optimization-based decision-making rather than isolated project evaluation. By structuring project cash flows, computing NPVs, and applying optimization logic in Excel, learners understand how capital rationing transforms capital budgeting into a constrained optimization problem—a setting commonly faced by firms with funding limits, divisional budgets, or capital allocation policies.</t>
        </is>
      </c>
    </row>
    <row r="10"/>
    <row r="11"/>
    <row r="12"/>
    <row r="13"/>
    <row r="14"/>
    <row r="15" ht="23.5" customHeight="1" s="56">
      <c r="A15" s="45" t="inlineStr">
        <is>
          <t>Key Concepts Covered</t>
        </is>
      </c>
      <c r="B15" s="46" t="n"/>
      <c r="C15" s="46" t="n"/>
      <c r="D15" s="46" t="n"/>
      <c r="E15" s="46" t="n"/>
      <c r="F15" s="46" t="n"/>
      <c r="G15" s="46" t="n"/>
      <c r="I15" s="47" t="inlineStr">
        <is>
          <t>Excel Functions Used</t>
        </is>
      </c>
    </row>
    <row r="16" ht="311.5" customHeight="1" s="56">
      <c r="A16" s="53" t="inlineStr">
        <is>
          <t>Capital rationing and funding constraints
Independent projects and value creation under scarcity
Net Present Value (NPV) as the objective function
Capital budgeting with single and multiple constraints
Project selection versus project ranking
Limitations of simple profitability index ranking
Optimization logic for maximizing firm value
Interpretation of optimal project combinations
Managerial implications of constrained investment decisions</t>
        </is>
      </c>
      <c r="I16" s="48" t="inlineStr">
        <is>
          <t xml:space="preserve">The following Excel functions and tools are used accurately and completely in this workbook to support valuation, constraint handling, and optimization:
NPV – Computes the present value of each project’s cash flows
SUM – Aggregates selected project investments and NPVs
SUMPRODUCT – Computes total NPV and total capital usage based on project selection variables
IF – Applies conditional logic for project inclusion and feasibility checks
ABS – Maintains disciplined sign conventions for cash flows
ROUND – Ensures numerical clarity and clean presentation of results
PERCENTAGE CALCULATIONS – Used for discount rates and capital usage interpretation
Excel Optimization Tool
Solver (Excel Add-in) – Identifies the optimal combination of projects by maximizing total NPV subject to capital constraints and binary decision variables
The workbook emphasizes correct problem formulation, clear definition of objective and constraints, and transparent interpretation of Solver outputs.
</t>
        </is>
      </c>
    </row>
    <row r="17">
      <c r="A17" s="49" t="n"/>
    </row>
    <row r="18">
      <c r="A18" s="49" t="n"/>
      <c r="E18" s="54" t="inlineStr">
        <is>
          <t>Srikanth Potharla is an accounting and finance educator with over fifteen years of teaching and industry-oriented experience. Currently serving as Assistant Professor at ICFAI Business School, Hyderabad, he specializes in financial modeling using Excel, valuation, and data analytics. His work bridges theory and practice through structured models, real-world applications, and hands-on learning resources designed for MBA, professional, and global learners.</t>
        </is>
      </c>
      <c r="I18" s="50" t="n"/>
    </row>
    <row r="19">
      <c r="A19" s="49" t="n"/>
    </row>
    <row r="20">
      <c r="A20" s="49" t="n"/>
      <c r="I20" s="50" t="n"/>
    </row>
    <row r="21">
      <c r="A21" s="49" t="n"/>
    </row>
    <row r="22">
      <c r="A22" s="49" t="n"/>
      <c r="I22" s="50" t="n"/>
    </row>
    <row r="23">
      <c r="A23" s="49" t="n"/>
    </row>
    <row r="24">
      <c r="A24" s="49" t="n"/>
      <c r="I24" s="50" t="n"/>
    </row>
    <row r="25">
      <c r="A25" s="49" t="n"/>
    </row>
    <row r="26">
      <c r="A26" s="49" t="n"/>
      <c r="I26" s="50" t="n"/>
    </row>
    <row r="27">
      <c r="A27" s="49" t="n"/>
    </row>
    <row r="28">
      <c r="A28" s="49" t="n"/>
      <c r="I28" s="50" t="n"/>
    </row>
    <row r="29">
      <c r="A29" s="49" t="n"/>
    </row>
    <row r="30">
      <c r="A30" s="49" t="n"/>
      <c r="I30" s="50" t="n"/>
    </row>
    <row r="31">
      <c r="A31" s="49" t="n"/>
      <c r="I31" s="49" t="n"/>
    </row>
    <row r="32">
      <c r="A32" s="49" t="n"/>
      <c r="I32" s="51" t="n"/>
    </row>
    <row r="33">
      <c r="A33" s="49" t="n"/>
    </row>
  </sheetData>
  <sheetProtection selectLockedCells="0" selectUnlockedCells="0" sheet="1" objects="1" insertRows="0" insertHyperlinks="1" autoFilter="0" scenarios="1" formatColumns="0" deleteColumns="0" insertColumns="0" pivotTables="0" deleteRows="0" formatCells="0" formatRows="0" sort="0" password="AE3A"/>
  <mergeCells count="3">
    <mergeCell ref="A16:G16"/>
    <mergeCell ref="A9:J9"/>
    <mergeCell ref="E18:H28"/>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codeName="Sheet1">
    <outlinePr summaryBelow="1" summaryRight="1"/>
    <pageSetUpPr/>
  </sheetPr>
  <dimension ref="A1:N14"/>
  <sheetViews>
    <sheetView workbookViewId="0">
      <selection activeCell="A1" sqref="A1:N1"/>
    </sheetView>
  </sheetViews>
  <sheetFormatPr baseColWidth="8" defaultRowHeight="14.5"/>
  <cols>
    <col width="12" customWidth="1" style="56" min="1" max="1"/>
    <col width="26" customWidth="1" style="56" min="2" max="2"/>
    <col width="52" customWidth="1" style="56" min="3" max="3"/>
    <col width="12" customWidth="1" style="56" min="4" max="4"/>
  </cols>
  <sheetData>
    <row r="1">
      <c r="A1" s="55" t="inlineStr">
        <is>
          <t>Capital Rationing (Capital Budgeting) – 6 Caselets (Excel Solver Model)</t>
        </is>
      </c>
    </row>
    <row r="2"/>
    <row r="3">
      <c r="A3" s="57" t="inlineStr">
        <is>
          <t>Use the links below. Each caselet sheet contains Inputs + Calculations + Outputs + Checks (single-sheet model).</t>
        </is>
      </c>
    </row>
    <row r="4"/>
    <row r="5">
      <c r="A5" s="2" t="inlineStr">
        <is>
          <t>Caselet</t>
        </is>
      </c>
      <c r="B5" s="2" t="inlineStr">
        <is>
          <t>Company</t>
        </is>
      </c>
      <c r="C5" s="2" t="inlineStr">
        <is>
          <t>Constraint theme</t>
        </is>
      </c>
      <c r="D5" s="2" t="inlineStr">
        <is>
          <t>Open</t>
        </is>
      </c>
    </row>
    <row r="6">
      <c r="A6" s="3" t="inlineStr">
        <is>
          <t>Caselet 1</t>
        </is>
      </c>
      <c r="B6" s="4" t="inlineStr">
        <is>
          <t>Optimus Solutions</t>
        </is>
      </c>
      <c r="C6" s="4" t="inlineStr">
        <is>
          <t>Mutual exclusivity + dependency + mandatory project</t>
        </is>
      </c>
      <c r="D6" s="5" t="inlineStr">
        <is>
          <t>Open ➜</t>
        </is>
      </c>
    </row>
    <row r="7">
      <c r="A7" s="3" t="inlineStr">
        <is>
          <t>Caselet 2</t>
        </is>
      </c>
      <c r="B7" s="4" t="inlineStr">
        <is>
          <t>NovaTech Inc.</t>
        </is>
      </c>
      <c r="C7" s="4" t="inlineStr">
        <is>
          <t>Min/Max project count + mutual inclusion</t>
        </is>
      </c>
      <c r="D7" s="5" t="inlineStr">
        <is>
          <t>Open ➜</t>
        </is>
      </c>
    </row>
    <row r="8" ht="29" customHeight="1" s="56">
      <c r="A8" s="3" t="inlineStr">
        <is>
          <t>Caselet 3</t>
        </is>
      </c>
      <c r="B8" s="4" t="inlineStr">
        <is>
          <t>InnovateCorp</t>
        </is>
      </c>
      <c r="C8" s="4" t="inlineStr">
        <is>
          <t>Exclude low-value + include core group + include high NPV set</t>
        </is>
      </c>
      <c r="D8" s="5" t="inlineStr">
        <is>
          <t>Open ➜</t>
        </is>
      </c>
    </row>
    <row r="9">
      <c r="A9" s="3" t="inlineStr">
        <is>
          <t>Caselet 4</t>
        </is>
      </c>
      <c r="B9" s="4" t="inlineStr">
        <is>
          <t>FutureVision Ltd.</t>
        </is>
      </c>
      <c r="C9" s="4" t="inlineStr">
        <is>
          <t>Pairing + group cost cap</t>
        </is>
      </c>
      <c r="D9" s="5" t="inlineStr">
        <is>
          <t>Open ➜</t>
        </is>
      </c>
    </row>
    <row r="10">
      <c r="A10" s="3" t="inlineStr">
        <is>
          <t>Caselet 5</t>
        </is>
      </c>
      <c r="B10" s="4" t="inlineStr">
        <is>
          <t>VisionNext Ltd.</t>
        </is>
      </c>
      <c r="C10" s="4" t="inlineStr">
        <is>
          <t>NPV threshold + min high-cost + conflict pair</t>
        </is>
      </c>
      <c r="D10" s="5" t="inlineStr">
        <is>
          <t>Open ➜</t>
        </is>
      </c>
    </row>
    <row r="11">
      <c r="A11" s="3" t="inlineStr">
        <is>
          <t>Caselet 6</t>
        </is>
      </c>
      <c r="B11" s="4" t="inlineStr">
        <is>
          <t>GlobalTech Ltd.</t>
        </is>
      </c>
      <c r="C11" s="4" t="inlineStr">
        <is>
          <t>Strategic allocation + risk cap + portfolio ratio</t>
        </is>
      </c>
      <c r="D11" s="5" t="inlineStr">
        <is>
          <t>Open ➜</t>
        </is>
      </c>
    </row>
    <row r="12"/>
    <row r="13">
      <c r="A13" s="6" t="inlineStr">
        <is>
          <t>Project data table:</t>
        </is>
      </c>
      <c r="B13" s="7" t="inlineStr">
        <is>
          <t>Open ➜</t>
        </is>
      </c>
    </row>
    <row r="14">
      <c r="A14" s="6" t="inlineStr">
        <is>
          <t>Checks summary:</t>
        </is>
      </c>
      <c r="B14" s="7" t="inlineStr">
        <is>
          <t>Open ➜</t>
        </is>
      </c>
    </row>
  </sheetData>
  <sheetProtection selectLockedCells="0" selectUnlockedCells="0" sheet="1" objects="1" insertRows="0" insertHyperlinks="1" autoFilter="0" scenarios="1" formatColumns="0" deleteColumns="0" insertColumns="0" pivotTables="0" deleteRows="0" formatCells="0" formatRows="0" sort="0" password="AE3A"/>
  <mergeCells count="2">
    <mergeCell ref="A1:N1"/>
    <mergeCell ref="A3:E3"/>
  </mergeCells>
  <hyperlinks>
    <hyperlink ref="D6" location="'Caselet_01_Optimus'!A1" display="Open ➜"/>
    <hyperlink ref="D7" location="'Caselet_02_NovaTech'!A1" display="Open ➜"/>
    <hyperlink ref="D8" location="'Caselet_03_InnovateCorp'!A1" display="Open ➜"/>
    <hyperlink ref="D9" location="'Caselet_04_FutureVision'!A1" display="Open ➜"/>
    <hyperlink ref="D10" location="'Caselet_05_VisionNext'!A1" display="Open ➜"/>
    <hyperlink ref="D11" location="'Caselet_06_GlobalTech'!A1" display="Open ➜"/>
    <hyperlink ref="B13" location="'PROJECT_DATA'!A1" display="Open ➜"/>
    <hyperlink ref="B14" location="'CHECKS_SUMMARY'!A1" display="Open ➜"/>
  </hyperlinks>
  <pageMargins left="0.75" right="0.75" top="1" bottom="1" header="0.5" footer="0.5"/>
</worksheet>
</file>

<file path=xl/worksheets/sheet3.xml><?xml version="1.0" encoding="utf-8"?>
<worksheet xmlns="http://schemas.openxmlformats.org/spreadsheetml/2006/main">
  <sheetPr codeName="Sheet2">
    <outlinePr summaryBelow="1" summaryRight="1"/>
    <pageSetUpPr/>
  </sheetPr>
  <dimension ref="A1:N19"/>
  <sheetViews>
    <sheetView topLeftCell="A6" workbookViewId="0">
      <selection activeCell="H4" sqref="H4"/>
    </sheetView>
  </sheetViews>
  <sheetFormatPr baseColWidth="8" defaultRowHeight="14.5"/>
  <cols>
    <col width="12" customWidth="1" style="56" min="1" max="1"/>
    <col width="18" customWidth="1" style="56" min="2" max="3"/>
  </cols>
  <sheetData>
    <row r="1">
      <c r="A1" s="55" t="inlineStr">
        <is>
          <t>Common Project Data (Cost &amp; NPV)</t>
        </is>
      </c>
    </row>
    <row r="2"/>
    <row r="3">
      <c r="A3" s="57" t="inlineStr">
        <is>
          <t>All caselets refer to this table for project-wise Cost and NPV.</t>
        </is>
      </c>
    </row>
    <row r="4"/>
    <row r="5" ht="29" customHeight="1" s="56">
      <c r="A5" s="8" t="inlineStr">
        <is>
          <t>Capital Budget (₹)</t>
        </is>
      </c>
      <c r="B5" s="9" t="n">
        <v>5000000</v>
      </c>
    </row>
    <row r="6"/>
    <row r="7">
      <c r="A7" s="2" t="inlineStr">
        <is>
          <t>Project</t>
        </is>
      </c>
      <c r="B7" s="2" t="inlineStr">
        <is>
          <t>Cost (₹)</t>
        </is>
      </c>
      <c r="C7" s="2" t="inlineStr">
        <is>
          <t>NPV (₹)</t>
        </is>
      </c>
    </row>
    <row r="8">
      <c r="A8" s="3" t="inlineStr">
        <is>
          <t>A</t>
        </is>
      </c>
      <c r="B8" s="9" t="n">
        <v>800000</v>
      </c>
      <c r="C8" s="9" t="n">
        <v>240000</v>
      </c>
    </row>
    <row r="9">
      <c r="A9" s="3" t="inlineStr">
        <is>
          <t>B</t>
        </is>
      </c>
      <c r="B9" s="9" t="n">
        <v>650000</v>
      </c>
      <c r="C9" s="9" t="n">
        <v>180000</v>
      </c>
    </row>
    <row r="10">
      <c r="A10" s="3" t="inlineStr">
        <is>
          <t>C</t>
        </is>
      </c>
      <c r="B10" s="9" t="n">
        <v>750000</v>
      </c>
      <c r="C10" s="9" t="n">
        <v>210000</v>
      </c>
    </row>
    <row r="11">
      <c r="A11" s="3" t="inlineStr">
        <is>
          <t>D</t>
        </is>
      </c>
      <c r="B11" s="9" t="n">
        <v>900000</v>
      </c>
      <c r="C11" s="9" t="n">
        <v>270000</v>
      </c>
    </row>
    <row r="12">
      <c r="A12" s="3" t="inlineStr">
        <is>
          <t>E</t>
        </is>
      </c>
      <c r="B12" s="9" t="n">
        <v>550000</v>
      </c>
      <c r="C12" s="9" t="n">
        <v>120000</v>
      </c>
    </row>
    <row r="13">
      <c r="A13" s="3" t="inlineStr">
        <is>
          <t>F</t>
        </is>
      </c>
      <c r="B13" s="9" t="n">
        <v>600000</v>
      </c>
      <c r="C13" s="9" t="n">
        <v>195000</v>
      </c>
    </row>
    <row r="14">
      <c r="A14" s="3" t="inlineStr">
        <is>
          <t>G</t>
        </is>
      </c>
      <c r="B14" s="9" t="n">
        <v>450000</v>
      </c>
      <c r="C14" s="9" t="n">
        <v>95000</v>
      </c>
    </row>
    <row r="15">
      <c r="A15" s="3" t="inlineStr">
        <is>
          <t>H</t>
        </is>
      </c>
      <c r="B15" s="9" t="n">
        <v>350000</v>
      </c>
      <c r="C15" s="9" t="n">
        <v>75000</v>
      </c>
    </row>
    <row r="16">
      <c r="A16" s="3" t="inlineStr">
        <is>
          <t>I</t>
        </is>
      </c>
      <c r="B16" s="9" t="n">
        <v>500000</v>
      </c>
      <c r="C16" s="9" t="n">
        <v>135000</v>
      </c>
    </row>
    <row r="17">
      <c r="A17" s="3" t="inlineStr">
        <is>
          <t>J</t>
        </is>
      </c>
      <c r="B17" s="9" t="n">
        <v>400000</v>
      </c>
      <c r="C17" s="9" t="n">
        <v>105000</v>
      </c>
    </row>
    <row r="18"/>
    <row r="19">
      <c r="A19" s="10" t="inlineStr">
        <is>
          <t>Total cost (all projects)</t>
        </is>
      </c>
      <c r="B19" s="9">
        <f>SUM(B8:B17)</f>
        <v/>
      </c>
    </row>
  </sheetData>
  <sheetProtection selectLockedCells="0" selectUnlockedCells="0" sheet="1" objects="1" insertRows="0" insertHyperlinks="1" autoFilter="0" scenarios="1" formatColumns="0" deleteColumns="0" insertColumns="0" pivotTables="0" deleteRows="0" formatCells="0" formatRows="0" sort="0" password="AE3A"/>
  <mergeCells count="2">
    <mergeCell ref="A3:D3"/>
    <mergeCell ref="A1:N1"/>
  </mergeCells>
  <pageMargins left="0.75" right="0.75" top="1" bottom="1" header="0.5" footer="0.5"/>
</worksheet>
</file>

<file path=xl/worksheets/sheet4.xml><?xml version="1.0" encoding="utf-8"?>
<worksheet xmlns="http://schemas.openxmlformats.org/spreadsheetml/2006/main">
  <sheetPr codeName="Sheet3">
    <outlinePr summaryBelow="1" summaryRight="1"/>
    <pageSetUpPr/>
  </sheetPr>
  <dimension ref="A1:N34"/>
  <sheetViews>
    <sheetView topLeftCell="A10" zoomScale="85" zoomScaleNormal="85" workbookViewId="0">
      <selection activeCell="E17" sqref="E17"/>
    </sheetView>
  </sheetViews>
  <sheetFormatPr baseColWidth="8" defaultRowHeight="14.5"/>
  <cols>
    <col width="3" customWidth="1" style="56" min="1" max="1"/>
    <col width="18" customWidth="1" style="56" min="2" max="4"/>
    <col width="12" customWidth="1" style="56" min="5" max="5"/>
    <col width="18" customWidth="1" style="56" min="6" max="7"/>
    <col width="3" customWidth="1" style="56" min="8" max="8"/>
    <col width="28" customWidth="1" style="56" min="9" max="9"/>
    <col width="20" customWidth="1" style="56" min="10" max="12"/>
    <col width="18" customWidth="1" style="56" min="13" max="14"/>
  </cols>
  <sheetData>
    <row r="1">
      <c r="A1" s="55" t="inlineStr">
        <is>
          <t>Caselet 1 – Capital Allocation Decision at Optimus Solutions</t>
        </is>
      </c>
    </row>
    <row r="2">
      <c r="A2" s="11" t="inlineStr">
        <is>
          <t>⬅ Back to Index</t>
        </is>
      </c>
    </row>
    <row r="3"/>
    <row r="4">
      <c r="B4" s="62" t="inlineStr">
        <is>
          <t>INPUTS</t>
        </is>
      </c>
      <c r="C4" s="59" t="n"/>
      <c r="D4" s="59" t="n"/>
      <c r="E4" s="59" t="n"/>
      <c r="F4" s="59" t="n"/>
      <c r="G4" s="60" t="n"/>
      <c r="I4" s="64" t="inlineStr">
        <is>
          <t>OUTPUTS / DECISION</t>
        </is>
      </c>
      <c r="J4" s="59" t="n"/>
      <c r="K4" s="59" t="n"/>
      <c r="L4" s="59" t="n"/>
      <c r="M4" s="59" t="n"/>
      <c r="N4" s="60" t="n"/>
    </row>
    <row r="5" ht="15.5" customHeight="1" s="56">
      <c r="B5" s="14" t="inlineStr">
        <is>
          <t>Capital Budget (₹)</t>
        </is>
      </c>
      <c r="C5" s="15">
        <f>PROJECT_DATA!$B$5</f>
        <v/>
      </c>
      <c r="D5" s="16" t="n"/>
      <c r="E5" s="16" t="n"/>
      <c r="F5" s="16" t="n"/>
      <c r="G5" s="16" t="n"/>
      <c r="I5" s="17" t="inlineStr">
        <is>
          <t>Key Outputs</t>
        </is>
      </c>
      <c r="J5" s="13" t="n"/>
      <c r="K5" s="13" t="n"/>
      <c r="L5" s="13" t="n"/>
      <c r="M5" s="13" t="n"/>
      <c r="N5" s="13" t="n"/>
    </row>
    <row r="6">
      <c r="B6" s="14" t="inlineStr">
        <is>
          <t>Objective</t>
        </is>
      </c>
      <c r="C6" s="16" t="inlineStr">
        <is>
          <t>Maximize Total NPV</t>
        </is>
      </c>
      <c r="D6" s="16" t="n"/>
      <c r="E6" s="16" t="n"/>
      <c r="F6" s="16" t="n"/>
      <c r="G6" s="16" t="n"/>
      <c r="I6" s="64" t="inlineStr">
        <is>
          <t>Metric</t>
        </is>
      </c>
      <c r="J6" s="64" t="inlineStr">
        <is>
          <t>Value</t>
        </is>
      </c>
      <c r="K6" s="13" t="n"/>
      <c r="L6" s="13" t="n"/>
      <c r="M6" s="13" t="n"/>
      <c r="N6" s="13" t="n"/>
    </row>
    <row r="7" ht="29" customHeight="1" s="56">
      <c r="B7" s="14" t="inlineStr">
        <is>
          <t>Decision variables</t>
        </is>
      </c>
      <c r="C7" s="16" t="inlineStr">
        <is>
          <t>Select? (0/1) for each project</t>
        </is>
      </c>
      <c r="D7" s="16" t="n"/>
      <c r="E7" s="16" t="n"/>
      <c r="F7" s="16" t="n"/>
      <c r="G7" s="16" t="n"/>
      <c r="I7" s="13" t="inlineStr">
        <is>
          <t>Total Cost (₹)</t>
        </is>
      </c>
      <c r="J7" s="18">
        <f>C23</f>
        <v/>
      </c>
      <c r="K7" s="13" t="n"/>
      <c r="L7" s="13" t="n"/>
      <c r="M7" s="13" t="n"/>
      <c r="N7" s="13" t="n"/>
    </row>
    <row r="8" ht="87" customHeight="1" s="56">
      <c r="B8" s="14" t="inlineStr">
        <is>
          <t>Solver note</t>
        </is>
      </c>
      <c r="C8" s="16" t="inlineStr">
        <is>
          <t>Objective: C24 (Total NPV). Variable cells: E12:E21 (Binary). Add constraints in Checks.</t>
        </is>
      </c>
      <c r="D8" s="16" t="n"/>
      <c r="E8" s="16" t="n"/>
      <c r="F8" s="16" t="n"/>
      <c r="G8" s="16" t="n"/>
      <c r="I8" s="13" t="inlineStr">
        <is>
          <t>Total NPV (₹)</t>
        </is>
      </c>
      <c r="J8" s="18">
        <f>C24</f>
        <v/>
      </c>
      <c r="K8" s="13" t="n"/>
      <c r="L8" s="13" t="n"/>
      <c r="M8" s="13" t="n"/>
      <c r="N8" s="13" t="n"/>
    </row>
    <row r="9" ht="101.5" customHeight="1" s="56">
      <c r="B9" s="16" t="n"/>
      <c r="C9" s="34" t="inlineStr">
        <is>
          <t>Pre-filled with an optimal solution (computed and saved). You may re-run Solver after changing any input/constraint.</t>
        </is>
      </c>
      <c r="D9" s="16" t="n"/>
      <c r="E9" s="16" t="n"/>
      <c r="F9" s="16" t="n"/>
      <c r="G9" s="16" t="n"/>
      <c r="I9" s="13" t="inlineStr">
        <is>
          <t>Budget Slack (₹)</t>
        </is>
      </c>
      <c r="J9" s="18">
        <f>C25</f>
        <v/>
      </c>
      <c r="K9" s="13" t="n"/>
      <c r="L9" s="13" t="n"/>
      <c r="M9" s="13" t="n"/>
      <c r="N9" s="13" t="n"/>
    </row>
    <row r="10" ht="62" customHeight="1" s="56">
      <c r="B10" s="19" t="inlineStr">
        <is>
          <t>Project Portfolio (Cost &amp; NPV referenced from PROJECT_DATA)</t>
        </is>
      </c>
      <c r="C10" s="16" t="n"/>
      <c r="D10" s="16" t="n"/>
      <c r="E10" s="16" t="n"/>
      <c r="F10" s="16" t="n"/>
      <c r="G10" s="16" t="n"/>
      <c r="I10" s="13" t="inlineStr">
        <is>
          <t>Projects Selected</t>
        </is>
      </c>
      <c r="J10" s="20">
        <f>C26</f>
        <v/>
      </c>
      <c r="K10" s="13" t="n"/>
      <c r="L10" s="13" t="n"/>
      <c r="M10" s="13" t="n"/>
      <c r="N10" s="13" t="n"/>
    </row>
    <row r="11">
      <c r="B11" s="21" t="inlineStr">
        <is>
          <t>Project</t>
        </is>
      </c>
      <c r="C11" s="21" t="inlineStr">
        <is>
          <t>Cost (₹)</t>
        </is>
      </c>
      <c r="D11" s="21" t="inlineStr">
        <is>
          <t>NPV (₹)</t>
        </is>
      </c>
      <c r="E11" s="21" t="inlineStr">
        <is>
          <t>Select? (0/1)</t>
        </is>
      </c>
      <c r="F11" s="21" t="inlineStr">
        <is>
          <t>Selected Cost (₹)</t>
        </is>
      </c>
      <c r="G11" s="21" t="inlineStr">
        <is>
          <t>Selected NPV (₹)</t>
        </is>
      </c>
    </row>
    <row r="12">
      <c r="B12" s="16" t="inlineStr">
        <is>
          <t>A</t>
        </is>
      </c>
      <c r="C12" s="15">
        <f>VLOOKUP(B12,PROJECT_DATA!$A$8:$C$17,2,FALSE)</f>
        <v/>
      </c>
      <c r="D12" s="15">
        <f>VLOOKUP(B12,PROJECT_DATA!$A$8:$C$17,3,FALSE)</f>
        <v/>
      </c>
      <c r="E12" s="35" t="n">
        <v>1</v>
      </c>
      <c r="F12" s="15">
        <f>C12*E12</f>
        <v/>
      </c>
      <c r="G12" s="15">
        <f>D12*E12</f>
        <v/>
      </c>
      <c r="I12" s="63" t="inlineStr">
        <is>
          <t>CHECKS</t>
        </is>
      </c>
      <c r="J12" s="59" t="n"/>
      <c r="K12" s="59" t="n"/>
      <c r="L12" s="59" t="n"/>
      <c r="M12" s="59" t="n"/>
      <c r="N12" s="60" t="n"/>
    </row>
    <row r="13">
      <c r="B13" s="16" t="inlineStr">
        <is>
          <t>B</t>
        </is>
      </c>
      <c r="C13" s="15">
        <f>VLOOKUP(B13,PROJECT_DATA!$A$8:$C$17,2,FALSE)</f>
        <v/>
      </c>
      <c r="D13" s="15">
        <f>VLOOKUP(B13,PROJECT_DATA!$A$8:$C$17,3,FALSE)</f>
        <v/>
      </c>
      <c r="E13" s="35" t="n">
        <v>0</v>
      </c>
      <c r="F13" s="15">
        <f>C13*E13</f>
        <v/>
      </c>
      <c r="G13" s="15">
        <f>D13*E13</f>
        <v/>
      </c>
      <c r="I13" s="63" t="inlineStr">
        <is>
          <t>Check / Constraint</t>
        </is>
      </c>
      <c r="J13" s="63" t="inlineStr">
        <is>
          <t>Status</t>
        </is>
      </c>
      <c r="K13" s="23" t="n"/>
    </row>
    <row r="14">
      <c r="B14" s="16" t="inlineStr">
        <is>
          <t>C</t>
        </is>
      </c>
      <c r="C14" s="15">
        <f>VLOOKUP(B14,PROJECT_DATA!$A$8:$C$17,2,FALSE)</f>
        <v/>
      </c>
      <c r="D14" s="15">
        <f>VLOOKUP(B14,PROJECT_DATA!$A$8:$C$17,3,FALSE)</f>
        <v/>
      </c>
      <c r="E14" s="35" t="n">
        <v>1</v>
      </c>
      <c r="F14" s="15">
        <f>C14*E14</f>
        <v/>
      </c>
      <c r="G14" s="15">
        <f>D14*E14</f>
        <v/>
      </c>
      <c r="I14" s="23" t="inlineStr">
        <is>
          <t>Budget: Total Cost ≤ Budget</t>
        </is>
      </c>
      <c r="J14" s="23">
        <f>IF($C$23&lt;=$C$5,"OK","Review")</f>
        <v/>
      </c>
      <c r="K14" s="23" t="n"/>
    </row>
    <row r="15" ht="29" customHeight="1" s="56">
      <c r="B15" s="16" t="inlineStr">
        <is>
          <t>D</t>
        </is>
      </c>
      <c r="C15" s="15">
        <f>VLOOKUP(B15,PROJECT_DATA!$A$8:$C$17,2,FALSE)</f>
        <v/>
      </c>
      <c r="D15" s="15">
        <f>VLOOKUP(B15,PROJECT_DATA!$A$8:$C$17,3,FALSE)</f>
        <v/>
      </c>
      <c r="E15" s="35" t="n">
        <v>1</v>
      </c>
      <c r="F15" s="15">
        <f>C15*E15</f>
        <v/>
      </c>
      <c r="G15" s="15">
        <f>D15*E15</f>
        <v/>
      </c>
      <c r="I15" s="23" t="inlineStr">
        <is>
          <t>Binary inputs (0/1) in Select? column</t>
        </is>
      </c>
      <c r="J15" s="23">
        <f>IF(COUNTIF($E$12:$E$21,"&lt;0")+COUNTIF($E$12:$E$21,"&gt;1")=0,"OK","Review")</f>
        <v/>
      </c>
      <c r="K15" s="23" t="n"/>
    </row>
    <row r="16" ht="29" customHeight="1" s="56">
      <c r="B16" s="16" t="inlineStr">
        <is>
          <t>E</t>
        </is>
      </c>
      <c r="C16" s="15">
        <f>VLOOKUP(B16,PROJECT_DATA!$A$8:$C$17,2,FALSE)</f>
        <v/>
      </c>
      <c r="D16" s="15">
        <f>VLOOKUP(B16,PROJECT_DATA!$A$8:$C$17,3,FALSE)</f>
        <v/>
      </c>
      <c r="E16" s="35" t="n">
        <v>1</v>
      </c>
      <c r="F16" s="15">
        <f>C16*E16</f>
        <v/>
      </c>
      <c r="G16" s="15">
        <f>D16*E16</f>
        <v/>
      </c>
      <c r="I16" s="23" t="inlineStr">
        <is>
          <t>Mutually exclusive: A and B (EA + EB ≤ 1)</t>
        </is>
      </c>
      <c r="J16" s="23">
        <f>IF($E$12+$E$13&lt;=1,"OK","Review")</f>
        <v/>
      </c>
      <c r="K16" s="23" t="n"/>
    </row>
    <row r="17">
      <c r="B17" s="16" t="inlineStr">
        <is>
          <t>F</t>
        </is>
      </c>
      <c r="C17" s="15">
        <f>VLOOKUP(B17,PROJECT_DATA!$A$8:$C$17,2,FALSE)</f>
        <v/>
      </c>
      <c r="D17" s="15">
        <f>VLOOKUP(B17,PROJECT_DATA!$A$8:$C$17,3,FALSE)</f>
        <v/>
      </c>
      <c r="E17" s="35" t="n">
        <v>1</v>
      </c>
      <c r="F17" s="15">
        <f>C17*E17</f>
        <v/>
      </c>
      <c r="G17" s="15">
        <f>D17*E17</f>
        <v/>
      </c>
      <c r="I17" s="23" t="inlineStr">
        <is>
          <t>Dependency: D → E (ED ≤ EE)</t>
        </is>
      </c>
      <c r="J17" s="23">
        <f>IF($E$15&lt;=$E$16,"OK","Review")</f>
        <v/>
      </c>
      <c r="K17" s="23" t="n"/>
    </row>
    <row r="18" ht="29" customHeight="1" s="56">
      <c r="B18" s="16" t="inlineStr">
        <is>
          <t>G</t>
        </is>
      </c>
      <c r="C18" s="15">
        <f>VLOOKUP(B18,PROJECT_DATA!$A$8:$C$17,2,FALSE)</f>
        <v/>
      </c>
      <c r="D18" s="15">
        <f>VLOOKUP(B18,PROJECT_DATA!$A$8:$C$17,3,FALSE)</f>
        <v/>
      </c>
      <c r="E18" s="35" t="n">
        <v>1</v>
      </c>
      <c r="F18" s="15">
        <f>C18*E18</f>
        <v/>
      </c>
      <c r="G18" s="15">
        <f>D18*E18</f>
        <v/>
      </c>
      <c r="I18" s="23" t="inlineStr">
        <is>
          <t>Mandatory: F must be selected (EF = 1)</t>
        </is>
      </c>
      <c r="J18" s="23">
        <f>IF($E$17=1,"OK","Review")</f>
        <v/>
      </c>
      <c r="K18" s="23" t="n"/>
    </row>
    <row r="19">
      <c r="B19" s="16" t="inlineStr">
        <is>
          <t>H</t>
        </is>
      </c>
      <c r="C19" s="15">
        <f>VLOOKUP(B19,PROJECT_DATA!$A$8:$C$17,2,FALSE)</f>
        <v/>
      </c>
      <c r="D19" s="15">
        <f>VLOOKUP(B19,PROJECT_DATA!$A$8:$C$17,3,FALSE)</f>
        <v/>
      </c>
      <c r="E19" s="35" t="n">
        <v>0</v>
      </c>
      <c r="F19" s="15">
        <f>C19*E19</f>
        <v/>
      </c>
      <c r="G19" s="15">
        <f>D19*E19</f>
        <v/>
      </c>
      <c r="I19" s="23" t="n"/>
      <c r="J19" s="23" t="n"/>
      <c r="K19" s="23" t="n"/>
    </row>
    <row r="20">
      <c r="B20" s="16" t="inlineStr">
        <is>
          <t>I</t>
        </is>
      </c>
      <c r="C20" s="15">
        <f>VLOOKUP(B20,PROJECT_DATA!$A$8:$C$17,2,FALSE)</f>
        <v/>
      </c>
      <c r="D20" s="15">
        <f>VLOOKUP(B20,PROJECT_DATA!$A$8:$C$17,3,FALSE)</f>
        <v/>
      </c>
      <c r="E20" s="35" t="n">
        <v>1</v>
      </c>
      <c r="F20" s="15">
        <f>C20*E20</f>
        <v/>
      </c>
      <c r="G20" s="15">
        <f>D20*E20</f>
        <v/>
      </c>
      <c r="I20" s="24" t="inlineStr">
        <is>
          <t>Overall Status (all checks)</t>
        </is>
      </c>
      <c r="J20" s="24">
        <f>IF(COUNTIF($J$14:$J$18,"Review")=0,"OK","Review")</f>
        <v/>
      </c>
      <c r="K20" s="23" t="n"/>
    </row>
    <row r="21">
      <c r="B21" s="16" t="inlineStr">
        <is>
          <t>J</t>
        </is>
      </c>
      <c r="C21" s="15">
        <f>VLOOKUP(B21,PROJECT_DATA!$A$8:$C$17,2,FALSE)</f>
        <v/>
      </c>
      <c r="D21" s="15">
        <f>VLOOKUP(B21,PROJECT_DATA!$A$8:$C$17,3,FALSE)</f>
        <v/>
      </c>
      <c r="E21" s="35" t="n">
        <v>1</v>
      </c>
      <c r="F21" s="15">
        <f>C21*E21</f>
        <v/>
      </c>
      <c r="G21" s="15">
        <f>D21*E21</f>
        <v/>
      </c>
    </row>
    <row r="22">
      <c r="B22" s="58" t="inlineStr">
        <is>
          <t>CALCULATIONS</t>
        </is>
      </c>
      <c r="C22" s="59" t="n"/>
      <c r="D22" s="59" t="n"/>
      <c r="E22" s="59" t="n"/>
      <c r="F22" s="59" t="n"/>
      <c r="G22" s="60" t="n"/>
      <c r="I22" s="61" t="inlineStr">
        <is>
          <t>Solver Setup (enter in Excel Solver)</t>
        </is>
      </c>
    </row>
    <row r="23">
      <c r="B23" s="26" t="inlineStr">
        <is>
          <t>Total Cost (₹)</t>
        </is>
      </c>
      <c r="C23" s="27">
        <f>SUM(F12:F21)</f>
        <v/>
      </c>
      <c r="D23" s="25" t="n"/>
      <c r="E23" s="25" t="n"/>
      <c r="F23" s="25" t="n"/>
      <c r="G23" s="25" t="n"/>
      <c r="I23" s="36" t="inlineStr">
        <is>
          <t>Set Objective</t>
        </is>
      </c>
      <c r="J23" s="37" t="inlineStr">
        <is>
          <t>C24 (Total NPV)</t>
        </is>
      </c>
    </row>
    <row r="24">
      <c r="B24" s="26" t="inlineStr">
        <is>
          <t>Total NPV (₹)</t>
        </is>
      </c>
      <c r="C24" s="27">
        <f>SUM(G12:G21)</f>
        <v/>
      </c>
      <c r="D24" s="25" t="n"/>
      <c r="E24" s="25" t="n"/>
      <c r="F24" s="25" t="n"/>
      <c r="G24" s="25" t="n"/>
      <c r="I24" s="36" t="inlineStr">
        <is>
          <t>To</t>
        </is>
      </c>
      <c r="J24" s="37" t="inlineStr">
        <is>
          <t>Max</t>
        </is>
      </c>
    </row>
    <row r="25">
      <c r="B25" s="26" t="inlineStr">
        <is>
          <t>Budget Slack (₹)</t>
        </is>
      </c>
      <c r="C25" s="27">
        <f>$C$5-$C$23</f>
        <v/>
      </c>
      <c r="D25" s="25" t="n"/>
      <c r="E25" s="25" t="n"/>
      <c r="F25" s="25" t="n"/>
      <c r="G25" s="25" t="n"/>
      <c r="I25" s="36" t="inlineStr">
        <is>
          <t>By Changing Variable Cells</t>
        </is>
      </c>
      <c r="J25" s="37" t="inlineStr">
        <is>
          <t>E12:E21</t>
        </is>
      </c>
    </row>
    <row r="26" ht="29" customHeight="1" s="56">
      <c r="B26" s="26" t="inlineStr">
        <is>
          <t>Projects Selected (count)</t>
        </is>
      </c>
      <c r="C26" s="28">
        <f>SUM(E12:E21)</f>
        <v/>
      </c>
      <c r="D26" s="25" t="n"/>
      <c r="E26" s="25" t="n"/>
      <c r="F26" s="25" t="n"/>
      <c r="G26" s="25" t="n"/>
      <c r="I26" s="36" t="inlineStr">
        <is>
          <t>Constraints (core)</t>
        </is>
      </c>
      <c r="J26" s="37" t="inlineStr">
        <is>
          <t>C23 &lt;= C5; E12:E21 Binary</t>
        </is>
      </c>
    </row>
    <row r="27">
      <c r="B27" s="25" t="n"/>
      <c r="C27" s="25" t="n"/>
      <c r="D27" s="25" t="n"/>
      <c r="E27" s="25" t="n"/>
      <c r="F27" s="25" t="n"/>
      <c r="G27" s="25" t="n"/>
      <c r="I27" s="36" t="inlineStr">
        <is>
          <t>Solving Method</t>
        </is>
      </c>
      <c r="J27" s="37" t="inlineStr">
        <is>
          <t>Simplex LP</t>
        </is>
      </c>
    </row>
    <row r="28" ht="31" customHeight="1" s="56">
      <c r="B28" s="29" t="inlineStr">
        <is>
          <t>Constraint helper calculations</t>
        </is>
      </c>
      <c r="C28" s="25" t="n"/>
      <c r="D28" s="25" t="n"/>
      <c r="E28" s="25" t="n"/>
      <c r="F28" s="25" t="n"/>
      <c r="G28" s="25" t="n"/>
    </row>
    <row r="29">
      <c r="B29" s="26" t="inlineStr">
        <is>
          <t>Cost(ABC)</t>
        </is>
      </c>
      <c r="C29" s="27">
        <f>SUMPRODUCT(--ISNUMBER(MATCH($B$12:$B$21,{"A","B","C"},0)),$C$12:$C$21,$E$12:$E$21)</f>
        <v/>
      </c>
      <c r="D29" s="25" t="n"/>
      <c r="E29" s="25" t="n"/>
      <c r="F29" s="25" t="n"/>
      <c r="G29" s="25" t="n"/>
    </row>
    <row r="30">
      <c r="B30" s="26" t="inlineStr">
        <is>
          <t>Cost(ACF)</t>
        </is>
      </c>
      <c r="C30" s="27">
        <f>SUMPRODUCT(--ISNUMBER(MATCH($B$12:$B$21,{"A","C","F"},0)),$C$12:$C$21,$E$12:$E$21)</f>
        <v/>
      </c>
      <c r="D30" s="25" t="n"/>
      <c r="E30" s="25" t="n"/>
      <c r="F30" s="25" t="n"/>
      <c r="G30" s="25" t="n"/>
    </row>
    <row r="31">
      <c r="B31" s="26" t="inlineStr">
        <is>
          <t>Cost(DEG)</t>
        </is>
      </c>
      <c r="C31" s="27">
        <f>SUMPRODUCT(--ISNUMBER(MATCH($B$12:$B$21,{"D","E","G"},0)),$C$12:$C$21,$E$12:$E$21)</f>
        <v/>
      </c>
      <c r="D31" s="25" t="n"/>
      <c r="E31" s="25" t="n"/>
      <c r="F31" s="25" t="n"/>
      <c r="G31" s="25" t="n"/>
    </row>
    <row r="32" ht="29" customHeight="1" s="56">
      <c r="B32" s="26" t="inlineStr">
        <is>
          <t>High-cost count (Cost&gt;₹7,00,000)</t>
        </is>
      </c>
      <c r="C32" s="25">
        <f>SUMPRODUCT(--($C$12:$C$21&gt;700000),$E$12:$E$21)</f>
        <v/>
      </c>
      <c r="D32" s="25" t="n"/>
      <c r="E32" s="25" t="n"/>
      <c r="F32" s="25" t="n"/>
      <c r="G32" s="25" t="n"/>
    </row>
    <row r="33">
      <c r="B33" s="26" t="inlineStr">
        <is>
          <t>NPV/Cost ratio</t>
        </is>
      </c>
      <c r="C33" s="30">
        <f>IF($C$23=0,"",$C$24/$C$23)</f>
        <v/>
      </c>
      <c r="D33" s="25" t="n"/>
      <c r="E33" s="25" t="n"/>
      <c r="F33" s="25" t="n"/>
      <c r="G33" s="25" t="n"/>
    </row>
    <row r="34">
      <c r="B34" s="25" t="n"/>
      <c r="C34" s="25" t="n"/>
      <c r="D34" s="25" t="n"/>
      <c r="E34" s="25" t="n"/>
      <c r="F34" s="25" t="n"/>
      <c r="G34" s="25" t="n"/>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B22:G22"/>
    <mergeCell ref="I22:N22"/>
    <mergeCell ref="B4:G4"/>
    <mergeCell ref="I12:N12"/>
    <mergeCell ref="I4:N4"/>
    <mergeCell ref="A1:N1"/>
  </mergeCells>
  <hyperlinks>
    <hyperlink ref="A2" location="'INDEX'!A1" display="⬅ Back to Index"/>
  </hyperlink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codeName="Sheet4">
    <outlinePr summaryBelow="1" summaryRight="1"/>
    <pageSetUpPr/>
  </sheetPr>
  <dimension ref="A1:N34"/>
  <sheetViews>
    <sheetView topLeftCell="A10" zoomScale="85" zoomScaleNormal="85" workbookViewId="0">
      <selection activeCell="A1" sqref="A1:XFD1048576"/>
    </sheetView>
  </sheetViews>
  <sheetFormatPr baseColWidth="8" defaultRowHeight="14.5"/>
  <cols>
    <col width="3" customWidth="1" style="56" min="1" max="1"/>
    <col width="18" customWidth="1" style="56" min="2" max="4"/>
    <col width="12" customWidth="1" style="56" min="5" max="5"/>
    <col width="18" customWidth="1" style="56" min="6" max="7"/>
    <col width="3" customWidth="1" style="56" min="8" max="8"/>
    <col width="28" customWidth="1" style="56" min="9" max="9"/>
    <col width="20" customWidth="1" style="56" min="10" max="12"/>
    <col width="18" customWidth="1" style="56" min="13" max="14"/>
  </cols>
  <sheetData>
    <row r="1">
      <c r="A1" s="55" t="inlineStr">
        <is>
          <t>Caselet 2 – Portfolio Selection at NovaTech Inc.</t>
        </is>
      </c>
    </row>
    <row r="2">
      <c r="A2" s="11" t="inlineStr">
        <is>
          <t>⬅ Back to Index</t>
        </is>
      </c>
    </row>
    <row r="3"/>
    <row r="4">
      <c r="B4" s="62" t="inlineStr">
        <is>
          <t>INPUTS</t>
        </is>
      </c>
      <c r="C4" s="59" t="n"/>
      <c r="D4" s="59" t="n"/>
      <c r="E4" s="59" t="n"/>
      <c r="F4" s="59" t="n"/>
      <c r="G4" s="60" t="n"/>
      <c r="I4" s="64" t="inlineStr">
        <is>
          <t>OUTPUTS / DECISION</t>
        </is>
      </c>
      <c r="J4" s="59" t="n"/>
      <c r="K4" s="59" t="n"/>
      <c r="L4" s="59" t="n"/>
      <c r="M4" s="59" t="n"/>
      <c r="N4" s="60" t="n"/>
    </row>
    <row r="5" ht="15.5" customHeight="1" s="56">
      <c r="B5" s="14" t="inlineStr">
        <is>
          <t>Capital Budget (₹)</t>
        </is>
      </c>
      <c r="C5" s="15">
        <f>PROJECT_DATA!$B$5</f>
        <v/>
      </c>
      <c r="D5" s="16" t="n"/>
      <c r="E5" s="16" t="n"/>
      <c r="F5" s="16" t="n"/>
      <c r="G5" s="16" t="n"/>
      <c r="I5" s="17" t="inlineStr">
        <is>
          <t>Key Outputs</t>
        </is>
      </c>
      <c r="J5" s="13" t="n"/>
      <c r="K5" s="13" t="n"/>
      <c r="L5" s="13" t="n"/>
      <c r="M5" s="13" t="n"/>
      <c r="N5" s="13" t="n"/>
    </row>
    <row r="6">
      <c r="B6" s="14" t="inlineStr">
        <is>
          <t>Objective</t>
        </is>
      </c>
      <c r="C6" s="16" t="inlineStr">
        <is>
          <t>Maximize Total NPV</t>
        </is>
      </c>
      <c r="D6" s="16" t="n"/>
      <c r="E6" s="16" t="n"/>
      <c r="F6" s="16" t="n"/>
      <c r="G6" s="16" t="n"/>
      <c r="I6" s="64" t="inlineStr">
        <is>
          <t>Metric</t>
        </is>
      </c>
      <c r="J6" s="64" t="inlineStr">
        <is>
          <t>Value</t>
        </is>
      </c>
      <c r="K6" s="13" t="n"/>
      <c r="L6" s="13" t="n"/>
      <c r="M6" s="13" t="n"/>
      <c r="N6" s="13" t="n"/>
    </row>
    <row r="7" ht="29" customHeight="1" s="56">
      <c r="B7" s="14" t="inlineStr">
        <is>
          <t>Decision variables</t>
        </is>
      </c>
      <c r="C7" s="16" t="inlineStr">
        <is>
          <t>Select? (0/1) for each project</t>
        </is>
      </c>
      <c r="D7" s="16" t="n"/>
      <c r="E7" s="16" t="n"/>
      <c r="F7" s="16" t="n"/>
      <c r="G7" s="16" t="n"/>
      <c r="I7" s="13" t="inlineStr">
        <is>
          <t>Total Cost (₹)</t>
        </is>
      </c>
      <c r="J7" s="18">
        <f>C23</f>
        <v/>
      </c>
      <c r="K7" s="13" t="n"/>
      <c r="L7" s="13" t="n"/>
      <c r="M7" s="13" t="n"/>
      <c r="N7" s="13" t="n"/>
    </row>
    <row r="8" ht="87" customHeight="1" s="56">
      <c r="B8" s="14" t="inlineStr">
        <is>
          <t>Solver note</t>
        </is>
      </c>
      <c r="C8" s="16" t="inlineStr">
        <is>
          <t>Objective: C24 (Total NPV). Variable cells: E12:E21 (Binary). Add constraints in Checks.</t>
        </is>
      </c>
      <c r="D8" s="16" t="n"/>
      <c r="E8" s="16" t="n"/>
      <c r="F8" s="16" t="n"/>
      <c r="G8" s="16" t="n"/>
      <c r="I8" s="13" t="inlineStr">
        <is>
          <t>Total NPV (₹)</t>
        </is>
      </c>
      <c r="J8" s="18">
        <f>C24</f>
        <v/>
      </c>
      <c r="K8" s="13" t="n"/>
      <c r="L8" s="13" t="n"/>
      <c r="M8" s="13" t="n"/>
      <c r="N8" s="13" t="n"/>
    </row>
    <row r="9" ht="101.5" customHeight="1" s="56">
      <c r="B9" s="16" t="n"/>
      <c r="C9" s="34" t="inlineStr">
        <is>
          <t>Pre-filled with an optimal solution (computed and saved). You may re-run Solver after changing any input/constraint.</t>
        </is>
      </c>
      <c r="D9" s="16" t="n"/>
      <c r="E9" s="16" t="n"/>
      <c r="F9" s="16" t="n"/>
      <c r="G9" s="16" t="n"/>
      <c r="I9" s="13" t="inlineStr">
        <is>
          <t>Budget Slack (₹)</t>
        </is>
      </c>
      <c r="J9" s="18">
        <f>C25</f>
        <v/>
      </c>
      <c r="K9" s="13" t="n"/>
      <c r="L9" s="13" t="n"/>
      <c r="M9" s="13" t="n"/>
      <c r="N9" s="13" t="n"/>
    </row>
    <row r="10" ht="62" customHeight="1" s="56">
      <c r="B10" s="19" t="inlineStr">
        <is>
          <t>Project Portfolio (Cost &amp; NPV referenced from PROJECT_DATA)</t>
        </is>
      </c>
      <c r="C10" s="16" t="n"/>
      <c r="D10" s="16" t="n"/>
      <c r="E10" s="16" t="n"/>
      <c r="F10" s="16" t="n"/>
      <c r="G10" s="16" t="n"/>
      <c r="I10" s="13" t="inlineStr">
        <is>
          <t>Projects Selected</t>
        </is>
      </c>
      <c r="J10" s="20">
        <f>C26</f>
        <v/>
      </c>
      <c r="K10" s="13" t="n"/>
      <c r="L10" s="13" t="n"/>
      <c r="M10" s="13" t="n"/>
      <c r="N10" s="13" t="n"/>
    </row>
    <row r="11">
      <c r="B11" s="21" t="inlineStr">
        <is>
          <t>Project</t>
        </is>
      </c>
      <c r="C11" s="21" t="inlineStr">
        <is>
          <t>Cost (₹)</t>
        </is>
      </c>
      <c r="D11" s="21" t="inlineStr">
        <is>
          <t>NPV (₹)</t>
        </is>
      </c>
      <c r="E11" s="21" t="inlineStr">
        <is>
          <t>Select? (0/1)</t>
        </is>
      </c>
      <c r="F11" s="21" t="inlineStr">
        <is>
          <t>Selected Cost (₹)</t>
        </is>
      </c>
      <c r="G11" s="21" t="inlineStr">
        <is>
          <t>Selected NPV (₹)</t>
        </is>
      </c>
    </row>
    <row r="12">
      <c r="B12" s="16" t="inlineStr">
        <is>
          <t>A</t>
        </is>
      </c>
      <c r="C12" s="15">
        <f>VLOOKUP(B12,PROJECT_DATA!$A$8:$C$17,2,FALSE)</f>
        <v/>
      </c>
      <c r="D12" s="15">
        <f>VLOOKUP(B12,PROJECT_DATA!$A$8:$C$17,3,FALSE)</f>
        <v/>
      </c>
      <c r="E12" s="35" t="n">
        <v>1</v>
      </c>
      <c r="F12" s="15">
        <f>C12*E12</f>
        <v/>
      </c>
      <c r="G12" s="15">
        <f>D12*E12</f>
        <v/>
      </c>
      <c r="I12" s="63" t="inlineStr">
        <is>
          <t>CHECKS</t>
        </is>
      </c>
      <c r="J12" s="59" t="n"/>
      <c r="K12" s="59" t="n"/>
      <c r="L12" s="59" t="n"/>
      <c r="M12" s="59" t="n"/>
      <c r="N12" s="60" t="n"/>
    </row>
    <row r="13">
      <c r="B13" s="16" t="inlineStr">
        <is>
          <t>B</t>
        </is>
      </c>
      <c r="C13" s="15">
        <f>VLOOKUP(B13,PROJECT_DATA!$A$8:$C$17,2,FALSE)</f>
        <v/>
      </c>
      <c r="D13" s="15">
        <f>VLOOKUP(B13,PROJECT_DATA!$A$8:$C$17,3,FALSE)</f>
        <v/>
      </c>
      <c r="E13" s="35" t="n">
        <v>1</v>
      </c>
      <c r="F13" s="15">
        <f>C13*E13</f>
        <v/>
      </c>
      <c r="G13" s="15">
        <f>D13*E13</f>
        <v/>
      </c>
      <c r="I13" s="63" t="inlineStr">
        <is>
          <t>Check / Constraint</t>
        </is>
      </c>
      <c r="J13" s="63" t="inlineStr">
        <is>
          <t>Status</t>
        </is>
      </c>
      <c r="K13" s="23" t="n"/>
    </row>
    <row r="14">
      <c r="B14" s="16" t="inlineStr">
        <is>
          <t>C</t>
        </is>
      </c>
      <c r="C14" s="15">
        <f>VLOOKUP(B14,PROJECT_DATA!$A$8:$C$17,2,FALSE)</f>
        <v/>
      </c>
      <c r="D14" s="15">
        <f>VLOOKUP(B14,PROJECT_DATA!$A$8:$C$17,3,FALSE)</f>
        <v/>
      </c>
      <c r="E14" s="35" t="n">
        <v>1</v>
      </c>
      <c r="F14" s="15">
        <f>C14*E14</f>
        <v/>
      </c>
      <c r="G14" s="15">
        <f>D14*E14</f>
        <v/>
      </c>
      <c r="I14" s="23" t="inlineStr">
        <is>
          <t>Budget: Total Cost ≤ Budget</t>
        </is>
      </c>
      <c r="J14" s="23">
        <f>IF($C$23&lt;=$C$5,"OK","Review")</f>
        <v/>
      </c>
      <c r="K14" s="23" t="n"/>
    </row>
    <row r="15" ht="29" customHeight="1" s="56">
      <c r="B15" s="16" t="inlineStr">
        <is>
          <t>D</t>
        </is>
      </c>
      <c r="C15" s="15">
        <f>VLOOKUP(B15,PROJECT_DATA!$A$8:$C$17,2,FALSE)</f>
        <v/>
      </c>
      <c r="D15" s="15">
        <f>VLOOKUP(B15,PROJECT_DATA!$A$8:$C$17,3,FALSE)</f>
        <v/>
      </c>
      <c r="E15" s="35" t="n">
        <v>1</v>
      </c>
      <c r="F15" s="15">
        <f>C15*E15</f>
        <v/>
      </c>
      <c r="G15" s="15">
        <f>D15*E15</f>
        <v/>
      </c>
      <c r="I15" s="23" t="inlineStr">
        <is>
          <t>Binary inputs (0/1) in Select? column</t>
        </is>
      </c>
      <c r="J15" s="23">
        <f>IF(COUNTIF($E$12:$E$21,"&lt;0")+COUNTIF($E$12:$E$21,"&gt;1")=0,"OK","Review")</f>
        <v/>
      </c>
      <c r="K15" s="23" t="n"/>
    </row>
    <row r="16" ht="29" customHeight="1" s="56">
      <c r="B16" s="16" t="inlineStr">
        <is>
          <t>E</t>
        </is>
      </c>
      <c r="C16" s="15">
        <f>VLOOKUP(B16,PROJECT_DATA!$A$8:$C$17,2,FALSE)</f>
        <v/>
      </c>
      <c r="D16" s="15">
        <f>VLOOKUP(B16,PROJECT_DATA!$A$8:$C$17,3,FALSE)</f>
        <v/>
      </c>
      <c r="E16" s="35" t="n">
        <v>1</v>
      </c>
      <c r="F16" s="15">
        <f>C16*E16</f>
        <v/>
      </c>
      <c r="G16" s="15">
        <f>D16*E16</f>
        <v/>
      </c>
      <c r="I16" s="23" t="inlineStr">
        <is>
          <t>Minimum projects selected (SUM E ≥ 5)</t>
        </is>
      </c>
      <c r="J16" s="23">
        <f>IF($C$26&gt;=5,"OK","Review")</f>
        <v/>
      </c>
      <c r="K16" s="23" t="n"/>
    </row>
    <row r="17" ht="29" customHeight="1" s="56">
      <c r="B17" s="16" t="inlineStr">
        <is>
          <t>F</t>
        </is>
      </c>
      <c r="C17" s="15">
        <f>VLOOKUP(B17,PROJECT_DATA!$A$8:$C$17,2,FALSE)</f>
        <v/>
      </c>
      <c r="D17" s="15">
        <f>VLOOKUP(B17,PROJECT_DATA!$A$8:$C$17,3,FALSE)</f>
        <v/>
      </c>
      <c r="E17" s="35" t="n">
        <v>1</v>
      </c>
      <c r="F17" s="15">
        <f>C17*E17</f>
        <v/>
      </c>
      <c r="G17" s="15">
        <f>D17*E17</f>
        <v/>
      </c>
      <c r="I17" s="23" t="inlineStr">
        <is>
          <t>Maximum projects selected (SUM E ≤ 7)</t>
        </is>
      </c>
      <c r="J17" s="23">
        <f>IF($C$26&lt;=7,"OK","Review")</f>
        <v/>
      </c>
      <c r="K17" s="23" t="n"/>
    </row>
    <row r="18" ht="29" customHeight="1" s="56">
      <c r="B18" s="16" t="inlineStr">
        <is>
          <t>G</t>
        </is>
      </c>
      <c r="C18" s="15">
        <f>VLOOKUP(B18,PROJECT_DATA!$A$8:$C$17,2,FALSE)</f>
        <v/>
      </c>
      <c r="D18" s="15">
        <f>VLOOKUP(B18,PROJECT_DATA!$A$8:$C$17,3,FALSE)</f>
        <v/>
      </c>
      <c r="E18" s="35" t="n">
        <v>0</v>
      </c>
      <c r="F18" s="15">
        <f>C18*E18</f>
        <v/>
      </c>
      <c r="G18" s="15">
        <f>D18*E18</f>
        <v/>
      </c>
      <c r="I18" s="23" t="inlineStr">
        <is>
          <t>Mutual inclusion: G → H (EG ≤ EH)</t>
        </is>
      </c>
      <c r="J18" s="23">
        <f>IF($E$18&lt;=$E$19,"OK","Review")</f>
        <v/>
      </c>
      <c r="K18" s="23" t="n"/>
    </row>
    <row r="19">
      <c r="B19" s="16" t="inlineStr">
        <is>
          <t>H</t>
        </is>
      </c>
      <c r="C19" s="15">
        <f>VLOOKUP(B19,PROJECT_DATA!$A$8:$C$17,2,FALSE)</f>
        <v/>
      </c>
      <c r="D19" s="15">
        <f>VLOOKUP(B19,PROJECT_DATA!$A$8:$C$17,3,FALSE)</f>
        <v/>
      </c>
      <c r="E19" s="35" t="n">
        <v>0</v>
      </c>
      <c r="F19" s="15">
        <f>C19*E19</f>
        <v/>
      </c>
      <c r="G19" s="15">
        <f>D19*E19</f>
        <v/>
      </c>
      <c r="I19" s="23" t="n"/>
      <c r="J19" s="23" t="n"/>
      <c r="K19" s="23" t="n"/>
    </row>
    <row r="20">
      <c r="B20" s="16" t="inlineStr">
        <is>
          <t>I</t>
        </is>
      </c>
      <c r="C20" s="15">
        <f>VLOOKUP(B20,PROJECT_DATA!$A$8:$C$17,2,FALSE)</f>
        <v/>
      </c>
      <c r="D20" s="15">
        <f>VLOOKUP(B20,PROJECT_DATA!$A$8:$C$17,3,FALSE)</f>
        <v/>
      </c>
      <c r="E20" s="35" t="n">
        <v>1</v>
      </c>
      <c r="F20" s="15">
        <f>C20*E20</f>
        <v/>
      </c>
      <c r="G20" s="15">
        <f>D20*E20</f>
        <v/>
      </c>
      <c r="I20" s="24" t="inlineStr">
        <is>
          <t>Overall Status (all checks)</t>
        </is>
      </c>
      <c r="J20" s="24">
        <f>IF(COUNTIF($J$14:$J$18,"Review")=0,"OK","Review")</f>
        <v/>
      </c>
      <c r="K20" s="23" t="n"/>
    </row>
    <row r="21">
      <c r="B21" s="16" t="inlineStr">
        <is>
          <t>J</t>
        </is>
      </c>
      <c r="C21" s="15">
        <f>VLOOKUP(B21,PROJECT_DATA!$A$8:$C$17,2,FALSE)</f>
        <v/>
      </c>
      <c r="D21" s="15">
        <f>VLOOKUP(B21,PROJECT_DATA!$A$8:$C$17,3,FALSE)</f>
        <v/>
      </c>
      <c r="E21" s="35" t="n">
        <v>0</v>
      </c>
      <c r="F21" s="15">
        <f>C21*E21</f>
        <v/>
      </c>
      <c r="G21" s="15">
        <f>D21*E21</f>
        <v/>
      </c>
    </row>
    <row r="22">
      <c r="B22" s="58" t="inlineStr">
        <is>
          <t>CALCULATIONS</t>
        </is>
      </c>
      <c r="C22" s="59" t="n"/>
      <c r="D22" s="59" t="n"/>
      <c r="E22" s="59" t="n"/>
      <c r="F22" s="59" t="n"/>
      <c r="G22" s="60" t="n"/>
      <c r="I22" s="61" t="inlineStr">
        <is>
          <t>Solver Setup (enter in Excel Solver)</t>
        </is>
      </c>
    </row>
    <row r="23">
      <c r="B23" s="26" t="inlineStr">
        <is>
          <t>Total Cost (₹)</t>
        </is>
      </c>
      <c r="C23" s="27">
        <f>SUM(F12:F21)</f>
        <v/>
      </c>
      <c r="D23" s="25" t="n"/>
      <c r="E23" s="25" t="n"/>
      <c r="F23" s="25" t="n"/>
      <c r="G23" s="25" t="n"/>
      <c r="I23" s="36" t="inlineStr">
        <is>
          <t>Set Objective</t>
        </is>
      </c>
      <c r="J23" s="37" t="inlineStr">
        <is>
          <t>C24 (Total NPV)</t>
        </is>
      </c>
    </row>
    <row r="24">
      <c r="B24" s="26" t="inlineStr">
        <is>
          <t>Total NPV (₹)</t>
        </is>
      </c>
      <c r="C24" s="27">
        <f>SUM(G12:G21)</f>
        <v/>
      </c>
      <c r="D24" s="25" t="n"/>
      <c r="E24" s="25" t="n"/>
      <c r="F24" s="25" t="n"/>
      <c r="G24" s="25" t="n"/>
      <c r="I24" s="36" t="inlineStr">
        <is>
          <t>To</t>
        </is>
      </c>
      <c r="J24" s="37" t="inlineStr">
        <is>
          <t>Max</t>
        </is>
      </c>
    </row>
    <row r="25">
      <c r="B25" s="26" t="inlineStr">
        <is>
          <t>Budget Slack (₹)</t>
        </is>
      </c>
      <c r="C25" s="27">
        <f>$C$5-$C$23</f>
        <v/>
      </c>
      <c r="D25" s="25" t="n"/>
      <c r="E25" s="25" t="n"/>
      <c r="F25" s="25" t="n"/>
      <c r="G25" s="25" t="n"/>
      <c r="I25" s="36" t="inlineStr">
        <is>
          <t>By Changing Variable Cells</t>
        </is>
      </c>
      <c r="J25" s="37" t="inlineStr">
        <is>
          <t>E12:E21</t>
        </is>
      </c>
    </row>
    <row r="26" ht="29" customHeight="1" s="56">
      <c r="B26" s="26" t="inlineStr">
        <is>
          <t>Projects Selected (count)</t>
        </is>
      </c>
      <c r="C26" s="28">
        <f>SUM(E12:E21)</f>
        <v/>
      </c>
      <c r="D26" s="25" t="n"/>
      <c r="E26" s="25" t="n"/>
      <c r="F26" s="25" t="n"/>
      <c r="G26" s="25" t="n"/>
      <c r="I26" s="36" t="inlineStr">
        <is>
          <t>Constraints (core)</t>
        </is>
      </c>
      <c r="J26" s="37" t="inlineStr">
        <is>
          <t>C23 &lt;= C5; E12:E21 Binary</t>
        </is>
      </c>
    </row>
    <row r="27">
      <c r="B27" s="25" t="n"/>
      <c r="C27" s="25" t="n"/>
      <c r="D27" s="25" t="n"/>
      <c r="E27" s="25" t="n"/>
      <c r="F27" s="25" t="n"/>
      <c r="G27" s="25" t="n"/>
      <c r="I27" s="36" t="inlineStr">
        <is>
          <t>Solving Method</t>
        </is>
      </c>
      <c r="J27" s="37" t="inlineStr">
        <is>
          <t>Simplex LP</t>
        </is>
      </c>
    </row>
    <row r="28" ht="31" customHeight="1" s="56">
      <c r="B28" s="29" t="inlineStr">
        <is>
          <t>Constraint helper calculations</t>
        </is>
      </c>
      <c r="C28" s="25" t="n"/>
      <c r="D28" s="25" t="n"/>
      <c r="E28" s="25" t="n"/>
      <c r="F28" s="25" t="n"/>
      <c r="G28" s="25" t="n"/>
    </row>
    <row r="29">
      <c r="B29" s="26" t="inlineStr">
        <is>
          <t>Cost(ABC)</t>
        </is>
      </c>
      <c r="C29" s="27">
        <f>SUMPRODUCT(--ISNUMBER(MATCH($B$12:$B$21,{"A","B","C"},0)),$C$12:$C$21,$E$12:$E$21)</f>
        <v/>
      </c>
      <c r="D29" s="25" t="n"/>
      <c r="E29" s="25" t="n"/>
      <c r="F29" s="25" t="n"/>
      <c r="G29" s="25" t="n"/>
    </row>
    <row r="30">
      <c r="B30" s="26" t="inlineStr">
        <is>
          <t>Cost(ACF)</t>
        </is>
      </c>
      <c r="C30" s="27">
        <f>SUMPRODUCT(--ISNUMBER(MATCH($B$12:$B$21,{"A","C","F"},0)),$C$12:$C$21,$E$12:$E$21)</f>
        <v/>
      </c>
      <c r="D30" s="25" t="n"/>
      <c r="E30" s="25" t="n"/>
      <c r="F30" s="25" t="n"/>
      <c r="G30" s="25" t="n"/>
    </row>
    <row r="31">
      <c r="B31" s="26" t="inlineStr">
        <is>
          <t>Cost(DEG)</t>
        </is>
      </c>
      <c r="C31" s="27">
        <f>SUMPRODUCT(--ISNUMBER(MATCH($B$12:$B$21,{"D","E","G"},0)),$C$12:$C$21,$E$12:$E$21)</f>
        <v/>
      </c>
      <c r="D31" s="25" t="n"/>
      <c r="E31" s="25" t="n"/>
      <c r="F31" s="25" t="n"/>
      <c r="G31" s="25" t="n"/>
    </row>
    <row r="32" ht="29" customHeight="1" s="56">
      <c r="B32" s="26" t="inlineStr">
        <is>
          <t>High-cost count (Cost&gt;₹7,00,000)</t>
        </is>
      </c>
      <c r="C32" s="25">
        <f>SUMPRODUCT(--($C$12:$C$21&gt;700000),$E$12:$E$21)</f>
        <v/>
      </c>
      <c r="D32" s="25" t="n"/>
      <c r="E32" s="25" t="n"/>
      <c r="F32" s="25" t="n"/>
      <c r="G32" s="25" t="n"/>
    </row>
    <row r="33">
      <c r="B33" s="26" t="inlineStr">
        <is>
          <t>NPV/Cost ratio</t>
        </is>
      </c>
      <c r="C33" s="30">
        <f>IF($C$23=0,"",$C$24/$C$23)</f>
        <v/>
      </c>
      <c r="D33" s="25" t="n"/>
      <c r="E33" s="25" t="n"/>
      <c r="F33" s="25" t="n"/>
      <c r="G33" s="25" t="n"/>
    </row>
    <row r="34">
      <c r="B34" s="25" t="n"/>
      <c r="C34" s="25" t="n"/>
      <c r="D34" s="25" t="n"/>
      <c r="E34" s="25" t="n"/>
      <c r="F34" s="25" t="n"/>
      <c r="G34" s="25" t="n"/>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B22:G22"/>
    <mergeCell ref="I22:N22"/>
    <mergeCell ref="B4:G4"/>
    <mergeCell ref="I12:N12"/>
    <mergeCell ref="I4:N4"/>
    <mergeCell ref="A1:N1"/>
  </mergeCells>
  <hyperlinks>
    <hyperlink ref="A2" location="'INDEX'!A1" display="⬅ Back to Index"/>
  </hyperlink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codeName="Sheet5">
    <outlinePr summaryBelow="1" summaryRight="1"/>
    <pageSetUpPr/>
  </sheetPr>
  <dimension ref="A1:N34"/>
  <sheetViews>
    <sheetView topLeftCell="C12" zoomScaleNormal="100" workbookViewId="0">
      <selection activeCell="A1" sqref="A1:XFD1048576"/>
    </sheetView>
  </sheetViews>
  <sheetFormatPr baseColWidth="8" defaultRowHeight="14.5"/>
  <cols>
    <col width="3" customWidth="1" style="56" min="1" max="1"/>
    <col width="18" customWidth="1" style="56" min="2" max="4"/>
    <col width="12" customWidth="1" style="56" min="5" max="5"/>
    <col width="18" customWidth="1" style="56" min="6" max="7"/>
    <col width="3" customWidth="1" style="56" min="8" max="8"/>
    <col width="28" customWidth="1" style="56" min="9" max="9"/>
    <col width="20" customWidth="1" style="56" min="10" max="12"/>
    <col width="18" customWidth="1" style="56" min="13" max="14"/>
  </cols>
  <sheetData>
    <row r="1">
      <c r="A1" s="55" t="inlineStr">
        <is>
          <t>Caselet 3 – Capital Budgeting Decision at InnovateCorp</t>
        </is>
      </c>
    </row>
    <row r="2">
      <c r="A2" s="11" t="inlineStr">
        <is>
          <t>⬅ Back to Index</t>
        </is>
      </c>
    </row>
    <row r="3"/>
    <row r="4">
      <c r="B4" s="62" t="inlineStr">
        <is>
          <t>INPUTS</t>
        </is>
      </c>
      <c r="C4" s="59" t="n"/>
      <c r="D4" s="59" t="n"/>
      <c r="E4" s="59" t="n"/>
      <c r="F4" s="59" t="n"/>
      <c r="G4" s="60" t="n"/>
      <c r="I4" s="64" t="inlineStr">
        <is>
          <t>OUTPUTS / DECISION</t>
        </is>
      </c>
      <c r="J4" s="59" t="n"/>
      <c r="K4" s="59" t="n"/>
      <c r="L4" s="59" t="n"/>
      <c r="M4" s="59" t="n"/>
      <c r="N4" s="60" t="n"/>
    </row>
    <row r="5" ht="29" customHeight="1" s="56">
      <c r="B5" s="14" t="inlineStr">
        <is>
          <t>Capital Budget (₹)</t>
        </is>
      </c>
      <c r="C5" s="15">
        <f>PROJECT_DATA!$B$5</f>
        <v/>
      </c>
      <c r="D5" s="16" t="n"/>
      <c r="E5" s="14" t="inlineStr">
        <is>
          <t>Low NPV cutoff (₹)</t>
        </is>
      </c>
      <c r="F5" s="15" t="n">
        <v>100000</v>
      </c>
      <c r="G5" s="16" t="n"/>
      <c r="I5" s="17" t="inlineStr">
        <is>
          <t>Key Outputs</t>
        </is>
      </c>
      <c r="J5" s="13" t="n"/>
      <c r="K5" s="13" t="n"/>
      <c r="L5" s="13" t="n"/>
      <c r="M5" s="13" t="n"/>
      <c r="N5" s="13" t="n"/>
    </row>
    <row r="6" ht="29" customHeight="1" s="56">
      <c r="B6" s="14" t="inlineStr">
        <is>
          <t>Objective</t>
        </is>
      </c>
      <c r="C6" s="16" t="inlineStr">
        <is>
          <t>Maximize Total NPV</t>
        </is>
      </c>
      <c r="D6" s="16" t="n"/>
      <c r="E6" s="14" t="inlineStr">
        <is>
          <t>High NPV cutoff (₹)</t>
        </is>
      </c>
      <c r="F6" s="15" t="n">
        <v>200000</v>
      </c>
      <c r="G6" s="16" t="n"/>
      <c r="I6" s="64" t="inlineStr">
        <is>
          <t>Metric</t>
        </is>
      </c>
      <c r="J6" s="64" t="inlineStr">
        <is>
          <t>Value</t>
        </is>
      </c>
      <c r="K6" s="13" t="n"/>
      <c r="L6" s="13" t="n"/>
      <c r="M6" s="13" t="n"/>
      <c r="N6" s="13" t="n"/>
    </row>
    <row r="7" ht="29" customHeight="1" s="56">
      <c r="B7" s="14" t="inlineStr">
        <is>
          <t>Decision variables</t>
        </is>
      </c>
      <c r="C7" s="16" t="inlineStr">
        <is>
          <t>Select? (0/1) for each project</t>
        </is>
      </c>
      <c r="D7" s="16" t="n"/>
      <c r="E7" s="16" t="n"/>
      <c r="F7" s="16" t="n"/>
      <c r="G7" s="16" t="n"/>
      <c r="I7" s="13" t="inlineStr">
        <is>
          <t>Total Cost (₹)</t>
        </is>
      </c>
      <c r="J7" s="18">
        <f>C23</f>
        <v/>
      </c>
      <c r="K7" s="13" t="n"/>
      <c r="L7" s="13" t="n"/>
      <c r="M7" s="13" t="n"/>
      <c r="N7" s="13" t="n"/>
    </row>
    <row r="8" ht="87" customHeight="1" s="56">
      <c r="B8" s="14" t="inlineStr">
        <is>
          <t>Solver note</t>
        </is>
      </c>
      <c r="C8" s="16" t="inlineStr">
        <is>
          <t>Objective: C24 (Total NPV). Variable cells: E12:E21 (Binary). Add constraints in Checks.</t>
        </is>
      </c>
      <c r="D8" s="16" t="n"/>
      <c r="E8" s="16" t="n"/>
      <c r="F8" s="16" t="n"/>
      <c r="G8" s="16" t="n"/>
      <c r="I8" s="13" t="inlineStr">
        <is>
          <t>Total NPV (₹)</t>
        </is>
      </c>
      <c r="J8" s="18">
        <f>C24</f>
        <v/>
      </c>
      <c r="K8" s="13" t="n"/>
      <c r="L8" s="13" t="n"/>
      <c r="M8" s="13" t="n"/>
      <c r="N8" s="13" t="n"/>
    </row>
    <row r="9" ht="101.5" customHeight="1" s="56">
      <c r="B9" s="16" t="n"/>
      <c r="C9" s="34" t="inlineStr">
        <is>
          <t>Pre-filled with an optimal solution (computed and saved). You may re-run Solver after changing any input/constraint.</t>
        </is>
      </c>
      <c r="D9" s="16" t="n"/>
      <c r="E9" s="16" t="n"/>
      <c r="F9" s="16" t="n"/>
      <c r="G9" s="16" t="n"/>
      <c r="I9" s="13" t="inlineStr">
        <is>
          <t>Budget Slack (₹)</t>
        </is>
      </c>
      <c r="J9" s="18">
        <f>C25</f>
        <v/>
      </c>
      <c r="K9" s="13" t="n"/>
      <c r="L9" s="13" t="n"/>
      <c r="M9" s="13" t="n"/>
      <c r="N9" s="13" t="n"/>
    </row>
    <row r="10" ht="62" customHeight="1" s="56">
      <c r="B10" s="19" t="inlineStr">
        <is>
          <t>Project Portfolio (Cost &amp; NPV referenced from PROJECT_DATA)</t>
        </is>
      </c>
      <c r="C10" s="16" t="n"/>
      <c r="D10" s="16" t="n"/>
      <c r="E10" s="16" t="n"/>
      <c r="F10" s="16" t="n"/>
      <c r="G10" s="16" t="n"/>
      <c r="I10" s="13" t="inlineStr">
        <is>
          <t>Projects Selected</t>
        </is>
      </c>
      <c r="J10" s="20">
        <f>C26</f>
        <v/>
      </c>
      <c r="K10" s="13" t="n"/>
      <c r="L10" s="13" t="n"/>
      <c r="M10" s="13" t="n"/>
      <c r="N10" s="13" t="n"/>
    </row>
    <row r="11">
      <c r="B11" s="21" t="inlineStr">
        <is>
          <t>Project</t>
        </is>
      </c>
      <c r="C11" s="21" t="inlineStr">
        <is>
          <t>Cost (₹)</t>
        </is>
      </c>
      <c r="D11" s="21" t="inlineStr">
        <is>
          <t>NPV (₹)</t>
        </is>
      </c>
      <c r="E11" s="21" t="inlineStr">
        <is>
          <t>Select? (0/1)</t>
        </is>
      </c>
      <c r="F11" s="21" t="inlineStr">
        <is>
          <t>Selected Cost (₹)</t>
        </is>
      </c>
      <c r="G11" s="21" t="inlineStr">
        <is>
          <t>Selected NPV (₹)</t>
        </is>
      </c>
    </row>
    <row r="12">
      <c r="B12" s="16" t="inlineStr">
        <is>
          <t>A</t>
        </is>
      </c>
      <c r="C12" s="15">
        <f>VLOOKUP(B12,PROJECT_DATA!$A$8:$C$17,2,FALSE)</f>
        <v/>
      </c>
      <c r="D12" s="15">
        <f>VLOOKUP(B12,PROJECT_DATA!$A$8:$C$17,3,FALSE)</f>
        <v/>
      </c>
      <c r="E12" s="35" t="n">
        <v>1</v>
      </c>
      <c r="F12" s="15">
        <f>C12*E12</f>
        <v/>
      </c>
      <c r="G12" s="15">
        <f>D12*E12</f>
        <v/>
      </c>
      <c r="I12" s="63" t="inlineStr">
        <is>
          <t>CHECKS</t>
        </is>
      </c>
      <c r="J12" s="59" t="n"/>
      <c r="K12" s="59" t="n"/>
      <c r="L12" s="59" t="n"/>
      <c r="M12" s="59" t="n"/>
      <c r="N12" s="60" t="n"/>
    </row>
    <row r="13">
      <c r="B13" s="16" t="inlineStr">
        <is>
          <t>B</t>
        </is>
      </c>
      <c r="C13" s="15">
        <f>VLOOKUP(B13,PROJECT_DATA!$A$8:$C$17,2,FALSE)</f>
        <v/>
      </c>
      <c r="D13" s="15">
        <f>VLOOKUP(B13,PROJECT_DATA!$A$8:$C$17,3,FALSE)</f>
        <v/>
      </c>
      <c r="E13" s="35" t="n">
        <v>1</v>
      </c>
      <c r="F13" s="15">
        <f>C13*E13</f>
        <v/>
      </c>
      <c r="G13" s="15">
        <f>D13*E13</f>
        <v/>
      </c>
      <c r="I13" s="63" t="inlineStr">
        <is>
          <t>Check / Constraint</t>
        </is>
      </c>
      <c r="J13" s="63" t="inlineStr">
        <is>
          <t>Status</t>
        </is>
      </c>
      <c r="K13" s="23" t="n"/>
    </row>
    <row r="14">
      <c r="B14" s="16" t="inlineStr">
        <is>
          <t>C</t>
        </is>
      </c>
      <c r="C14" s="15">
        <f>VLOOKUP(B14,PROJECT_DATA!$A$8:$C$17,2,FALSE)</f>
        <v/>
      </c>
      <c r="D14" s="15">
        <f>VLOOKUP(B14,PROJECT_DATA!$A$8:$C$17,3,FALSE)</f>
        <v/>
      </c>
      <c r="E14" s="35" t="n">
        <v>1</v>
      </c>
      <c r="F14" s="15">
        <f>C14*E14</f>
        <v/>
      </c>
      <c r="G14" s="15">
        <f>D14*E14</f>
        <v/>
      </c>
      <c r="I14" s="23" t="inlineStr">
        <is>
          <t>Budget: Total Cost ≤ Budget</t>
        </is>
      </c>
      <c r="J14" s="23">
        <f>IF($C$23&lt;=$C$5,"OK","Review")</f>
        <v/>
      </c>
      <c r="K14" s="23" t="n"/>
    </row>
    <row r="15" ht="29" customHeight="1" s="56">
      <c r="B15" s="16" t="inlineStr">
        <is>
          <t>D</t>
        </is>
      </c>
      <c r="C15" s="15">
        <f>VLOOKUP(B15,PROJECT_DATA!$A$8:$C$17,2,FALSE)</f>
        <v/>
      </c>
      <c r="D15" s="15">
        <f>VLOOKUP(B15,PROJECT_DATA!$A$8:$C$17,3,FALSE)</f>
        <v/>
      </c>
      <c r="E15" s="35" t="n">
        <v>1</v>
      </c>
      <c r="F15" s="15">
        <f>C15*E15</f>
        <v/>
      </c>
      <c r="G15" s="15">
        <f>D15*E15</f>
        <v/>
      </c>
      <c r="I15" s="23" t="inlineStr">
        <is>
          <t>Binary inputs (0/1) in Select? column</t>
        </is>
      </c>
      <c r="J15" s="23">
        <f>IF(COUNTIF($E$12:$E$21,"&lt;0")+COUNTIF($E$12:$E$21,"&gt;1")=0,"OK","Review")</f>
        <v/>
      </c>
      <c r="K15" s="23" t="n"/>
    </row>
    <row r="16" ht="29" customHeight="1" s="56">
      <c r="B16" s="16" t="inlineStr">
        <is>
          <t>E</t>
        </is>
      </c>
      <c r="C16" s="15">
        <f>VLOOKUP(B16,PROJECT_DATA!$A$8:$C$17,2,FALSE)</f>
        <v/>
      </c>
      <c r="D16" s="15">
        <f>VLOOKUP(B16,PROJECT_DATA!$A$8:$C$17,3,FALSE)</f>
        <v/>
      </c>
      <c r="E16" s="35" t="n">
        <v>1</v>
      </c>
      <c r="F16" s="15">
        <f>C16*E16</f>
        <v/>
      </c>
      <c r="G16" s="15">
        <f>D16*E16</f>
        <v/>
      </c>
      <c r="I16" s="23" t="inlineStr">
        <is>
          <t>Exclude low-NPV projects: NPV &lt; cutoff ⇒ Select = 0</t>
        </is>
      </c>
      <c r="J16" s="31">
        <f>IF(SUMPRODUCT(--($D$12:$D$21&lt;$F$5),$E$12:$E$21)=0,"OK","Review")</f>
        <v/>
      </c>
      <c r="K16" s="23" t="n"/>
    </row>
    <row r="17" ht="29" customHeight="1" s="56">
      <c r="B17" s="16" t="inlineStr">
        <is>
          <t>F</t>
        </is>
      </c>
      <c r="C17" s="15">
        <f>VLOOKUP(B17,PROJECT_DATA!$A$8:$C$17,2,FALSE)</f>
        <v/>
      </c>
      <c r="D17" s="15">
        <f>VLOOKUP(B17,PROJECT_DATA!$A$8:$C$17,3,FALSE)</f>
        <v/>
      </c>
      <c r="E17" s="35" t="n">
        <v>1</v>
      </c>
      <c r="F17" s="15">
        <f>C17*E17</f>
        <v/>
      </c>
      <c r="G17" s="15">
        <f>D17*E17</f>
        <v/>
      </c>
      <c r="I17" s="23" t="inlineStr">
        <is>
          <t>Core group: at least one from A, B, C</t>
        </is>
      </c>
      <c r="J17" s="31">
        <f>IF($E$12+$E$13+$E$14&gt;=1,"OK","Review")</f>
        <v/>
      </c>
      <c r="K17" s="23" t="n"/>
    </row>
    <row r="18" ht="29" customHeight="1" s="56">
      <c r="B18" s="16" t="inlineStr">
        <is>
          <t>G</t>
        </is>
      </c>
      <c r="C18" s="15">
        <f>VLOOKUP(B18,PROJECT_DATA!$A$8:$C$17,2,FALSE)</f>
        <v/>
      </c>
      <c r="D18" s="15">
        <f>VLOOKUP(B18,PROJECT_DATA!$A$8:$C$17,3,FALSE)</f>
        <v/>
      </c>
      <c r="E18" s="35" t="n">
        <v>0</v>
      </c>
      <c r="F18" s="15">
        <f>C18*E18</f>
        <v/>
      </c>
      <c r="G18" s="15">
        <f>D18*E18</f>
        <v/>
      </c>
      <c r="I18" s="23" t="inlineStr">
        <is>
          <t>Include all high-NPV projects (NPV ≥ high cutoff)</t>
        </is>
      </c>
      <c r="J18" s="31">
        <f>IF(SUMPRODUCT(--($D$12:$D$21&gt;=$F$6),$E$12:$E$21)=SUMPRODUCT(--($D$12:$D$21&gt;=$F$6)),"OK","Review")</f>
        <v/>
      </c>
      <c r="K18" s="23" t="n"/>
    </row>
    <row r="19">
      <c r="B19" s="16" t="inlineStr">
        <is>
          <t>H</t>
        </is>
      </c>
      <c r="C19" s="15">
        <f>VLOOKUP(B19,PROJECT_DATA!$A$8:$C$17,2,FALSE)</f>
        <v/>
      </c>
      <c r="D19" s="15">
        <f>VLOOKUP(B19,PROJECT_DATA!$A$8:$C$17,3,FALSE)</f>
        <v/>
      </c>
      <c r="E19" s="35" t="n">
        <v>0</v>
      </c>
      <c r="F19" s="15">
        <f>C19*E19</f>
        <v/>
      </c>
      <c r="G19" s="15">
        <f>D19*E19</f>
        <v/>
      </c>
      <c r="I19" s="23" t="n"/>
      <c r="J19" s="23" t="n"/>
      <c r="K19" s="23" t="n"/>
    </row>
    <row r="20">
      <c r="B20" s="16" t="inlineStr">
        <is>
          <t>I</t>
        </is>
      </c>
      <c r="C20" s="15">
        <f>VLOOKUP(B20,PROJECT_DATA!$A$8:$C$17,2,FALSE)</f>
        <v/>
      </c>
      <c r="D20" s="15">
        <f>VLOOKUP(B20,PROJECT_DATA!$A$8:$C$17,3,FALSE)</f>
        <v/>
      </c>
      <c r="E20" s="35" t="n">
        <v>1</v>
      </c>
      <c r="F20" s="15">
        <f>C20*E20</f>
        <v/>
      </c>
      <c r="G20" s="15">
        <f>D20*E20</f>
        <v/>
      </c>
      <c r="I20" s="24" t="inlineStr">
        <is>
          <t>Overall Status (all checks)</t>
        </is>
      </c>
      <c r="J20" s="24">
        <f>IF(COUNTIF($J$14:$J$18,"Review")=0,"OK","Review")</f>
        <v/>
      </c>
      <c r="K20" s="23" t="n"/>
    </row>
    <row r="21">
      <c r="B21" s="16" t="inlineStr">
        <is>
          <t>J</t>
        </is>
      </c>
      <c r="C21" s="15">
        <f>VLOOKUP(B21,PROJECT_DATA!$A$8:$C$17,2,FALSE)</f>
        <v/>
      </c>
      <c r="D21" s="15">
        <f>VLOOKUP(B21,PROJECT_DATA!$A$8:$C$17,3,FALSE)</f>
        <v/>
      </c>
      <c r="E21" s="35" t="n">
        <v>0</v>
      </c>
      <c r="F21" s="15">
        <f>C21*E21</f>
        <v/>
      </c>
      <c r="G21" s="15">
        <f>D21*E21</f>
        <v/>
      </c>
    </row>
    <row r="22">
      <c r="B22" s="58" t="inlineStr">
        <is>
          <t>CALCULATIONS</t>
        </is>
      </c>
      <c r="C22" s="59" t="n"/>
      <c r="D22" s="59" t="n"/>
      <c r="E22" s="59" t="n"/>
      <c r="F22" s="59" t="n"/>
      <c r="G22" s="60" t="n"/>
      <c r="I22" s="61" t="inlineStr">
        <is>
          <t>Solver Setup (enter in Excel Solver)</t>
        </is>
      </c>
    </row>
    <row r="23">
      <c r="B23" s="26" t="inlineStr">
        <is>
          <t>Total Cost (₹)</t>
        </is>
      </c>
      <c r="C23" s="27">
        <f>SUM(F12:F21)</f>
        <v/>
      </c>
      <c r="D23" s="25" t="n"/>
      <c r="E23" s="25" t="n"/>
      <c r="F23" s="25" t="n"/>
      <c r="G23" s="25" t="n"/>
      <c r="I23" s="36" t="inlineStr">
        <is>
          <t>Set Objective</t>
        </is>
      </c>
      <c r="J23" s="37" t="inlineStr">
        <is>
          <t>C24 (Total NPV)</t>
        </is>
      </c>
    </row>
    <row r="24">
      <c r="B24" s="26" t="inlineStr">
        <is>
          <t>Total NPV (₹)</t>
        </is>
      </c>
      <c r="C24" s="27">
        <f>SUM(G12:G21)</f>
        <v/>
      </c>
      <c r="D24" s="25" t="n"/>
      <c r="E24" s="25" t="n"/>
      <c r="F24" s="25" t="n"/>
      <c r="G24" s="25" t="n"/>
      <c r="I24" s="36" t="inlineStr">
        <is>
          <t>To</t>
        </is>
      </c>
      <c r="J24" s="37" t="inlineStr">
        <is>
          <t>Max</t>
        </is>
      </c>
    </row>
    <row r="25">
      <c r="B25" s="26" t="inlineStr">
        <is>
          <t>Budget Slack (₹)</t>
        </is>
      </c>
      <c r="C25" s="27">
        <f>$C$5-$C$23</f>
        <v/>
      </c>
      <c r="D25" s="25" t="n"/>
      <c r="E25" s="25" t="n"/>
      <c r="F25" s="25" t="n"/>
      <c r="G25" s="25" t="n"/>
      <c r="I25" s="36" t="inlineStr">
        <is>
          <t>By Changing Variable Cells</t>
        </is>
      </c>
      <c r="J25" s="37" t="inlineStr">
        <is>
          <t>E12:E21</t>
        </is>
      </c>
    </row>
    <row r="26" ht="29" customHeight="1" s="56">
      <c r="B26" s="26" t="inlineStr">
        <is>
          <t>Projects Selected (count)</t>
        </is>
      </c>
      <c r="C26" s="28">
        <f>SUM(E12:E21)</f>
        <v/>
      </c>
      <c r="D26" s="25" t="n"/>
      <c r="E26" s="25" t="n"/>
      <c r="F26" s="25" t="n"/>
      <c r="G26" s="25" t="n"/>
      <c r="I26" s="36" t="inlineStr">
        <is>
          <t>Constraints (core)</t>
        </is>
      </c>
      <c r="J26" s="37" t="inlineStr">
        <is>
          <t>C23 &lt;= C5; E12:E21 Binary</t>
        </is>
      </c>
    </row>
    <row r="27">
      <c r="B27" s="25" t="n"/>
      <c r="C27" s="25" t="n"/>
      <c r="D27" s="25" t="n"/>
      <c r="E27" s="25" t="n"/>
      <c r="F27" s="25" t="n"/>
      <c r="G27" s="25" t="n"/>
      <c r="I27" s="36" t="inlineStr">
        <is>
          <t>Solving Method</t>
        </is>
      </c>
      <c r="J27" s="37" t="inlineStr">
        <is>
          <t>Simplex LP</t>
        </is>
      </c>
    </row>
    <row r="28" ht="31" customHeight="1" s="56">
      <c r="B28" s="29" t="inlineStr">
        <is>
          <t>Constraint helper calculations</t>
        </is>
      </c>
      <c r="C28" s="25" t="n"/>
      <c r="D28" s="25" t="n"/>
      <c r="E28" s="25" t="n"/>
      <c r="F28" s="25" t="n"/>
      <c r="G28" s="25" t="n"/>
    </row>
    <row r="29">
      <c r="B29" s="26" t="inlineStr">
        <is>
          <t>Cost(ABC)</t>
        </is>
      </c>
      <c r="C29" s="27">
        <f>SUMPRODUCT(--ISNUMBER(MATCH($B$12:$B$21,{"A","B","C"},0)),$C$12:$C$21,$E$12:$E$21)</f>
        <v/>
      </c>
      <c r="D29" s="25" t="n"/>
      <c r="E29" s="25" t="n"/>
      <c r="F29" s="25" t="n"/>
      <c r="G29" s="25" t="n"/>
    </row>
    <row r="30">
      <c r="B30" s="26" t="inlineStr">
        <is>
          <t>Cost(ACF)</t>
        </is>
      </c>
      <c r="C30" s="27">
        <f>SUMPRODUCT(--ISNUMBER(MATCH($B$12:$B$21,{"A","C","F"},0)),$C$12:$C$21,$E$12:$E$21)</f>
        <v/>
      </c>
      <c r="D30" s="25" t="n"/>
      <c r="E30" s="25" t="n"/>
      <c r="F30" s="25" t="n"/>
      <c r="G30" s="25" t="n"/>
    </row>
    <row r="31">
      <c r="B31" s="26" t="inlineStr">
        <is>
          <t>Cost(DEG)</t>
        </is>
      </c>
      <c r="C31" s="27">
        <f>SUMPRODUCT(--ISNUMBER(MATCH($B$12:$B$21,{"D","E","G"},0)),$C$12:$C$21,$E$12:$E$21)</f>
        <v/>
      </c>
      <c r="D31" s="25" t="n"/>
      <c r="E31" s="25" t="n"/>
      <c r="F31" s="25" t="n"/>
      <c r="G31" s="25" t="n"/>
    </row>
    <row r="32" ht="29" customHeight="1" s="56">
      <c r="B32" s="26" t="inlineStr">
        <is>
          <t>High-cost count (Cost&gt;₹7,00,000)</t>
        </is>
      </c>
      <c r="C32" s="25">
        <f>SUMPRODUCT(--($C$12:$C$21&gt;700000),$E$12:$E$21)</f>
        <v/>
      </c>
      <c r="D32" s="25" t="n"/>
      <c r="E32" s="25" t="n"/>
      <c r="F32" s="25" t="n"/>
      <c r="G32" s="25" t="n"/>
    </row>
    <row r="33">
      <c r="B33" s="26" t="inlineStr">
        <is>
          <t>NPV/Cost ratio</t>
        </is>
      </c>
      <c r="C33" s="30">
        <f>IF($C$23=0,"",$C$24/$C$23)</f>
        <v/>
      </c>
      <c r="D33" s="25" t="n"/>
      <c r="E33" s="25" t="n"/>
      <c r="F33" s="25" t="n"/>
      <c r="G33" s="25" t="n"/>
    </row>
    <row r="34">
      <c r="B34" s="25" t="n"/>
      <c r="C34" s="25" t="n"/>
      <c r="D34" s="25" t="n"/>
      <c r="E34" s="25" t="n"/>
      <c r="F34" s="25" t="n"/>
      <c r="G34" s="25" t="n"/>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B22:G22"/>
    <mergeCell ref="I22:N22"/>
    <mergeCell ref="B4:G4"/>
    <mergeCell ref="I12:N12"/>
    <mergeCell ref="I4:N4"/>
    <mergeCell ref="A1:N1"/>
  </mergeCells>
  <hyperlinks>
    <hyperlink ref="A2" location="'INDEX'!A1" display="⬅ Back to Index"/>
  </hyperlink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codeName="Sheet6">
    <outlinePr summaryBelow="1" summaryRight="1"/>
    <pageSetUpPr/>
  </sheetPr>
  <dimension ref="A1:N34"/>
  <sheetViews>
    <sheetView topLeftCell="A9" zoomScale="70" zoomScaleNormal="70" workbookViewId="0">
      <selection activeCell="A1" sqref="A1:XFD1048576"/>
    </sheetView>
  </sheetViews>
  <sheetFormatPr baseColWidth="8" defaultRowHeight="14.5"/>
  <cols>
    <col width="3" customWidth="1" style="56" min="1" max="1"/>
    <col width="18" customWidth="1" style="56" min="2" max="4"/>
    <col width="12" customWidth="1" style="56" min="5" max="5"/>
    <col width="18" customWidth="1" style="56" min="6" max="7"/>
    <col width="3" customWidth="1" style="56" min="8" max="8"/>
    <col width="28" customWidth="1" style="56" min="9" max="9"/>
    <col width="20" customWidth="1" style="56" min="10" max="12"/>
    <col width="18" customWidth="1" style="56" min="13" max="14"/>
  </cols>
  <sheetData>
    <row r="1">
      <c r="A1" s="55" t="inlineStr">
        <is>
          <t>Caselet 4 – Investment Planning at FutureVision Ltd.</t>
        </is>
      </c>
    </row>
    <row r="2">
      <c r="A2" s="11" t="inlineStr">
        <is>
          <t>⬅ Back to Index</t>
        </is>
      </c>
    </row>
    <row r="3"/>
    <row r="4">
      <c r="B4" s="62" t="inlineStr">
        <is>
          <t>INPUTS</t>
        </is>
      </c>
      <c r="C4" s="59" t="n"/>
      <c r="D4" s="59" t="n"/>
      <c r="E4" s="59" t="n"/>
      <c r="F4" s="59" t="n"/>
      <c r="G4" s="60" t="n"/>
      <c r="I4" s="64" t="inlineStr">
        <is>
          <t>OUTPUTS / DECISION</t>
        </is>
      </c>
      <c r="J4" s="59" t="n"/>
      <c r="K4" s="59" t="n"/>
      <c r="L4" s="59" t="n"/>
      <c r="M4" s="59" t="n"/>
      <c r="N4" s="60" t="n"/>
    </row>
    <row r="5" ht="15.5" customHeight="1" s="56">
      <c r="B5" s="14" t="inlineStr">
        <is>
          <t>Capital Budget (₹)</t>
        </is>
      </c>
      <c r="C5" s="15">
        <f>PROJECT_DATA!$B$5</f>
        <v/>
      </c>
      <c r="D5" s="16" t="n"/>
      <c r="E5" s="16" t="n"/>
      <c r="F5" s="16" t="n"/>
      <c r="G5" s="16" t="n"/>
      <c r="I5" s="17" t="inlineStr">
        <is>
          <t>Key Outputs</t>
        </is>
      </c>
      <c r="J5" s="13" t="n"/>
      <c r="K5" s="13" t="n"/>
      <c r="L5" s="13" t="n"/>
      <c r="M5" s="13" t="n"/>
      <c r="N5" s="13" t="n"/>
    </row>
    <row r="6">
      <c r="B6" s="14" t="inlineStr">
        <is>
          <t>Objective</t>
        </is>
      </c>
      <c r="C6" s="16" t="inlineStr">
        <is>
          <t>Maximize Total NPV</t>
        </is>
      </c>
      <c r="D6" s="16" t="n"/>
      <c r="E6" s="16" t="n"/>
      <c r="F6" s="16" t="n"/>
      <c r="G6" s="16" t="n"/>
      <c r="I6" s="64" t="inlineStr">
        <is>
          <t>Metric</t>
        </is>
      </c>
      <c r="J6" s="64" t="inlineStr">
        <is>
          <t>Value</t>
        </is>
      </c>
      <c r="K6" s="13" t="n"/>
      <c r="L6" s="13" t="n"/>
      <c r="M6" s="13" t="n"/>
      <c r="N6" s="13" t="n"/>
    </row>
    <row r="7" ht="29" customHeight="1" s="56">
      <c r="B7" s="14" t="inlineStr">
        <is>
          <t>Decision variables</t>
        </is>
      </c>
      <c r="C7" s="16" t="inlineStr">
        <is>
          <t>Select? (0/1) for each project</t>
        </is>
      </c>
      <c r="D7" s="16" t="n"/>
      <c r="E7" s="16" t="n"/>
      <c r="F7" s="16" t="n"/>
      <c r="G7" s="16" t="n"/>
      <c r="I7" s="13" t="inlineStr">
        <is>
          <t>Total Cost (₹)</t>
        </is>
      </c>
      <c r="J7" s="18">
        <f>C23</f>
        <v/>
      </c>
      <c r="K7" s="13" t="n"/>
      <c r="L7" s="13" t="n"/>
      <c r="M7" s="13" t="n"/>
      <c r="N7" s="13" t="n"/>
    </row>
    <row r="8" ht="87" customHeight="1" s="56">
      <c r="B8" s="14" t="inlineStr">
        <is>
          <t>Solver note</t>
        </is>
      </c>
      <c r="C8" s="16" t="inlineStr">
        <is>
          <t>Objective: C24 (Total NPV). Variable cells: E12:E21 (Binary). Add constraints in Checks.</t>
        </is>
      </c>
      <c r="D8" s="16" t="n"/>
      <c r="E8" s="16" t="n"/>
      <c r="F8" s="16" t="n"/>
      <c r="G8" s="16" t="n"/>
      <c r="I8" s="13" t="inlineStr">
        <is>
          <t>Total NPV (₹)</t>
        </is>
      </c>
      <c r="J8" s="18">
        <f>C24</f>
        <v/>
      </c>
      <c r="K8" s="13" t="n"/>
      <c r="L8" s="13" t="n"/>
      <c r="M8" s="13" t="n"/>
      <c r="N8" s="13" t="n"/>
    </row>
    <row r="9" ht="101.5" customHeight="1" s="56">
      <c r="B9" s="16" t="n"/>
      <c r="C9" s="34" t="inlineStr">
        <is>
          <t>Pre-filled with an optimal solution (computed and saved). You may re-run Solver after changing any input/constraint.</t>
        </is>
      </c>
      <c r="D9" s="16" t="n"/>
      <c r="E9" s="16" t="n"/>
      <c r="F9" s="16" t="n"/>
      <c r="G9" s="16" t="n"/>
      <c r="I9" s="13" t="inlineStr">
        <is>
          <t>Budget Slack (₹)</t>
        </is>
      </c>
      <c r="J9" s="18">
        <f>C25</f>
        <v/>
      </c>
      <c r="K9" s="13" t="n"/>
      <c r="L9" s="13" t="n"/>
      <c r="M9" s="13" t="n"/>
      <c r="N9" s="13" t="n"/>
    </row>
    <row r="10" ht="62" customHeight="1" s="56">
      <c r="B10" s="19" t="inlineStr">
        <is>
          <t>Project Portfolio (Cost &amp; NPV referenced from PROJECT_DATA)</t>
        </is>
      </c>
      <c r="C10" s="16" t="n"/>
      <c r="D10" s="16" t="n"/>
      <c r="E10" s="16" t="n"/>
      <c r="F10" s="16" t="n"/>
      <c r="G10" s="16" t="n"/>
      <c r="I10" s="13" t="inlineStr">
        <is>
          <t>Projects Selected</t>
        </is>
      </c>
      <c r="J10" s="20">
        <f>C26</f>
        <v/>
      </c>
      <c r="K10" s="13" t="n"/>
      <c r="L10" s="13" t="n"/>
      <c r="M10" s="13" t="n"/>
      <c r="N10" s="13" t="n"/>
    </row>
    <row r="11">
      <c r="B11" s="21" t="inlineStr">
        <is>
          <t>Project</t>
        </is>
      </c>
      <c r="C11" s="21" t="inlineStr">
        <is>
          <t>Cost (₹)</t>
        </is>
      </c>
      <c r="D11" s="21" t="inlineStr">
        <is>
          <t>NPV (₹)</t>
        </is>
      </c>
      <c r="E11" s="21" t="inlineStr">
        <is>
          <t>Select? (0/1)</t>
        </is>
      </c>
      <c r="F11" s="21" t="inlineStr">
        <is>
          <t>Selected Cost (₹)</t>
        </is>
      </c>
      <c r="G11" s="21" t="inlineStr">
        <is>
          <t>Selected NPV (₹)</t>
        </is>
      </c>
    </row>
    <row r="12">
      <c r="B12" s="16" t="inlineStr">
        <is>
          <t>A</t>
        </is>
      </c>
      <c r="C12" s="15">
        <f>VLOOKUP(B12,PROJECT_DATA!$A$8:$C$17,2,FALSE)</f>
        <v/>
      </c>
      <c r="D12" s="15">
        <f>VLOOKUP(B12,PROJECT_DATA!$A$8:$C$17,3,FALSE)</f>
        <v/>
      </c>
      <c r="E12" s="35" t="n">
        <v>1</v>
      </c>
      <c r="F12" s="15">
        <f>C12*E12</f>
        <v/>
      </c>
      <c r="G12" s="15">
        <f>D12*E12</f>
        <v/>
      </c>
      <c r="I12" s="63" t="inlineStr">
        <is>
          <t>CHECKS</t>
        </is>
      </c>
      <c r="J12" s="59" t="n"/>
      <c r="K12" s="59" t="n"/>
      <c r="L12" s="59" t="n"/>
      <c r="M12" s="59" t="n"/>
      <c r="N12" s="60" t="n"/>
    </row>
    <row r="13">
      <c r="B13" s="16" t="inlineStr">
        <is>
          <t>B</t>
        </is>
      </c>
      <c r="C13" s="15">
        <f>VLOOKUP(B13,PROJECT_DATA!$A$8:$C$17,2,FALSE)</f>
        <v/>
      </c>
      <c r="D13" s="15">
        <f>VLOOKUP(B13,PROJECT_DATA!$A$8:$C$17,3,FALSE)</f>
        <v/>
      </c>
      <c r="E13" s="35" t="n">
        <v>1</v>
      </c>
      <c r="F13" s="15">
        <f>C13*E13</f>
        <v/>
      </c>
      <c r="G13" s="15">
        <f>D13*E13</f>
        <v/>
      </c>
      <c r="I13" s="63" t="inlineStr">
        <is>
          <t>Check / Constraint</t>
        </is>
      </c>
      <c r="J13" s="63" t="inlineStr">
        <is>
          <t>Status</t>
        </is>
      </c>
      <c r="K13" s="23" t="n"/>
    </row>
    <row r="14">
      <c r="B14" s="16" t="inlineStr">
        <is>
          <t>C</t>
        </is>
      </c>
      <c r="C14" s="15">
        <f>VLOOKUP(B14,PROJECT_DATA!$A$8:$C$17,2,FALSE)</f>
        <v/>
      </c>
      <c r="D14" s="15">
        <f>VLOOKUP(B14,PROJECT_DATA!$A$8:$C$17,3,FALSE)</f>
        <v/>
      </c>
      <c r="E14" s="35" t="n">
        <v>1</v>
      </c>
      <c r="F14" s="15">
        <f>C14*E14</f>
        <v/>
      </c>
      <c r="G14" s="15">
        <f>D14*E14</f>
        <v/>
      </c>
      <c r="I14" s="23" t="inlineStr">
        <is>
          <t>Budget: Total Cost ≤ Budget</t>
        </is>
      </c>
      <c r="J14" s="23">
        <f>IF($C$23&lt;=$C$5,"OK","Review")</f>
        <v/>
      </c>
      <c r="K14" s="23" t="n"/>
    </row>
    <row r="15" ht="29" customHeight="1" s="56">
      <c r="B15" s="16" t="inlineStr">
        <is>
          <t>D</t>
        </is>
      </c>
      <c r="C15" s="15">
        <f>VLOOKUP(B15,PROJECT_DATA!$A$8:$C$17,2,FALSE)</f>
        <v/>
      </c>
      <c r="D15" s="15">
        <f>VLOOKUP(B15,PROJECT_DATA!$A$8:$C$17,3,FALSE)</f>
        <v/>
      </c>
      <c r="E15" s="35" t="n">
        <v>1</v>
      </c>
      <c r="F15" s="15">
        <f>C15*E15</f>
        <v/>
      </c>
      <c r="G15" s="15">
        <f>D15*E15</f>
        <v/>
      </c>
      <c r="I15" s="23" t="inlineStr">
        <is>
          <t>Binary inputs (0/1) in Select? column</t>
        </is>
      </c>
      <c r="J15" s="23">
        <f>IF(COUNTIF($E$12:$E$21,"&lt;0")+COUNTIF($E$12:$E$21,"&gt;1")=0,"OK","Review")</f>
        <v/>
      </c>
      <c r="K15" s="23" t="n"/>
    </row>
    <row r="16">
      <c r="B16" s="16" t="inlineStr">
        <is>
          <t>E</t>
        </is>
      </c>
      <c r="C16" s="15">
        <f>VLOOKUP(B16,PROJECT_DATA!$A$8:$C$17,2,FALSE)</f>
        <v/>
      </c>
      <c r="D16" s="15">
        <f>VLOOKUP(B16,PROJECT_DATA!$A$8:$C$17,3,FALSE)</f>
        <v/>
      </c>
      <c r="E16" s="35" t="n">
        <v>0</v>
      </c>
      <c r="F16" s="15">
        <f>C16*E16</f>
        <v/>
      </c>
      <c r="G16" s="15">
        <f>D16*E16</f>
        <v/>
      </c>
      <c r="I16" s="23" t="inlineStr">
        <is>
          <t>Pairing: A → C (EA ≤ EC)</t>
        </is>
      </c>
      <c r="J16" s="23">
        <f>IF($E$12&lt;=$E$14,"OK","Review")</f>
        <v/>
      </c>
      <c r="K16" s="23" t="n"/>
    </row>
    <row r="17" ht="29" customHeight="1" s="56">
      <c r="B17" s="16" t="inlineStr">
        <is>
          <t>F</t>
        </is>
      </c>
      <c r="C17" s="15">
        <f>VLOOKUP(B17,PROJECT_DATA!$A$8:$C$17,2,FALSE)</f>
        <v/>
      </c>
      <c r="D17" s="15">
        <f>VLOOKUP(B17,PROJECT_DATA!$A$8:$C$17,3,FALSE)</f>
        <v/>
      </c>
      <c r="E17" s="35" t="n">
        <v>1</v>
      </c>
      <c r="F17" s="15">
        <f>C17*E17</f>
        <v/>
      </c>
      <c r="G17" s="15">
        <f>D17*E17</f>
        <v/>
      </c>
      <c r="I17" s="23" t="inlineStr">
        <is>
          <t>Group cap: Cost(A,B,C) ≤ ₹25,00,000</t>
        </is>
      </c>
      <c r="J17" s="23">
        <f>IF($C$29&lt;=2500000,"OK","Review")</f>
        <v/>
      </c>
      <c r="K17" s="23" t="n"/>
    </row>
    <row r="18">
      <c r="B18" s="16" t="inlineStr">
        <is>
          <t>G</t>
        </is>
      </c>
      <c r="C18" s="15">
        <f>VLOOKUP(B18,PROJECT_DATA!$A$8:$C$17,2,FALSE)</f>
        <v/>
      </c>
      <c r="D18" s="15">
        <f>VLOOKUP(B18,PROJECT_DATA!$A$8:$C$17,3,FALSE)</f>
        <v/>
      </c>
      <c r="E18" s="35" t="n">
        <v>0</v>
      </c>
      <c r="F18" s="15">
        <f>C18*E18</f>
        <v/>
      </c>
      <c r="G18" s="15">
        <f>D18*E18</f>
        <v/>
      </c>
      <c r="I18" s="23" t="n"/>
      <c r="J18" s="23" t="n"/>
      <c r="K18" s="23" t="n"/>
    </row>
    <row r="19">
      <c r="B19" s="16" t="inlineStr">
        <is>
          <t>H</t>
        </is>
      </c>
      <c r="C19" s="15">
        <f>VLOOKUP(B19,PROJECT_DATA!$A$8:$C$17,2,FALSE)</f>
        <v/>
      </c>
      <c r="D19" s="15">
        <f>VLOOKUP(B19,PROJECT_DATA!$A$8:$C$17,3,FALSE)</f>
        <v/>
      </c>
      <c r="E19" s="35" t="n">
        <v>1</v>
      </c>
      <c r="F19" s="15">
        <f>C19*E19</f>
        <v/>
      </c>
      <c r="G19" s="15">
        <f>D19*E19</f>
        <v/>
      </c>
      <c r="I19" s="23" t="n"/>
      <c r="J19" s="23" t="n"/>
      <c r="K19" s="23" t="n"/>
    </row>
    <row r="20">
      <c r="B20" s="16" t="inlineStr">
        <is>
          <t>I</t>
        </is>
      </c>
      <c r="C20" s="15">
        <f>VLOOKUP(B20,PROJECT_DATA!$A$8:$C$17,2,FALSE)</f>
        <v/>
      </c>
      <c r="D20" s="15">
        <f>VLOOKUP(B20,PROJECT_DATA!$A$8:$C$17,3,FALSE)</f>
        <v/>
      </c>
      <c r="E20" s="35" t="n">
        <v>1</v>
      </c>
      <c r="F20" s="15">
        <f>C20*E20</f>
        <v/>
      </c>
      <c r="G20" s="15">
        <f>D20*E20</f>
        <v/>
      </c>
      <c r="I20" s="24" t="inlineStr">
        <is>
          <t>Overall Status (all checks)</t>
        </is>
      </c>
      <c r="J20" s="24">
        <f>IF(COUNTIF($J$14:$J$17,"Review")=0,"OK","Review")</f>
        <v/>
      </c>
      <c r="K20" s="23" t="n"/>
    </row>
    <row r="21">
      <c r="B21" s="16" t="inlineStr">
        <is>
          <t>J</t>
        </is>
      </c>
      <c r="C21" s="15">
        <f>VLOOKUP(B21,PROJECT_DATA!$A$8:$C$17,2,FALSE)</f>
        <v/>
      </c>
      <c r="D21" s="15">
        <f>VLOOKUP(B21,PROJECT_DATA!$A$8:$C$17,3,FALSE)</f>
        <v/>
      </c>
      <c r="E21" s="35" t="n">
        <v>1</v>
      </c>
      <c r="F21" s="15">
        <f>C21*E21</f>
        <v/>
      </c>
      <c r="G21" s="15">
        <f>D21*E21</f>
        <v/>
      </c>
    </row>
    <row r="22">
      <c r="B22" s="58" t="inlineStr">
        <is>
          <t>CALCULATIONS</t>
        </is>
      </c>
      <c r="C22" s="59" t="n"/>
      <c r="D22" s="59" t="n"/>
      <c r="E22" s="59" t="n"/>
      <c r="F22" s="59" t="n"/>
      <c r="G22" s="60" t="n"/>
      <c r="I22" s="61" t="inlineStr">
        <is>
          <t>Solver Setup (enter in Excel Solver)</t>
        </is>
      </c>
    </row>
    <row r="23">
      <c r="B23" s="26" t="inlineStr">
        <is>
          <t>Total Cost (₹)</t>
        </is>
      </c>
      <c r="C23" s="27">
        <f>SUM(F12:F21)</f>
        <v/>
      </c>
      <c r="D23" s="25" t="n"/>
      <c r="E23" s="25" t="n"/>
      <c r="F23" s="25" t="n"/>
      <c r="G23" s="25" t="n"/>
      <c r="I23" s="36" t="inlineStr">
        <is>
          <t>Set Objective</t>
        </is>
      </c>
      <c r="J23" s="37" t="inlineStr">
        <is>
          <t>C24 (Total NPV)</t>
        </is>
      </c>
    </row>
    <row r="24">
      <c r="B24" s="26" t="inlineStr">
        <is>
          <t>Total NPV (₹)</t>
        </is>
      </c>
      <c r="C24" s="27">
        <f>SUM(G12:G21)</f>
        <v/>
      </c>
      <c r="D24" s="25" t="n"/>
      <c r="E24" s="25" t="n"/>
      <c r="F24" s="25" t="n"/>
      <c r="G24" s="25" t="n"/>
      <c r="I24" s="36" t="inlineStr">
        <is>
          <t>To</t>
        </is>
      </c>
      <c r="J24" s="37" t="inlineStr">
        <is>
          <t>Max</t>
        </is>
      </c>
    </row>
    <row r="25">
      <c r="B25" s="26" t="inlineStr">
        <is>
          <t>Budget Slack (₹)</t>
        </is>
      </c>
      <c r="C25" s="27">
        <f>$C$5-$C$23</f>
        <v/>
      </c>
      <c r="D25" s="25" t="n"/>
      <c r="E25" s="25" t="n"/>
      <c r="F25" s="25" t="n"/>
      <c r="G25" s="25" t="n"/>
      <c r="I25" s="36" t="inlineStr">
        <is>
          <t>By Changing Variable Cells</t>
        </is>
      </c>
      <c r="J25" s="37" t="inlineStr">
        <is>
          <t>E12:E21</t>
        </is>
      </c>
    </row>
    <row r="26" ht="29" customHeight="1" s="56">
      <c r="B26" s="26" t="inlineStr">
        <is>
          <t>Projects Selected (count)</t>
        </is>
      </c>
      <c r="C26" s="28">
        <f>SUM(E12:E21)</f>
        <v/>
      </c>
      <c r="D26" s="25" t="n"/>
      <c r="E26" s="25" t="n"/>
      <c r="F26" s="25" t="n"/>
      <c r="G26" s="25" t="n"/>
      <c r="I26" s="36" t="inlineStr">
        <is>
          <t>Constraints (core)</t>
        </is>
      </c>
      <c r="J26" s="37" t="inlineStr">
        <is>
          <t>C23 &lt;= C5; E12:E21 Binary</t>
        </is>
      </c>
    </row>
    <row r="27">
      <c r="B27" s="25" t="n"/>
      <c r="C27" s="25" t="n"/>
      <c r="D27" s="25" t="n"/>
      <c r="E27" s="25" t="n"/>
      <c r="F27" s="25" t="n"/>
      <c r="G27" s="25" t="n"/>
      <c r="I27" s="36" t="inlineStr">
        <is>
          <t>Solving Method</t>
        </is>
      </c>
      <c r="J27" s="37" t="inlineStr">
        <is>
          <t>Simplex LP</t>
        </is>
      </c>
    </row>
    <row r="28" ht="31" customHeight="1" s="56">
      <c r="B28" s="29" t="inlineStr">
        <is>
          <t>Constraint helper calculations</t>
        </is>
      </c>
      <c r="C28" s="25" t="n"/>
      <c r="D28" s="25" t="n"/>
      <c r="E28" s="25" t="n"/>
      <c r="F28" s="25" t="n"/>
      <c r="G28" s="25" t="n"/>
    </row>
    <row r="29">
      <c r="B29" s="26" t="inlineStr">
        <is>
          <t>Cost(ABC)</t>
        </is>
      </c>
      <c r="C29" s="27">
        <f>SUMPRODUCT(--ISNUMBER(MATCH($B$12:$B$21,{"A","B","C"},0)),$C$12:$C$21,$E$12:$E$21)</f>
        <v/>
      </c>
      <c r="D29" s="25" t="n"/>
      <c r="E29" s="25" t="n"/>
      <c r="F29" s="25" t="n"/>
      <c r="G29" s="25" t="n"/>
    </row>
    <row r="30">
      <c r="B30" s="26" t="inlineStr">
        <is>
          <t>Cost(ACF)</t>
        </is>
      </c>
      <c r="C30" s="27">
        <f>SUMPRODUCT(--ISNUMBER(MATCH($B$12:$B$21,{"A","C","F"},0)),$C$12:$C$21,$E$12:$E$21)</f>
        <v/>
      </c>
      <c r="D30" s="25" t="n"/>
      <c r="E30" s="25" t="n"/>
      <c r="F30" s="25" t="n"/>
      <c r="G30" s="25" t="n"/>
    </row>
    <row r="31">
      <c r="B31" s="26" t="inlineStr">
        <is>
          <t>Cost(DEG)</t>
        </is>
      </c>
      <c r="C31" s="27">
        <f>SUMPRODUCT(--ISNUMBER(MATCH($B$12:$B$21,{"D","E","G"},0)),$C$12:$C$21,$E$12:$E$21)</f>
        <v/>
      </c>
      <c r="D31" s="25" t="n"/>
      <c r="E31" s="25" t="n"/>
      <c r="F31" s="25" t="n"/>
      <c r="G31" s="25" t="n"/>
    </row>
    <row r="32" ht="29" customHeight="1" s="56">
      <c r="B32" s="26" t="inlineStr">
        <is>
          <t>High-cost count (Cost&gt;₹7,00,000)</t>
        </is>
      </c>
      <c r="C32" s="25">
        <f>SUMPRODUCT(--($C$12:$C$21&gt;700000),$E$12:$E$21)</f>
        <v/>
      </c>
      <c r="D32" s="25" t="n"/>
      <c r="E32" s="25" t="n"/>
      <c r="F32" s="25" t="n"/>
      <c r="G32" s="25" t="n"/>
    </row>
    <row r="33">
      <c r="B33" s="26" t="inlineStr">
        <is>
          <t>NPV/Cost ratio</t>
        </is>
      </c>
      <c r="C33" s="30">
        <f>IF($C$23=0,"",$C$24/$C$23)</f>
        <v/>
      </c>
      <c r="D33" s="25" t="n"/>
      <c r="E33" s="25" t="n"/>
      <c r="F33" s="25" t="n"/>
      <c r="G33" s="25" t="n"/>
    </row>
    <row r="34">
      <c r="B34" s="25" t="n"/>
      <c r="C34" s="25" t="n"/>
      <c r="D34" s="25" t="n"/>
      <c r="E34" s="25" t="n"/>
      <c r="F34" s="25" t="n"/>
      <c r="G34" s="25" t="n"/>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B22:G22"/>
    <mergeCell ref="I22:N22"/>
    <mergeCell ref="B4:G4"/>
    <mergeCell ref="I12:N12"/>
    <mergeCell ref="I4:N4"/>
    <mergeCell ref="A1:N1"/>
  </mergeCells>
  <hyperlinks>
    <hyperlink ref="A2" location="'INDEX'!A1" display="⬅ Back to Index"/>
  </hyperlink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codeName="Sheet7">
    <outlinePr summaryBelow="1" summaryRight="1"/>
    <pageSetUpPr/>
  </sheetPr>
  <dimension ref="A1:N34"/>
  <sheetViews>
    <sheetView topLeftCell="A13" workbookViewId="0">
      <selection activeCell="A1" sqref="A1:XFD1048576"/>
    </sheetView>
  </sheetViews>
  <sheetFormatPr baseColWidth="8" defaultRowHeight="14.5"/>
  <cols>
    <col width="3" customWidth="1" style="56" min="1" max="1"/>
    <col width="18" customWidth="1" style="56" min="2" max="4"/>
    <col width="12" customWidth="1" style="56" min="5" max="5"/>
    <col width="18" customWidth="1" style="56" min="6" max="7"/>
    <col width="3" customWidth="1" style="56" min="8" max="8"/>
    <col width="28" customWidth="1" style="56" min="9" max="9"/>
    <col width="20" customWidth="1" style="56" min="10" max="12"/>
    <col width="18" customWidth="1" style="56" min="13" max="14"/>
  </cols>
  <sheetData>
    <row r="1">
      <c r="A1" s="55" t="inlineStr">
        <is>
          <t>Caselet 5 – Portfolio Optimization at VisionNext Ltd.</t>
        </is>
      </c>
    </row>
    <row r="2">
      <c r="A2" s="11" t="inlineStr">
        <is>
          <t>⬅ Back to Index</t>
        </is>
      </c>
    </row>
    <row r="3"/>
    <row r="4">
      <c r="B4" s="62" t="inlineStr">
        <is>
          <t>INPUTS</t>
        </is>
      </c>
      <c r="C4" s="59" t="n"/>
      <c r="D4" s="59" t="n"/>
      <c r="E4" s="59" t="n"/>
      <c r="F4" s="59" t="n"/>
      <c r="G4" s="60" t="n"/>
      <c r="I4" s="64" t="inlineStr">
        <is>
          <t>OUTPUTS / DECISION</t>
        </is>
      </c>
      <c r="J4" s="59" t="n"/>
      <c r="K4" s="59" t="n"/>
      <c r="L4" s="59" t="n"/>
      <c r="M4" s="59" t="n"/>
      <c r="N4" s="60" t="n"/>
    </row>
    <row r="5" ht="43.5" customHeight="1" s="56">
      <c r="B5" s="14" t="inlineStr">
        <is>
          <t>Capital Budget (₹)</t>
        </is>
      </c>
      <c r="C5" s="15">
        <f>PROJECT_DATA!$B$5</f>
        <v/>
      </c>
      <c r="D5" s="16" t="n"/>
      <c r="E5" s="14" t="inlineStr">
        <is>
          <t>Minimum NPV threshold (₹)</t>
        </is>
      </c>
      <c r="F5" s="15" t="n">
        <v>120000</v>
      </c>
      <c r="G5" s="16" t="n"/>
      <c r="I5" s="17" t="inlineStr">
        <is>
          <t>Key Outputs</t>
        </is>
      </c>
      <c r="J5" s="13" t="n"/>
      <c r="K5" s="13" t="n"/>
      <c r="L5" s="13" t="n"/>
      <c r="M5" s="13" t="n"/>
      <c r="N5" s="13" t="n"/>
    </row>
    <row r="6">
      <c r="B6" s="14" t="inlineStr">
        <is>
          <t>Objective</t>
        </is>
      </c>
      <c r="C6" s="16" t="inlineStr">
        <is>
          <t>Maximize Total NPV</t>
        </is>
      </c>
      <c r="D6" s="16" t="n"/>
      <c r="E6" s="16" t="n"/>
      <c r="F6" s="16" t="n"/>
      <c r="G6" s="16" t="n"/>
      <c r="I6" s="64" t="inlineStr">
        <is>
          <t>Metric</t>
        </is>
      </c>
      <c r="J6" s="64" t="inlineStr">
        <is>
          <t>Value</t>
        </is>
      </c>
      <c r="K6" s="13" t="n"/>
      <c r="L6" s="13" t="n"/>
      <c r="M6" s="13" t="n"/>
      <c r="N6" s="13" t="n"/>
    </row>
    <row r="7" ht="29" customHeight="1" s="56">
      <c r="B7" s="14" t="inlineStr">
        <is>
          <t>Decision variables</t>
        </is>
      </c>
      <c r="C7" s="16" t="inlineStr">
        <is>
          <t>Select? (0/1) for each project</t>
        </is>
      </c>
      <c r="D7" s="16" t="n"/>
      <c r="E7" s="16" t="n"/>
      <c r="F7" s="16" t="n"/>
      <c r="G7" s="16" t="n"/>
      <c r="I7" s="13" t="inlineStr">
        <is>
          <t>Total Cost (₹)</t>
        </is>
      </c>
      <c r="J7" s="18">
        <f>C23</f>
        <v/>
      </c>
      <c r="K7" s="13" t="n"/>
      <c r="L7" s="13" t="n"/>
      <c r="M7" s="13" t="n"/>
      <c r="N7" s="13" t="n"/>
    </row>
    <row r="8" ht="87" customHeight="1" s="56">
      <c r="B8" s="14" t="inlineStr">
        <is>
          <t>Solver note</t>
        </is>
      </c>
      <c r="C8" s="16" t="inlineStr">
        <is>
          <t>Objective: C24 (Total NPV). Variable cells: E12:E21 (Binary). Add constraints in Checks.</t>
        </is>
      </c>
      <c r="D8" s="16" t="n"/>
      <c r="E8" s="16" t="n"/>
      <c r="F8" s="16" t="n"/>
      <c r="G8" s="16" t="n"/>
      <c r="I8" s="13" t="inlineStr">
        <is>
          <t>Total NPV (₹)</t>
        </is>
      </c>
      <c r="J8" s="18">
        <f>C24</f>
        <v/>
      </c>
      <c r="K8" s="13" t="n"/>
      <c r="L8" s="13" t="n"/>
      <c r="M8" s="13" t="n"/>
      <c r="N8" s="13" t="n"/>
    </row>
    <row r="9" ht="101.5" customHeight="1" s="56">
      <c r="B9" s="16" t="n"/>
      <c r="C9" s="34" t="inlineStr">
        <is>
          <t>Pre-filled with an optimal solution (computed and saved). You may re-run Solver after changing any input/constraint.</t>
        </is>
      </c>
      <c r="D9" s="16" t="n"/>
      <c r="E9" s="16" t="n"/>
      <c r="F9" s="16" t="n"/>
      <c r="G9" s="16" t="n"/>
      <c r="I9" s="13" t="inlineStr">
        <is>
          <t>Budget Slack (₹)</t>
        </is>
      </c>
      <c r="J9" s="18">
        <f>C25</f>
        <v/>
      </c>
      <c r="K9" s="13" t="n"/>
      <c r="L9" s="13" t="n"/>
      <c r="M9" s="13" t="n"/>
      <c r="N9" s="13" t="n"/>
    </row>
    <row r="10" ht="62" customHeight="1" s="56">
      <c r="B10" s="19" t="inlineStr">
        <is>
          <t>Project Portfolio (Cost &amp; NPV referenced from PROJECT_DATA)</t>
        </is>
      </c>
      <c r="C10" s="16" t="n"/>
      <c r="D10" s="16" t="n"/>
      <c r="E10" s="16" t="n"/>
      <c r="F10" s="16" t="n"/>
      <c r="G10" s="16" t="n"/>
      <c r="I10" s="13" t="inlineStr">
        <is>
          <t>Projects Selected</t>
        </is>
      </c>
      <c r="J10" s="20">
        <f>C26</f>
        <v/>
      </c>
      <c r="K10" s="13" t="n"/>
      <c r="L10" s="13" t="n"/>
      <c r="M10" s="13" t="n"/>
      <c r="N10" s="13" t="n"/>
    </row>
    <row r="11">
      <c r="B11" s="21" t="inlineStr">
        <is>
          <t>Project</t>
        </is>
      </c>
      <c r="C11" s="21" t="inlineStr">
        <is>
          <t>Cost (₹)</t>
        </is>
      </c>
      <c r="D11" s="21" t="inlineStr">
        <is>
          <t>NPV (₹)</t>
        </is>
      </c>
      <c r="E11" s="21" t="inlineStr">
        <is>
          <t>Select? (0/1)</t>
        </is>
      </c>
      <c r="F11" s="21" t="inlineStr">
        <is>
          <t>Selected Cost (₹)</t>
        </is>
      </c>
      <c r="G11" s="21" t="inlineStr">
        <is>
          <t>Selected NPV (₹)</t>
        </is>
      </c>
    </row>
    <row r="12">
      <c r="B12" s="16" t="inlineStr">
        <is>
          <t>A</t>
        </is>
      </c>
      <c r="C12" s="15">
        <f>VLOOKUP(B12,PROJECT_DATA!$A$8:$C$17,2,FALSE)</f>
        <v/>
      </c>
      <c r="D12" s="15">
        <f>VLOOKUP(B12,PROJECT_DATA!$A$8:$C$17,3,FALSE)</f>
        <v/>
      </c>
      <c r="E12" s="35" t="n">
        <v>1</v>
      </c>
      <c r="F12" s="15">
        <f>C12*E12</f>
        <v/>
      </c>
      <c r="G12" s="15">
        <f>D12*E12</f>
        <v/>
      </c>
      <c r="I12" s="63" t="inlineStr">
        <is>
          <t>CHECKS</t>
        </is>
      </c>
      <c r="J12" s="59" t="n"/>
      <c r="K12" s="59" t="n"/>
      <c r="L12" s="59" t="n"/>
      <c r="M12" s="59" t="n"/>
      <c r="N12" s="60" t="n"/>
    </row>
    <row r="13">
      <c r="B13" s="16" t="inlineStr">
        <is>
          <t>B</t>
        </is>
      </c>
      <c r="C13" s="15">
        <f>VLOOKUP(B13,PROJECT_DATA!$A$8:$C$17,2,FALSE)</f>
        <v/>
      </c>
      <c r="D13" s="15">
        <f>VLOOKUP(B13,PROJECT_DATA!$A$8:$C$17,3,FALSE)</f>
        <v/>
      </c>
      <c r="E13" s="35" t="n">
        <v>1</v>
      </c>
      <c r="F13" s="15">
        <f>C13*E13</f>
        <v/>
      </c>
      <c r="G13" s="15">
        <f>D13*E13</f>
        <v/>
      </c>
      <c r="I13" s="63" t="inlineStr">
        <is>
          <t>Check / Constraint</t>
        </is>
      </c>
      <c r="J13" s="63" t="inlineStr">
        <is>
          <t>Status</t>
        </is>
      </c>
      <c r="K13" s="23" t="n"/>
    </row>
    <row r="14">
      <c r="B14" s="16" t="inlineStr">
        <is>
          <t>C</t>
        </is>
      </c>
      <c r="C14" s="15">
        <f>VLOOKUP(B14,PROJECT_DATA!$A$8:$C$17,2,FALSE)</f>
        <v/>
      </c>
      <c r="D14" s="15">
        <f>VLOOKUP(B14,PROJECT_DATA!$A$8:$C$17,3,FALSE)</f>
        <v/>
      </c>
      <c r="E14" s="35" t="n">
        <v>1</v>
      </c>
      <c r="F14" s="15">
        <f>C14*E14</f>
        <v/>
      </c>
      <c r="G14" s="15">
        <f>D14*E14</f>
        <v/>
      </c>
      <c r="I14" s="23" t="inlineStr">
        <is>
          <t>Budget: Total Cost ≤ Budget</t>
        </is>
      </c>
      <c r="J14" s="23">
        <f>IF($C$23&lt;=$C$5,"OK","Review")</f>
        <v/>
      </c>
      <c r="K14" s="23" t="n"/>
    </row>
    <row r="15" ht="29" customHeight="1" s="56">
      <c r="B15" s="16" t="inlineStr">
        <is>
          <t>D</t>
        </is>
      </c>
      <c r="C15" s="15">
        <f>VLOOKUP(B15,PROJECT_DATA!$A$8:$C$17,2,FALSE)</f>
        <v/>
      </c>
      <c r="D15" s="15">
        <f>VLOOKUP(B15,PROJECT_DATA!$A$8:$C$17,3,FALSE)</f>
        <v/>
      </c>
      <c r="E15" s="35" t="n">
        <v>1</v>
      </c>
      <c r="F15" s="15">
        <f>C15*E15</f>
        <v/>
      </c>
      <c r="G15" s="15">
        <f>D15*E15</f>
        <v/>
      </c>
      <c r="I15" s="23" t="inlineStr">
        <is>
          <t>Binary inputs (0/1) in Select? column</t>
        </is>
      </c>
      <c r="J15" s="23">
        <f>IF(COUNTIF($E$12:$E$21,"&lt;0")+COUNTIF($E$12:$E$21,"&gt;1")=0,"OK","Review")</f>
        <v/>
      </c>
      <c r="K15" s="23" t="n"/>
    </row>
    <row r="16" ht="29" customHeight="1" s="56">
      <c r="B16" s="16" t="inlineStr">
        <is>
          <t>E</t>
        </is>
      </c>
      <c r="C16" s="15">
        <f>VLOOKUP(B16,PROJECT_DATA!$A$8:$C$17,2,FALSE)</f>
        <v/>
      </c>
      <c r="D16" s="15">
        <f>VLOOKUP(B16,PROJECT_DATA!$A$8:$C$17,3,FALSE)</f>
        <v/>
      </c>
      <c r="E16" s="35" t="n">
        <v>0</v>
      </c>
      <c r="F16" s="15">
        <f>C16*E16</f>
        <v/>
      </c>
      <c r="G16" s="15">
        <f>D16*E16</f>
        <v/>
      </c>
      <c r="I16" s="23" t="inlineStr">
        <is>
          <t>NPV threshold: if NPV &lt; threshold then Select = 0</t>
        </is>
      </c>
      <c r="J16" s="31">
        <f>IF(SUMPRODUCT(--($D$12:$D$21&lt;$F$5),$E$12:$E$21)=0,"OK","Review")</f>
        <v/>
      </c>
      <c r="K16" s="23" t="n"/>
    </row>
    <row r="17" ht="29" customHeight="1" s="56">
      <c r="B17" s="16" t="inlineStr">
        <is>
          <t>F</t>
        </is>
      </c>
      <c r="C17" s="15">
        <f>VLOOKUP(B17,PROJECT_DATA!$A$8:$C$17,2,FALSE)</f>
        <v/>
      </c>
      <c r="D17" s="15">
        <f>VLOOKUP(B17,PROJECT_DATA!$A$8:$C$17,3,FALSE)</f>
        <v/>
      </c>
      <c r="E17" s="35" t="n">
        <v>1</v>
      </c>
      <c r="F17" s="15">
        <f>C17*E17</f>
        <v/>
      </c>
      <c r="G17" s="15">
        <f>D17*E17</f>
        <v/>
      </c>
      <c r="I17" s="23" t="inlineStr">
        <is>
          <t>Min high-cost projects: count(Cost&gt;₹7,00,000) ≥ 2</t>
        </is>
      </c>
      <c r="J17" s="31">
        <f>IF($C$32&gt;=2,"OK","Review")</f>
        <v/>
      </c>
      <c r="K17" s="23" t="n"/>
    </row>
    <row r="18">
      <c r="B18" s="16" t="inlineStr">
        <is>
          <t>G</t>
        </is>
      </c>
      <c r="C18" s="15">
        <f>VLOOKUP(B18,PROJECT_DATA!$A$8:$C$17,2,FALSE)</f>
        <v/>
      </c>
      <c r="D18" s="15">
        <f>VLOOKUP(B18,PROJECT_DATA!$A$8:$C$17,3,FALSE)</f>
        <v/>
      </c>
      <c r="E18" s="35" t="n">
        <v>0</v>
      </c>
      <c r="F18" s="15">
        <f>C18*E18</f>
        <v/>
      </c>
      <c r="G18" s="15">
        <f>D18*E18</f>
        <v/>
      </c>
      <c r="I18" s="23" t="inlineStr">
        <is>
          <t>Conflict: E and F (EE + EF ≤ 1)</t>
        </is>
      </c>
      <c r="J18" s="31">
        <f>IF($E$16+$E$17&lt;=1,"OK","Review")</f>
        <v/>
      </c>
      <c r="K18" s="23" t="n"/>
    </row>
    <row r="19">
      <c r="B19" s="16" t="inlineStr">
        <is>
          <t>H</t>
        </is>
      </c>
      <c r="C19" s="15">
        <f>VLOOKUP(B19,PROJECT_DATA!$A$8:$C$17,2,FALSE)</f>
        <v/>
      </c>
      <c r="D19" s="15">
        <f>VLOOKUP(B19,PROJECT_DATA!$A$8:$C$17,3,FALSE)</f>
        <v/>
      </c>
      <c r="E19" s="35" t="n">
        <v>0</v>
      </c>
      <c r="F19" s="15">
        <f>C19*E19</f>
        <v/>
      </c>
      <c r="G19" s="15">
        <f>D19*E19</f>
        <v/>
      </c>
      <c r="I19" s="23" t="n"/>
      <c r="J19" s="23" t="n"/>
      <c r="K19" s="23" t="n"/>
    </row>
    <row r="20">
      <c r="B20" s="16" t="inlineStr">
        <is>
          <t>I</t>
        </is>
      </c>
      <c r="C20" s="15">
        <f>VLOOKUP(B20,PROJECT_DATA!$A$8:$C$17,2,FALSE)</f>
        <v/>
      </c>
      <c r="D20" s="15">
        <f>VLOOKUP(B20,PROJECT_DATA!$A$8:$C$17,3,FALSE)</f>
        <v/>
      </c>
      <c r="E20" s="35" t="n">
        <v>1</v>
      </c>
      <c r="F20" s="15">
        <f>C20*E20</f>
        <v/>
      </c>
      <c r="G20" s="15">
        <f>D20*E20</f>
        <v/>
      </c>
      <c r="I20" s="24" t="inlineStr">
        <is>
          <t>Overall Status (all checks)</t>
        </is>
      </c>
      <c r="J20" s="24">
        <f>IF(COUNTIF($J$14:$J$18,"Review")=0,"OK","Review")</f>
        <v/>
      </c>
      <c r="K20" s="23" t="n"/>
    </row>
    <row r="21">
      <c r="B21" s="16" t="inlineStr">
        <is>
          <t>J</t>
        </is>
      </c>
      <c r="C21" s="15">
        <f>VLOOKUP(B21,PROJECT_DATA!$A$8:$C$17,2,FALSE)</f>
        <v/>
      </c>
      <c r="D21" s="15">
        <f>VLOOKUP(B21,PROJECT_DATA!$A$8:$C$17,3,FALSE)</f>
        <v/>
      </c>
      <c r="E21" s="35" t="n">
        <v>0</v>
      </c>
      <c r="F21" s="15">
        <f>C21*E21</f>
        <v/>
      </c>
      <c r="G21" s="15">
        <f>D21*E21</f>
        <v/>
      </c>
    </row>
    <row r="22">
      <c r="B22" s="58" t="inlineStr">
        <is>
          <t>CALCULATIONS</t>
        </is>
      </c>
      <c r="C22" s="59" t="n"/>
      <c r="D22" s="59" t="n"/>
      <c r="E22" s="59" t="n"/>
      <c r="F22" s="59" t="n"/>
      <c r="G22" s="60" t="n"/>
      <c r="I22" s="61" t="inlineStr">
        <is>
          <t>Solver Setup (enter in Excel Solver)</t>
        </is>
      </c>
    </row>
    <row r="23">
      <c r="B23" s="26" t="inlineStr">
        <is>
          <t>Total Cost (₹)</t>
        </is>
      </c>
      <c r="C23" s="27">
        <f>SUM(F12:F21)</f>
        <v/>
      </c>
      <c r="D23" s="25" t="n"/>
      <c r="E23" s="25" t="n"/>
      <c r="F23" s="25" t="n"/>
      <c r="G23" s="25" t="n"/>
      <c r="I23" s="36" t="inlineStr">
        <is>
          <t>Set Objective</t>
        </is>
      </c>
      <c r="J23" s="37" t="inlineStr">
        <is>
          <t>C24 (Total NPV)</t>
        </is>
      </c>
    </row>
    <row r="24">
      <c r="B24" s="26" t="inlineStr">
        <is>
          <t>Total NPV (₹)</t>
        </is>
      </c>
      <c r="C24" s="27">
        <f>SUM(G12:G21)</f>
        <v/>
      </c>
      <c r="D24" s="25" t="n"/>
      <c r="E24" s="25" t="n"/>
      <c r="F24" s="25" t="n"/>
      <c r="G24" s="25" t="n"/>
      <c r="I24" s="36" t="inlineStr">
        <is>
          <t>To</t>
        </is>
      </c>
      <c r="J24" s="37" t="inlineStr">
        <is>
          <t>Max</t>
        </is>
      </c>
    </row>
    <row r="25">
      <c r="B25" s="26" t="inlineStr">
        <is>
          <t>Budget Slack (₹)</t>
        </is>
      </c>
      <c r="C25" s="27">
        <f>$C$5-$C$23</f>
        <v/>
      </c>
      <c r="D25" s="25" t="n"/>
      <c r="E25" s="25" t="n"/>
      <c r="F25" s="25" t="n"/>
      <c r="G25" s="25" t="n"/>
      <c r="I25" s="36" t="inlineStr">
        <is>
          <t>By Changing Variable Cells</t>
        </is>
      </c>
      <c r="J25" s="37" t="inlineStr">
        <is>
          <t>E12:E21</t>
        </is>
      </c>
    </row>
    <row r="26" ht="29" customHeight="1" s="56">
      <c r="B26" s="26" t="inlineStr">
        <is>
          <t>Projects Selected (count)</t>
        </is>
      </c>
      <c r="C26" s="28">
        <f>SUM(E12:E21)</f>
        <v/>
      </c>
      <c r="D26" s="25" t="n"/>
      <c r="E26" s="25" t="n"/>
      <c r="F26" s="25" t="n"/>
      <c r="G26" s="25" t="n"/>
      <c r="I26" s="36" t="inlineStr">
        <is>
          <t>Constraints (core)</t>
        </is>
      </c>
      <c r="J26" s="37" t="inlineStr">
        <is>
          <t>C23 &lt;= C5; E12:E21 Binary</t>
        </is>
      </c>
    </row>
    <row r="27">
      <c r="B27" s="25" t="n"/>
      <c r="C27" s="25" t="n"/>
      <c r="D27" s="25" t="n"/>
      <c r="E27" s="25" t="n"/>
      <c r="F27" s="25" t="n"/>
      <c r="G27" s="25" t="n"/>
      <c r="I27" s="36" t="inlineStr">
        <is>
          <t>Solving Method</t>
        </is>
      </c>
      <c r="J27" s="37" t="inlineStr">
        <is>
          <t>Simplex LP</t>
        </is>
      </c>
    </row>
    <row r="28" ht="31" customHeight="1" s="56">
      <c r="B28" s="29" t="inlineStr">
        <is>
          <t>Constraint helper calculations</t>
        </is>
      </c>
      <c r="C28" s="25" t="n"/>
      <c r="D28" s="25" t="n"/>
      <c r="E28" s="25" t="n"/>
      <c r="F28" s="25" t="n"/>
      <c r="G28" s="25" t="n"/>
    </row>
    <row r="29">
      <c r="B29" s="26" t="inlineStr">
        <is>
          <t>Cost(ABC)</t>
        </is>
      </c>
      <c r="C29" s="27">
        <f>SUMPRODUCT(--ISNUMBER(MATCH($B$12:$B$21,{"A","B","C"},0)),$C$12:$C$21,$E$12:$E$21)</f>
        <v/>
      </c>
      <c r="D29" s="25" t="n"/>
      <c r="E29" s="25" t="n"/>
      <c r="F29" s="25" t="n"/>
      <c r="G29" s="25" t="n"/>
    </row>
    <row r="30">
      <c r="B30" s="26" t="inlineStr">
        <is>
          <t>Cost(ACF)</t>
        </is>
      </c>
      <c r="C30" s="27">
        <f>SUMPRODUCT(--ISNUMBER(MATCH($B$12:$B$21,{"A","C","F"},0)),$C$12:$C$21,$E$12:$E$21)</f>
        <v/>
      </c>
      <c r="D30" s="25" t="n"/>
      <c r="E30" s="25" t="n"/>
      <c r="F30" s="25" t="n"/>
      <c r="G30" s="25" t="n"/>
    </row>
    <row r="31">
      <c r="B31" s="26" t="inlineStr">
        <is>
          <t>Cost(DEG)</t>
        </is>
      </c>
      <c r="C31" s="27">
        <f>SUMPRODUCT(--ISNUMBER(MATCH($B$12:$B$21,{"D","E","G"},0)),$C$12:$C$21,$E$12:$E$21)</f>
        <v/>
      </c>
      <c r="D31" s="25" t="n"/>
      <c r="E31" s="25" t="n"/>
      <c r="F31" s="25" t="n"/>
      <c r="G31" s="25" t="n"/>
    </row>
    <row r="32" ht="29" customHeight="1" s="56">
      <c r="B32" s="26" t="inlineStr">
        <is>
          <t>High-cost count (Cost&gt;₹7,00,000)</t>
        </is>
      </c>
      <c r="C32" s="25">
        <f>SUMPRODUCT(--($C$12:$C$21&gt;700000),$E$12:$E$21)</f>
        <v/>
      </c>
      <c r="D32" s="25" t="n"/>
      <c r="E32" s="25" t="n"/>
      <c r="F32" s="25" t="n"/>
      <c r="G32" s="25" t="n"/>
    </row>
    <row r="33">
      <c r="B33" s="26" t="inlineStr">
        <is>
          <t>NPV/Cost ratio</t>
        </is>
      </c>
      <c r="C33" s="30">
        <f>IF($C$23=0,"",$C$24/$C$23)</f>
        <v/>
      </c>
      <c r="D33" s="25" t="n"/>
      <c r="E33" s="25" t="n"/>
      <c r="F33" s="25" t="n"/>
      <c r="G33" s="25" t="n"/>
    </row>
    <row r="34">
      <c r="B34" s="25" t="n"/>
      <c r="C34" s="25" t="n"/>
      <c r="D34" s="25" t="n"/>
      <c r="E34" s="25" t="n"/>
      <c r="F34" s="25" t="n"/>
      <c r="G34" s="25" t="n"/>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B22:G22"/>
    <mergeCell ref="I22:N22"/>
    <mergeCell ref="B4:G4"/>
    <mergeCell ref="I12:N12"/>
    <mergeCell ref="I4:N4"/>
    <mergeCell ref="A1:N1"/>
  </mergeCells>
  <hyperlinks>
    <hyperlink ref="A2" location="'INDEX'!A1" display="⬅ Back to Index"/>
  </hyperlink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codeName="Sheet8">
    <outlinePr summaryBelow="1" summaryRight="1"/>
    <pageSetUpPr/>
  </sheetPr>
  <dimension ref="A1:N34"/>
  <sheetViews>
    <sheetView topLeftCell="A17" workbookViewId="0">
      <selection activeCell="E7" sqref="E7"/>
    </sheetView>
  </sheetViews>
  <sheetFormatPr baseColWidth="8" defaultRowHeight="14.5"/>
  <cols>
    <col width="3" customWidth="1" style="56" min="1" max="1"/>
    <col width="18" customWidth="1" style="56" min="2" max="4"/>
    <col width="12" customWidth="1" style="56" min="5" max="5"/>
    <col width="18" customWidth="1" style="56" min="6" max="7"/>
    <col width="3" customWidth="1" style="56" min="8" max="8"/>
    <col width="28" customWidth="1" style="56" min="9" max="9"/>
    <col width="20" customWidth="1" style="56" min="10" max="12"/>
    <col width="18" customWidth="1" style="56" min="13" max="14"/>
  </cols>
  <sheetData>
    <row r="1">
      <c r="A1" s="55" t="inlineStr">
        <is>
          <t>Caselet 6 – Strategic Capital Allocation at GlobalTech Ltd.</t>
        </is>
      </c>
    </row>
    <row r="2">
      <c r="A2" s="11" t="inlineStr">
        <is>
          <t>⬅ Back to Index</t>
        </is>
      </c>
    </row>
    <row r="3"/>
    <row r="4">
      <c r="B4" s="62" t="inlineStr">
        <is>
          <t>INPUTS</t>
        </is>
      </c>
      <c r="C4" s="59" t="n"/>
      <c r="D4" s="59" t="n"/>
      <c r="E4" s="59" t="n"/>
      <c r="F4" s="59" t="n"/>
      <c r="G4" s="60" t="n"/>
      <c r="I4" s="64" t="inlineStr">
        <is>
          <t>OUTPUTS / DECISION</t>
        </is>
      </c>
      <c r="J4" s="59" t="n"/>
      <c r="K4" s="59" t="n"/>
      <c r="L4" s="59" t="n"/>
      <c r="M4" s="59" t="n"/>
      <c r="N4" s="60" t="n"/>
    </row>
    <row r="5" ht="43.5" customHeight="1" s="56">
      <c r="B5" s="14" t="inlineStr">
        <is>
          <t>Capital Budget (₹)</t>
        </is>
      </c>
      <c r="C5" s="15">
        <f>PROJECT_DATA!$B$5</f>
        <v/>
      </c>
      <c r="D5" s="16" t="n"/>
      <c r="E5" s="14" t="inlineStr">
        <is>
          <t>Min NPV/Cost ratio</t>
        </is>
      </c>
      <c r="F5" s="32" t="n">
        <v>0.25</v>
      </c>
      <c r="G5" s="16" t="n"/>
      <c r="I5" s="17" t="inlineStr">
        <is>
          <t>Key Outputs</t>
        </is>
      </c>
      <c r="J5" s="13" t="n"/>
      <c r="K5" s="13" t="n"/>
      <c r="L5" s="13" t="n"/>
      <c r="M5" s="13" t="n"/>
      <c r="N5" s="13" t="n"/>
    </row>
    <row r="6" ht="43.5" customHeight="1" s="56">
      <c r="B6" s="14" t="inlineStr">
        <is>
          <t>Objective</t>
        </is>
      </c>
      <c r="C6" s="16" t="inlineStr">
        <is>
          <t>Maximize Total NPV</t>
        </is>
      </c>
      <c r="D6" s="16" t="n"/>
      <c r="E6" s="14" t="inlineStr">
        <is>
          <t>Max risk spend (% of budget)</t>
        </is>
      </c>
      <c r="F6" s="33" t="n">
        <v>0.3</v>
      </c>
      <c r="G6" s="16" t="n"/>
      <c r="I6" s="64" t="inlineStr">
        <is>
          <t>Metric</t>
        </is>
      </c>
      <c r="J6" s="64" t="inlineStr">
        <is>
          <t>Value</t>
        </is>
      </c>
      <c r="K6" s="13" t="n"/>
      <c r="L6" s="13" t="n"/>
      <c r="M6" s="13" t="n"/>
      <c r="N6" s="13" t="n"/>
    </row>
    <row r="7" ht="43.5" customHeight="1" s="56">
      <c r="B7" s="14" t="inlineStr">
        <is>
          <t>Decision variables</t>
        </is>
      </c>
      <c r="C7" s="16" t="inlineStr">
        <is>
          <t>Select? (0/1) for each project</t>
        </is>
      </c>
      <c r="D7" s="16" t="n"/>
      <c r="E7" s="14" t="inlineStr">
        <is>
          <t>Min strategic spend (% of total cost)</t>
        </is>
      </c>
      <c r="F7" s="33" t="n">
        <v>0.5</v>
      </c>
      <c r="G7" s="16" t="n"/>
      <c r="I7" s="13" t="inlineStr">
        <is>
          <t>Total Cost (₹)</t>
        </is>
      </c>
      <c r="J7" s="18">
        <f>C23</f>
        <v/>
      </c>
      <c r="K7" s="13" t="n"/>
      <c r="L7" s="13" t="n"/>
      <c r="M7" s="13" t="n"/>
      <c r="N7" s="13" t="n"/>
    </row>
    <row r="8" ht="87" customHeight="1" s="56">
      <c r="B8" s="14" t="inlineStr">
        <is>
          <t>Solver note</t>
        </is>
      </c>
      <c r="C8" s="16" t="inlineStr">
        <is>
          <t>Objective: C24 (Total NPV). Variable cells: E12:E21 (Binary). Add constraints in Checks.</t>
        </is>
      </c>
      <c r="D8" s="16" t="n"/>
      <c r="E8" s="16" t="n"/>
      <c r="F8" s="16" t="n"/>
      <c r="G8" s="16" t="n"/>
      <c r="I8" s="13" t="inlineStr">
        <is>
          <t>Total NPV (₹)</t>
        </is>
      </c>
      <c r="J8" s="18">
        <f>C24</f>
        <v/>
      </c>
      <c r="K8" s="13" t="n"/>
      <c r="L8" s="13" t="n"/>
      <c r="M8" s="13" t="n"/>
      <c r="N8" s="13" t="n"/>
    </row>
    <row r="9" ht="101.5" customHeight="1" s="56">
      <c r="B9" s="16" t="n"/>
      <c r="C9" s="34" t="inlineStr">
        <is>
          <t>Pre-filled with an optimal solution (computed and saved). You may re-run Solver after changing any input/constraint.</t>
        </is>
      </c>
      <c r="D9" s="16" t="n"/>
      <c r="E9" s="16" t="n"/>
      <c r="F9" s="16" t="n"/>
      <c r="G9" s="16" t="n"/>
      <c r="I9" s="13" t="inlineStr">
        <is>
          <t>Budget Slack (₹)</t>
        </is>
      </c>
      <c r="J9" s="18">
        <f>C25</f>
        <v/>
      </c>
      <c r="K9" s="13" t="n"/>
      <c r="L9" s="13" t="n"/>
      <c r="M9" s="13" t="n"/>
      <c r="N9" s="13" t="n"/>
    </row>
    <row r="10" ht="62" customHeight="1" s="56">
      <c r="B10" s="19" t="inlineStr">
        <is>
          <t>Project Portfolio (Cost &amp; NPV referenced from PROJECT_DATA)</t>
        </is>
      </c>
      <c r="C10" s="16" t="n"/>
      <c r="D10" s="16" t="n"/>
      <c r="E10" s="16" t="n"/>
      <c r="F10" s="16" t="n"/>
      <c r="G10" s="16" t="n"/>
      <c r="I10" s="13" t="inlineStr">
        <is>
          <t>Projects Selected</t>
        </is>
      </c>
      <c r="J10" s="20">
        <f>C26</f>
        <v/>
      </c>
      <c r="K10" s="13" t="n"/>
      <c r="L10" s="13" t="n"/>
      <c r="M10" s="13" t="n"/>
      <c r="N10" s="13" t="n"/>
    </row>
    <row r="11">
      <c r="B11" s="21" t="inlineStr">
        <is>
          <t>Project</t>
        </is>
      </c>
      <c r="C11" s="21" t="inlineStr">
        <is>
          <t>Cost (₹)</t>
        </is>
      </c>
      <c r="D11" s="21" t="inlineStr">
        <is>
          <t>NPV (₹)</t>
        </is>
      </c>
      <c r="E11" s="21" t="inlineStr">
        <is>
          <t>Select? (0/1)</t>
        </is>
      </c>
      <c r="F11" s="21" t="inlineStr">
        <is>
          <t>Selected Cost (₹)</t>
        </is>
      </c>
      <c r="G11" s="21" t="inlineStr">
        <is>
          <t>Selected NPV (₹)</t>
        </is>
      </c>
    </row>
    <row r="12">
      <c r="B12" s="16" t="inlineStr">
        <is>
          <t>A</t>
        </is>
      </c>
      <c r="C12" s="15">
        <f>VLOOKUP(B12,PROJECT_DATA!$A$8:$C$17,2,FALSE)</f>
        <v/>
      </c>
      <c r="D12" s="15">
        <f>VLOOKUP(B12,PROJECT_DATA!$A$8:$C$17,3,FALSE)</f>
        <v/>
      </c>
      <c r="E12" s="35" t="n">
        <v>1</v>
      </c>
      <c r="F12" s="15">
        <f>C12*E12</f>
        <v/>
      </c>
      <c r="G12" s="15">
        <f>D12*E12</f>
        <v/>
      </c>
      <c r="I12" s="63" t="inlineStr">
        <is>
          <t>CHECKS</t>
        </is>
      </c>
      <c r="J12" s="59" t="n"/>
      <c r="K12" s="59" t="n"/>
      <c r="L12" s="59" t="n"/>
      <c r="M12" s="59" t="n"/>
      <c r="N12" s="60" t="n"/>
    </row>
    <row r="13">
      <c r="B13" s="16" t="inlineStr">
        <is>
          <t>B</t>
        </is>
      </c>
      <c r="C13" s="15">
        <f>VLOOKUP(B13,PROJECT_DATA!$A$8:$C$17,2,FALSE)</f>
        <v/>
      </c>
      <c r="D13" s="15">
        <f>VLOOKUP(B13,PROJECT_DATA!$A$8:$C$17,3,FALSE)</f>
        <v/>
      </c>
      <c r="E13" s="35" t="n">
        <v>0</v>
      </c>
      <c r="F13" s="15">
        <f>C13*E13</f>
        <v/>
      </c>
      <c r="G13" s="15">
        <f>D13*E13</f>
        <v/>
      </c>
      <c r="I13" s="63" t="inlineStr">
        <is>
          <t>Check / Constraint</t>
        </is>
      </c>
      <c r="J13" s="63" t="inlineStr">
        <is>
          <t>Status</t>
        </is>
      </c>
      <c r="K13" s="23" t="n"/>
    </row>
    <row r="14">
      <c r="B14" s="16" t="inlineStr">
        <is>
          <t>C</t>
        </is>
      </c>
      <c r="C14" s="15">
        <f>VLOOKUP(B14,PROJECT_DATA!$A$8:$C$17,2,FALSE)</f>
        <v/>
      </c>
      <c r="D14" s="15">
        <f>VLOOKUP(B14,PROJECT_DATA!$A$8:$C$17,3,FALSE)</f>
        <v/>
      </c>
      <c r="E14" s="35" t="n">
        <v>1</v>
      </c>
      <c r="F14" s="15">
        <f>C14*E14</f>
        <v/>
      </c>
      <c r="G14" s="15">
        <f>D14*E14</f>
        <v/>
      </c>
      <c r="I14" s="23" t="inlineStr">
        <is>
          <t>Budget: Total Cost ≤ Budget</t>
        </is>
      </c>
      <c r="J14" s="23">
        <f>IF($C$23&lt;=$C$5,"OK","Review")</f>
        <v/>
      </c>
      <c r="K14" s="23" t="n"/>
    </row>
    <row r="15" ht="29" customHeight="1" s="56">
      <c r="B15" s="16" t="inlineStr">
        <is>
          <t>D</t>
        </is>
      </c>
      <c r="C15" s="15">
        <f>VLOOKUP(B15,PROJECT_DATA!$A$8:$C$17,2,FALSE)</f>
        <v/>
      </c>
      <c r="D15" s="15">
        <f>VLOOKUP(B15,PROJECT_DATA!$A$8:$C$17,3,FALSE)</f>
        <v/>
      </c>
      <c r="E15" s="35" t="n">
        <v>1</v>
      </c>
      <c r="F15" s="15">
        <f>C15*E15</f>
        <v/>
      </c>
      <c r="G15" s="15">
        <f>D15*E15</f>
        <v/>
      </c>
      <c r="I15" s="23" t="inlineStr">
        <is>
          <t>Binary inputs (0/1) in Select? column</t>
        </is>
      </c>
      <c r="J15" s="23">
        <f>IF(COUNTIF($E$12:$E$21,"&lt;0")+COUNTIF($E$12:$E$21,"&gt;1")=0,"OK","Review")</f>
        <v/>
      </c>
      <c r="K15" s="23" t="n"/>
    </row>
    <row r="16" ht="29" customHeight="1" s="56">
      <c r="B16" s="16" t="inlineStr">
        <is>
          <t>E</t>
        </is>
      </c>
      <c r="C16" s="15">
        <f>VLOOKUP(B16,PROJECT_DATA!$A$8:$C$17,2,FALSE)</f>
        <v/>
      </c>
      <c r="D16" s="15">
        <f>VLOOKUP(B16,PROJECT_DATA!$A$8:$C$17,3,FALSE)</f>
        <v/>
      </c>
      <c r="E16" s="35" t="n">
        <v>0</v>
      </c>
      <c r="F16" s="15">
        <f>C16*E16</f>
        <v/>
      </c>
      <c r="G16" s="15">
        <f>D16*E16</f>
        <v/>
      </c>
      <c r="I16" s="23" t="inlineStr">
        <is>
          <t>Strategic allocation: Cost(ACF) ≥ 50% of Total Cost</t>
        </is>
      </c>
      <c r="J16" s="31">
        <f>IF($C$23=0,"Review",IF($C$30&gt;=$F$7*$C$23,"OK","Review"))</f>
        <v/>
      </c>
      <c r="K16" s="23" t="n"/>
    </row>
    <row r="17" ht="29" customHeight="1" s="56">
      <c r="B17" s="16" t="inlineStr">
        <is>
          <t>F</t>
        </is>
      </c>
      <c r="C17" s="15">
        <f>VLOOKUP(B17,PROJECT_DATA!$A$8:$C$17,2,FALSE)</f>
        <v/>
      </c>
      <c r="D17" s="15">
        <f>VLOOKUP(B17,PROJECT_DATA!$A$8:$C$17,3,FALSE)</f>
        <v/>
      </c>
      <c r="E17" s="35" t="n">
        <v>1</v>
      </c>
      <c r="F17" s="15">
        <f>C17*E17</f>
        <v/>
      </c>
      <c r="G17" s="15">
        <f>D17*E17</f>
        <v/>
      </c>
      <c r="I17" s="23" t="inlineStr">
        <is>
          <t>Risk cap: Cost(D,E,G) ≤ 30% of Budget</t>
        </is>
      </c>
      <c r="J17" s="31">
        <f>IF($C$31&lt;=$F$6*$C$5,"OK","Review")</f>
        <v/>
      </c>
      <c r="K17" s="23" t="n"/>
    </row>
    <row r="18" ht="29" customHeight="1" s="56">
      <c r="B18" s="16" t="inlineStr">
        <is>
          <t>G</t>
        </is>
      </c>
      <c r="C18" s="15">
        <f>VLOOKUP(B18,PROJECT_DATA!$A$8:$C$17,2,FALSE)</f>
        <v/>
      </c>
      <c r="D18" s="15">
        <f>VLOOKUP(B18,PROJECT_DATA!$A$8:$C$17,3,FALSE)</f>
        <v/>
      </c>
      <c r="E18" s="35" t="n">
        <v>0</v>
      </c>
      <c r="F18" s="15">
        <f>C18*E18</f>
        <v/>
      </c>
      <c r="G18" s="15">
        <f>D18*E18</f>
        <v/>
      </c>
      <c r="I18" s="23" t="inlineStr">
        <is>
          <t>Portfolio efficiency: NPV/Cost ≥ minimum ratio</t>
        </is>
      </c>
      <c r="J18" s="31">
        <f>IF($C$23=0,"Review",IF($C$33&gt;=$F$5,"OK","Review"))</f>
        <v/>
      </c>
      <c r="K18" s="23" t="n"/>
    </row>
    <row r="19">
      <c r="B19" s="16" t="inlineStr">
        <is>
          <t>H</t>
        </is>
      </c>
      <c r="C19" s="15">
        <f>VLOOKUP(B19,PROJECT_DATA!$A$8:$C$17,2,FALSE)</f>
        <v/>
      </c>
      <c r="D19" s="15">
        <f>VLOOKUP(B19,PROJECT_DATA!$A$8:$C$17,3,FALSE)</f>
        <v/>
      </c>
      <c r="E19" s="35" t="n">
        <v>1</v>
      </c>
      <c r="F19" s="15">
        <f>C19*E19</f>
        <v/>
      </c>
      <c r="G19" s="15">
        <f>D19*E19</f>
        <v/>
      </c>
      <c r="I19" s="23" t="n"/>
      <c r="J19" s="23" t="n"/>
      <c r="K19" s="23" t="n"/>
    </row>
    <row r="20">
      <c r="B20" s="16" t="inlineStr">
        <is>
          <t>I</t>
        </is>
      </c>
      <c r="C20" s="15">
        <f>VLOOKUP(B20,PROJECT_DATA!$A$8:$C$17,2,FALSE)</f>
        <v/>
      </c>
      <c r="D20" s="15">
        <f>VLOOKUP(B20,PROJECT_DATA!$A$8:$C$17,3,FALSE)</f>
        <v/>
      </c>
      <c r="E20" s="35" t="n">
        <v>1</v>
      </c>
      <c r="F20" s="15">
        <f>C20*E20</f>
        <v/>
      </c>
      <c r="G20" s="15">
        <f>D20*E20</f>
        <v/>
      </c>
      <c r="I20" s="24" t="inlineStr">
        <is>
          <t>Overall Status (all checks)</t>
        </is>
      </c>
      <c r="J20" s="24">
        <f>IF(COUNTIF($J$14:$J$18,"Review")=0,"OK","Review")</f>
        <v/>
      </c>
      <c r="K20" s="23" t="n"/>
    </row>
    <row r="21">
      <c r="B21" s="16" t="inlineStr">
        <is>
          <t>J</t>
        </is>
      </c>
      <c r="C21" s="15">
        <f>VLOOKUP(B21,PROJECT_DATA!$A$8:$C$17,2,FALSE)</f>
        <v/>
      </c>
      <c r="D21" s="15">
        <f>VLOOKUP(B21,PROJECT_DATA!$A$8:$C$17,3,FALSE)</f>
        <v/>
      </c>
      <c r="E21" s="35" t="n">
        <v>1</v>
      </c>
      <c r="F21" s="15">
        <f>C21*E21</f>
        <v/>
      </c>
      <c r="G21" s="15">
        <f>D21*E21</f>
        <v/>
      </c>
    </row>
    <row r="22">
      <c r="B22" s="58" t="inlineStr">
        <is>
          <t>CALCULATIONS</t>
        </is>
      </c>
      <c r="C22" s="59" t="n"/>
      <c r="D22" s="59" t="n"/>
      <c r="E22" s="59" t="n"/>
      <c r="F22" s="59" t="n"/>
      <c r="G22" s="60" t="n"/>
      <c r="I22" s="61" t="inlineStr">
        <is>
          <t>Solver Setup (enter in Excel Solver)</t>
        </is>
      </c>
    </row>
    <row r="23">
      <c r="B23" s="26" t="inlineStr">
        <is>
          <t>Total Cost (₹)</t>
        </is>
      </c>
      <c r="C23" s="27">
        <f>SUM(F12:F21)</f>
        <v/>
      </c>
      <c r="D23" s="25" t="n"/>
      <c r="E23" s="25" t="n"/>
      <c r="F23" s="25" t="n"/>
      <c r="G23" s="25" t="n"/>
      <c r="I23" s="36" t="inlineStr">
        <is>
          <t>Set Objective</t>
        </is>
      </c>
      <c r="J23" s="37" t="inlineStr">
        <is>
          <t>C24 (Total NPV)</t>
        </is>
      </c>
    </row>
    <row r="24">
      <c r="B24" s="26" t="inlineStr">
        <is>
          <t>Total NPV (₹)</t>
        </is>
      </c>
      <c r="C24" s="27">
        <f>SUM(G12:G21)</f>
        <v/>
      </c>
      <c r="D24" s="25" t="n"/>
      <c r="E24" s="25" t="n"/>
      <c r="F24" s="25" t="n"/>
      <c r="G24" s="25" t="n"/>
      <c r="I24" s="36" t="inlineStr">
        <is>
          <t>To</t>
        </is>
      </c>
      <c r="J24" s="37" t="inlineStr">
        <is>
          <t>Max</t>
        </is>
      </c>
    </row>
    <row r="25">
      <c r="B25" s="26" t="inlineStr">
        <is>
          <t>Budget Slack (₹)</t>
        </is>
      </c>
      <c r="C25" s="27">
        <f>$C$5-$C$23</f>
        <v/>
      </c>
      <c r="D25" s="25" t="n"/>
      <c r="E25" s="25" t="n"/>
      <c r="F25" s="25" t="n"/>
      <c r="G25" s="25" t="n"/>
      <c r="I25" s="36" t="inlineStr">
        <is>
          <t>By Changing Variable Cells</t>
        </is>
      </c>
      <c r="J25" s="37" t="inlineStr">
        <is>
          <t>E12:E21</t>
        </is>
      </c>
    </row>
    <row r="26" ht="29" customHeight="1" s="56">
      <c r="B26" s="26" t="inlineStr">
        <is>
          <t>Projects Selected (count)</t>
        </is>
      </c>
      <c r="C26" s="28">
        <f>SUM(E12:E21)</f>
        <v/>
      </c>
      <c r="D26" s="25" t="n"/>
      <c r="E26" s="25" t="n"/>
      <c r="F26" s="25" t="n"/>
      <c r="G26" s="25" t="n"/>
      <c r="I26" s="36" t="inlineStr">
        <is>
          <t>Constraints (core)</t>
        </is>
      </c>
      <c r="J26" s="37" t="inlineStr">
        <is>
          <t>C23 &lt;= C5; E12:E21 Binary</t>
        </is>
      </c>
    </row>
    <row r="27">
      <c r="B27" s="25" t="n"/>
      <c r="C27" s="25" t="n"/>
      <c r="D27" s="25" t="n"/>
      <c r="E27" s="25" t="n"/>
      <c r="F27" s="25" t="n"/>
      <c r="G27" s="25" t="n"/>
      <c r="I27" s="36" t="inlineStr">
        <is>
          <t>Solving Method</t>
        </is>
      </c>
      <c r="J27" s="37" t="inlineStr">
        <is>
          <t>Simplex LP</t>
        </is>
      </c>
    </row>
    <row r="28" ht="31" customHeight="1" s="56">
      <c r="B28" s="29" t="inlineStr">
        <is>
          <t>Constraint helper calculations</t>
        </is>
      </c>
      <c r="C28" s="25" t="n"/>
      <c r="D28" s="25" t="n"/>
      <c r="E28" s="25" t="n"/>
      <c r="F28" s="25" t="n"/>
      <c r="G28" s="25" t="n"/>
    </row>
    <row r="29">
      <c r="B29" s="26" t="inlineStr">
        <is>
          <t>Cost(ABC)</t>
        </is>
      </c>
      <c r="C29" s="27">
        <f>SUMPRODUCT(--ISNUMBER(MATCH($B$12:$B$21,{"A","B","C"},0)),$C$12:$C$21,$E$12:$E$21)</f>
        <v/>
      </c>
      <c r="D29" s="25" t="n"/>
      <c r="E29" s="25" t="n"/>
      <c r="F29" s="25" t="n"/>
      <c r="G29" s="25" t="n"/>
    </row>
    <row r="30">
      <c r="B30" s="26" t="inlineStr">
        <is>
          <t>Cost(ACF)</t>
        </is>
      </c>
      <c r="C30" s="27">
        <f>SUMPRODUCT(--ISNUMBER(MATCH($B$12:$B$21,{"A","C","F"},0)),$C$12:$C$21,$E$12:$E$21)</f>
        <v/>
      </c>
      <c r="D30" s="25" t="n"/>
      <c r="E30" s="25" t="n"/>
      <c r="F30" s="25" t="n"/>
      <c r="G30" s="25" t="n"/>
    </row>
    <row r="31">
      <c r="B31" s="26" t="inlineStr">
        <is>
          <t>Cost(DEG)</t>
        </is>
      </c>
      <c r="C31" s="27">
        <f>SUMPRODUCT(--ISNUMBER(MATCH($B$12:$B$21,{"D","E","G"},0)),$C$12:$C$21,$E$12:$E$21)</f>
        <v/>
      </c>
      <c r="D31" s="25" t="n"/>
      <c r="E31" s="25" t="n"/>
      <c r="F31" s="25" t="n"/>
      <c r="G31" s="25" t="n"/>
    </row>
    <row r="32" ht="29" customHeight="1" s="56">
      <c r="B32" s="26" t="inlineStr">
        <is>
          <t>High-cost count (Cost&gt;₹7,00,000)</t>
        </is>
      </c>
      <c r="C32" s="25">
        <f>SUMPRODUCT(--($C$12:$C$21&gt;700000),$E$12:$E$21)</f>
        <v/>
      </c>
      <c r="D32" s="25" t="n"/>
      <c r="E32" s="25" t="n"/>
      <c r="F32" s="25" t="n"/>
      <c r="G32" s="25" t="n"/>
    </row>
    <row r="33">
      <c r="B33" s="26" t="inlineStr">
        <is>
          <t>NPV/Cost ratio</t>
        </is>
      </c>
      <c r="C33" s="30">
        <f>IF($C$23=0,"",$C$24/$C$23)</f>
        <v/>
      </c>
      <c r="D33" s="25" t="n"/>
      <c r="E33" s="25" t="n"/>
      <c r="F33" s="25" t="n"/>
      <c r="G33" s="25" t="n"/>
    </row>
    <row r="34">
      <c r="B34" s="25" t="n"/>
      <c r="C34" s="25" t="n"/>
      <c r="D34" s="25" t="n"/>
      <c r="E34" s="25" t="n"/>
      <c r="F34" s="25" t="n"/>
      <c r="G34" s="25" t="n"/>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B22:G22"/>
    <mergeCell ref="I22:N22"/>
    <mergeCell ref="B4:G4"/>
    <mergeCell ref="I12:N12"/>
    <mergeCell ref="I4:N4"/>
    <mergeCell ref="A1:N1"/>
  </mergeCells>
  <hyperlinks>
    <hyperlink ref="A2" location="'INDEX'!A1" display="⬅ Back to Index"/>
  </hyperlink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codeName="Sheet9">
    <outlinePr summaryBelow="1" summaryRight="1"/>
    <pageSetUpPr/>
  </sheetPr>
  <dimension ref="A1:N11"/>
  <sheetViews>
    <sheetView workbookViewId="0">
      <pane ySplit="5" topLeftCell="A6" activePane="bottomLeft" state="frozen"/>
      <selection pane="bottomLeft" activeCell="H9" sqref="H9"/>
    </sheetView>
  </sheetViews>
  <sheetFormatPr baseColWidth="8" defaultRowHeight="14.5"/>
  <cols>
    <col width="12" customWidth="1" style="56" min="1" max="1"/>
    <col width="24" customWidth="1" style="56" min="2" max="2"/>
    <col width="18" customWidth="1" style="56" min="3" max="4"/>
    <col width="14" customWidth="1" style="56" min="5" max="5"/>
    <col width="10" customWidth="1" style="56" min="6" max="6"/>
  </cols>
  <sheetData>
    <row r="1">
      <c r="A1" s="55" t="inlineStr">
        <is>
          <t>Checks Summary (All Caselets)</t>
        </is>
      </c>
    </row>
    <row r="2"/>
    <row r="3" ht="101.5" customHeight="1" s="56">
      <c r="A3" s="1" t="inlineStr">
        <is>
          <t>This sheet pulls key outputs and overall status from each caselet sheet.</t>
        </is>
      </c>
    </row>
    <row r="4"/>
    <row r="5">
      <c r="A5" s="2" t="inlineStr">
        <is>
          <t>Caselet</t>
        </is>
      </c>
      <c r="B5" s="2" t="inlineStr">
        <is>
          <t>Company</t>
        </is>
      </c>
      <c r="C5" s="2" t="inlineStr">
        <is>
          <t>Total Cost (₹)</t>
        </is>
      </c>
      <c r="D5" s="2" t="inlineStr">
        <is>
          <t>Total NPV (₹)</t>
        </is>
      </c>
      <c r="E5" s="2" t="inlineStr">
        <is>
          <t>Overall Status</t>
        </is>
      </c>
      <c r="F5" s="2" t="inlineStr">
        <is>
          <t>Open</t>
        </is>
      </c>
    </row>
    <row r="6">
      <c r="A6" s="3" t="inlineStr">
        <is>
          <t>Caselet 1</t>
        </is>
      </c>
      <c r="B6" s="4" t="inlineStr">
        <is>
          <t>Optimus Solutions</t>
        </is>
      </c>
      <c r="C6" s="9">
        <f>Caselet_01_Optimus!$J$7</f>
        <v/>
      </c>
      <c r="D6" s="9">
        <f>Caselet_01_Optimus!$J$8</f>
        <v/>
      </c>
      <c r="E6" s="3">
        <f>Caselet_01_Optimus!$J$20</f>
        <v/>
      </c>
      <c r="F6" s="5" t="inlineStr">
        <is>
          <t>Open ➜</t>
        </is>
      </c>
    </row>
    <row r="7">
      <c r="A7" s="3" t="inlineStr">
        <is>
          <t>Caselet 2</t>
        </is>
      </c>
      <c r="B7" s="4" t="inlineStr">
        <is>
          <t>NovaTech Inc.</t>
        </is>
      </c>
      <c r="C7" s="9">
        <f>Caselet_02_NovaTech!$J$7</f>
        <v/>
      </c>
      <c r="D7" s="9">
        <f>Caselet_02_NovaTech!$J$8</f>
        <v/>
      </c>
      <c r="E7" s="3">
        <f>Caselet_02_NovaTech!$J$20</f>
        <v/>
      </c>
      <c r="F7" s="5" t="inlineStr">
        <is>
          <t>Open ➜</t>
        </is>
      </c>
    </row>
    <row r="8">
      <c r="A8" s="3" t="inlineStr">
        <is>
          <t>Caselet 3</t>
        </is>
      </c>
      <c r="B8" s="4" t="inlineStr">
        <is>
          <t>InnovateCorp</t>
        </is>
      </c>
      <c r="C8" s="9">
        <f>Caselet_03_InnovateCorp!$J$7</f>
        <v/>
      </c>
      <c r="D8" s="9">
        <f>Caselet_03_InnovateCorp!$J$8</f>
        <v/>
      </c>
      <c r="E8" s="3">
        <f>Caselet_03_InnovateCorp!$J$20</f>
        <v/>
      </c>
      <c r="F8" s="5" t="inlineStr">
        <is>
          <t>Open ➜</t>
        </is>
      </c>
    </row>
    <row r="9">
      <c r="A9" s="3" t="inlineStr">
        <is>
          <t>Caselet 4</t>
        </is>
      </c>
      <c r="B9" s="4" t="inlineStr">
        <is>
          <t>FutureVision Ltd.</t>
        </is>
      </c>
      <c r="C9" s="9">
        <f>Caselet_04_FutureVision!$J$7</f>
        <v/>
      </c>
      <c r="D9" s="9">
        <f>Caselet_04_FutureVision!$J$8</f>
        <v/>
      </c>
      <c r="E9" s="3">
        <f>Caselet_04_FutureVision!$J$20</f>
        <v/>
      </c>
      <c r="F9" s="5" t="inlineStr">
        <is>
          <t>Open ➜</t>
        </is>
      </c>
    </row>
    <row r="10">
      <c r="A10" s="3" t="inlineStr">
        <is>
          <t>Caselet 5</t>
        </is>
      </c>
      <c r="B10" s="4" t="inlineStr">
        <is>
          <t>VisionNext Ltd.</t>
        </is>
      </c>
      <c r="C10" s="9">
        <f>Caselet_05_VisionNext!$J$7</f>
        <v/>
      </c>
      <c r="D10" s="9">
        <f>Caselet_05_VisionNext!$J$8</f>
        <v/>
      </c>
      <c r="E10" s="3">
        <f>Caselet_05_VisionNext!$J$20</f>
        <v/>
      </c>
      <c r="F10" s="5" t="inlineStr">
        <is>
          <t>Open ➜</t>
        </is>
      </c>
    </row>
    <row r="11">
      <c r="A11" s="3" t="inlineStr">
        <is>
          <t>Caselet 6</t>
        </is>
      </c>
      <c r="B11" s="4" t="inlineStr">
        <is>
          <t>GlobalTech Ltd.</t>
        </is>
      </c>
      <c r="C11" s="9">
        <f>Caselet_06_GlobalTech!$J$7</f>
        <v/>
      </c>
      <c r="D11" s="9">
        <f>Caselet_06_GlobalTech!$J$8</f>
        <v/>
      </c>
      <c r="E11" s="3">
        <f>Caselet_06_GlobalTech!$J$20</f>
        <v/>
      </c>
      <c r="F11" s="5" t="inlineStr">
        <is>
          <t>Open ➜</t>
        </is>
      </c>
    </row>
  </sheetData>
  <sheetProtection selectLockedCells="0" selectUnlockedCells="0" sheet="1" objects="1" insertRows="0" insertHyperlinks="1" autoFilter="0" scenarios="1" formatColumns="0" deleteColumns="0" insertColumns="0" pivotTables="0" deleteRows="0" formatCells="0" formatRows="0" sort="0" password="AE3A"/>
  <mergeCells count="1">
    <mergeCell ref="A1:N1"/>
  </mergeCells>
  <hyperlinks>
    <hyperlink ref="F6" location="'Caselet_01_Optimus'!A1" display="Open ➜"/>
    <hyperlink ref="F7" location="'Caselet_02_NovaTech'!A1" display="Open ➜"/>
    <hyperlink ref="F8" location="'Caselet_03_InnovateCorp'!A1" display="Open ➜"/>
    <hyperlink ref="F9" location="'Caselet_04_FutureVision'!A1" display="Open ➜"/>
    <hyperlink ref="F10" location="'Caselet_05_VisionNext'!A1" display="Open ➜"/>
    <hyperlink ref="F11" location="'Caselet_06_GlobalTech'!A1" display="Open ➜"/>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2025-12-22T06:14:12Z</dcterms:created>
  <dcterms:modified xmlns:dcterms="http://purl.org/dc/terms/" xmlns:xsi="http://www.w3.org/2001/XMLSchema-instance" xsi:type="dcterms:W3CDTF">2026-01-02T07:32:19Z</dcterms:modified>
  <cp:lastModifiedBy>srikanthyadav444p</cp:lastModifiedBy>
</cp:coreProperties>
</file>