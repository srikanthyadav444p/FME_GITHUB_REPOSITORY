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ROJECT_DATA" sheetId="3" state="visible" r:id="rId3"/>
    <sheet xmlns:r="http://schemas.openxmlformats.org/officeDocument/2006/relationships" name="Caselet_01_Optimus" sheetId="4" state="visible" r:id="rId4"/>
    <sheet xmlns:r="http://schemas.openxmlformats.org/officeDocument/2006/relationships" name="Caselet_02_NovaTech" sheetId="5" state="visible" r:id="rId5"/>
    <sheet xmlns:r="http://schemas.openxmlformats.org/officeDocument/2006/relationships" name="Caselet_03_InnovateCorp" sheetId="6" state="visible" r:id="rId6"/>
    <sheet xmlns:r="http://schemas.openxmlformats.org/officeDocument/2006/relationships" name="Caselet_04_FutureVision" sheetId="7" state="visible" r:id="rId7"/>
    <sheet xmlns:r="http://schemas.openxmlformats.org/officeDocument/2006/relationships" name="Caselet_05_VisionNext" sheetId="8" state="visible" r:id="rId8"/>
    <sheet xmlns:r="http://schemas.openxmlformats.org/officeDocument/2006/relationships" name="Caselet_06_GlobalTech" sheetId="9" state="visible" r:id="rId9"/>
    <sheet xmlns:r="http://schemas.openxmlformats.org/officeDocument/2006/relationships" name="CHECKS_SUMMARY" sheetId="10" state="visible" r:id="rId10"/>
  </sheets>
  <definedNames>
    <definedName name="solver_eng" localSheetId="5" hidden="1">1</definedName>
    <definedName name="solver_neg" localSheetId="5" hidden="1">1</definedName>
    <definedName name="solver_num" localSheetId="5" hidden="1">0</definedName>
    <definedName name="solver_opt" localSheetId="5" hidden="1">Caselet_03_InnovateCorp!$E$15</definedName>
    <definedName name="solver_typ" localSheetId="5" hidden="1">1</definedName>
    <definedName name="solver_val" localSheetId="5" hidden="1">0</definedName>
    <definedName name="solver_ver" localSheetId="5" hidden="1">3</definedName>
  </definedNames>
  <calcPr calcId="191029" fullCalcOnLoad="1"/>
</workbook>
</file>

<file path=xl/styles.xml><?xml version="1.0" encoding="utf-8"?>
<styleSheet xmlns="http://schemas.openxmlformats.org/spreadsheetml/2006/main">
  <numFmts count="2">
    <numFmt numFmtId="164" formatCode="\₹\ ###,##0"/>
    <numFmt numFmtId="165" formatCode="0.000"/>
  </numFmts>
  <fonts count="15">
    <font>
      <name val="Calibri"/>
      <family val="2"/>
      <color theme="1"/>
      <sz val="11"/>
      <scheme val="minor"/>
    </font>
    <font>
      <name val="Calibri"/>
      <family val="2"/>
      <b val="1"/>
      <sz val="16"/>
    </font>
    <font>
      <name val="Calibri"/>
      <family val="2"/>
      <b val="1"/>
      <sz val="11"/>
    </font>
    <font>
      <name val="Calibri"/>
      <family val="2"/>
      <b val="1"/>
      <color rgb="FFFFFFFF"/>
      <sz val="11"/>
    </font>
    <font>
      <name val="Calibri"/>
      <family val="2"/>
      <b val="1"/>
      <color rgb="FF1F4E79"/>
      <sz val="11"/>
      <u val="single"/>
    </font>
    <font>
      <name val="Calibri"/>
      <family val="2"/>
      <b val="1"/>
      <sz val="12"/>
    </font>
    <font>
      <name val="Calibri"/>
      <family val="2"/>
      <i val="1"/>
      <color rgb="FF1F4E79"/>
      <sz val="11"/>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1"/>
      <sz val="18"/>
      <scheme val="minor"/>
    </font>
    <font>
      <name val="Calibri"/>
      <family val="2"/>
      <b val="1"/>
      <color theme="7" tint="-0.249977111117893"/>
      <sz val="18"/>
      <scheme val="minor"/>
    </font>
    <font>
      <name val="Cambria"/>
      <family val="1"/>
      <i val="1"/>
      <color theme="9" tint="-0.249977111117893"/>
      <sz val="11"/>
      <scheme val="major"/>
    </font>
  </fonts>
  <fills count="15">
    <fill>
      <patternFill/>
    </fill>
    <fill>
      <patternFill patternType="gray125"/>
    </fill>
    <fill>
      <patternFill patternType="solid">
        <fgColor rgb="FF1F4E79"/>
      </patternFill>
    </fill>
    <fill>
      <patternFill patternType="solid">
        <fgColor rgb="FF2F75B5"/>
      </patternFill>
    </fill>
    <fill>
      <patternFill patternType="solid">
        <fgColor rgb="FFD9EAF7"/>
      </patternFill>
    </fill>
    <fill>
      <patternFill patternType="solid">
        <fgColor rgb="FFEFEFEF"/>
      </patternFill>
    </fill>
    <fill>
      <patternFill patternType="solid">
        <fgColor rgb="FFDFF2D8"/>
      </patternFill>
    </fill>
    <fill>
      <patternFill patternType="solid">
        <fgColor rgb="FFFFE6CC"/>
      </patternFill>
    </fill>
    <fill>
      <patternFill patternType="solid">
        <fgColor rgb="FFFFF2CC"/>
      </patternFill>
    </fill>
    <fill>
      <patternFill patternType="solid">
        <fgColor theme="8" tint="0.3999755851924192"/>
        <bgColor indexed="64"/>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6">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right/>
      <top style="thin">
        <color rgb="FF9E9E9E"/>
      </top>
      <bottom/>
      <diagonal/>
    </border>
    <border>
      <left/>
      <right style="thin">
        <color rgb="FF9E9E9E"/>
      </right>
      <top style="thin">
        <color rgb="FF9E9E9E"/>
      </top>
      <bottom/>
      <diagonal/>
    </border>
  </borders>
  <cellStyleXfs count="2">
    <xf numFmtId="0" fontId="7" fillId="0" borderId="0"/>
    <xf numFmtId="0" fontId="7" fillId="0" borderId="0"/>
  </cellStyleXfs>
  <cellXfs count="65">
    <xf numFmtId="0" fontId="0" fillId="0" borderId="0" pivotButton="0" quotePrefix="0" xfId="0"/>
    <xf numFmtId="0" fontId="2" fillId="0" borderId="0" applyAlignment="1" pivotButton="0" quotePrefix="0" xfId="0">
      <alignment horizontal="left" vertical="top" wrapText="1"/>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4" fillId="0" borderId="1" applyAlignment="1" pivotButton="0" quotePrefix="0" xfId="0">
      <alignment horizontal="center" vertical="center" wrapText="1"/>
    </xf>
    <xf numFmtId="0" fontId="2" fillId="0" borderId="0" pivotButton="0" quotePrefix="0" xfId="0"/>
    <xf numFmtId="0" fontId="4" fillId="0" borderId="0" applyAlignment="1" pivotButton="0" quotePrefix="0" xfId="0">
      <alignment horizontal="center" vertical="center" wrapText="1"/>
    </xf>
    <xf numFmtId="0" fontId="2" fillId="0" borderId="1" applyAlignment="1" pivotButton="0" quotePrefix="0" xfId="0">
      <alignment horizontal="left" vertical="top" wrapText="1"/>
    </xf>
    <xf numFmtId="164" fontId="0" fillId="0" borderId="1" applyAlignment="1" pivotButton="0" quotePrefix="0" xfId="0">
      <alignment horizontal="right" vertical="center" wrapText="1"/>
    </xf>
    <xf numFmtId="0" fontId="2" fillId="0" borderId="1" pivotButton="0" quotePrefix="0" xfId="0"/>
    <xf numFmtId="0" fontId="4" fillId="0" borderId="0" applyAlignment="1" pivotButton="0" quotePrefix="0" xfId="0">
      <alignment horizontal="left" vertical="center"/>
    </xf>
    <xf numFmtId="0" fontId="3" fillId="6" borderId="1" applyAlignment="1" pivotButton="0" quotePrefix="0" xfId="0">
      <alignment horizontal="left" vertical="top" wrapText="1"/>
    </xf>
    <xf numFmtId="0" fontId="0" fillId="6" borderId="1" applyAlignment="1" pivotButton="0" quotePrefix="0" xfId="0">
      <alignment horizontal="left" vertical="top" wrapText="1"/>
    </xf>
    <xf numFmtId="0" fontId="2" fillId="4" borderId="1" applyAlignment="1" pivotButton="0" quotePrefix="0" xfId="0">
      <alignment horizontal="left" vertical="top" wrapText="1"/>
    </xf>
    <xf numFmtId="164" fontId="0" fillId="4" borderId="1" applyAlignment="1" pivotButton="0" quotePrefix="0" xfId="0">
      <alignment horizontal="left" vertical="top" wrapText="1"/>
    </xf>
    <xf numFmtId="0" fontId="0" fillId="4" borderId="1" applyAlignment="1" pivotButton="0" quotePrefix="0" xfId="0">
      <alignment horizontal="left" vertical="top" wrapText="1"/>
    </xf>
    <xf numFmtId="0" fontId="5" fillId="6" borderId="1" applyAlignment="1" pivotButton="0" quotePrefix="0" xfId="0">
      <alignment horizontal="left" vertical="top" wrapText="1"/>
    </xf>
    <xf numFmtId="164" fontId="0" fillId="6" borderId="1" applyAlignment="1" pivotButton="0" quotePrefix="0" xfId="0">
      <alignment horizontal="left" vertical="top" wrapText="1"/>
    </xf>
    <xf numFmtId="0" fontId="5" fillId="4" borderId="1" applyAlignment="1" pivotButton="0" quotePrefix="0" xfId="0">
      <alignment horizontal="left" vertical="top" wrapText="1"/>
    </xf>
    <xf numFmtId="1" fontId="0" fillId="6" borderId="1" applyAlignment="1" pivotButton="0" quotePrefix="0" xfId="0">
      <alignment horizontal="left" vertical="top" wrapText="1"/>
    </xf>
    <xf numFmtId="0" fontId="3" fillId="4" borderId="1" applyAlignment="1" pivotButton="0" quotePrefix="0" xfId="0">
      <alignment horizontal="left" vertical="top" wrapText="1"/>
    </xf>
    <xf numFmtId="0" fontId="3" fillId="7" borderId="1" applyAlignment="1" pivotButton="0" quotePrefix="0" xfId="0">
      <alignment horizontal="left" vertical="top" wrapText="1"/>
    </xf>
    <xf numFmtId="0" fontId="0" fillId="7" borderId="1" applyAlignment="1" pivotButton="0" quotePrefix="0" xfId="0">
      <alignment horizontal="left" vertical="top" wrapText="1"/>
    </xf>
    <xf numFmtId="0" fontId="2" fillId="7" borderId="1" applyAlignment="1" pivotButton="0" quotePrefix="0" xfId="0">
      <alignment horizontal="left" vertical="top" wrapText="1"/>
    </xf>
    <xf numFmtId="0" fontId="0" fillId="5" borderId="1" applyAlignment="1" pivotButton="0" quotePrefix="0" xfId="0">
      <alignment horizontal="left" vertical="top" wrapText="1"/>
    </xf>
    <xf numFmtId="0" fontId="2" fillId="5" borderId="1" applyAlignment="1" pivotButton="0" quotePrefix="0" xfId="0">
      <alignment horizontal="left" vertical="top" wrapText="1"/>
    </xf>
    <xf numFmtId="164" fontId="0" fillId="5" borderId="1" applyAlignment="1" pivotButton="0" quotePrefix="0" xfId="0">
      <alignment horizontal="left" vertical="top" wrapText="1"/>
    </xf>
    <xf numFmtId="1" fontId="0" fillId="5" borderId="1" applyAlignment="1" pivotButton="0" quotePrefix="0" xfId="0">
      <alignment horizontal="left" vertical="top" wrapText="1"/>
    </xf>
    <xf numFmtId="0" fontId="5" fillId="5" borderId="1" applyAlignment="1" pivotButton="0" quotePrefix="0" xfId="0">
      <alignment horizontal="left" vertical="top" wrapText="1"/>
    </xf>
    <xf numFmtId="165" fontId="0" fillId="5" borderId="1" applyAlignment="1" pivotButton="0" quotePrefix="0" xfId="0">
      <alignment horizontal="left" vertical="top" wrapText="1"/>
    </xf>
    <xf numFmtId="0" fontId="0" fillId="7" borderId="1" applyAlignment="1" pivotButton="0" quotePrefix="0" xfId="0">
      <alignment horizontal="center" vertical="center" wrapText="1"/>
    </xf>
    <xf numFmtId="165" fontId="0" fillId="4" borderId="1" applyAlignment="1" pivotButton="0" quotePrefix="0" xfId="0">
      <alignment horizontal="left" vertical="top" wrapText="1"/>
    </xf>
    <xf numFmtId="10" fontId="0" fillId="4" borderId="1" applyAlignment="1" pivotButton="0" quotePrefix="0" xfId="0">
      <alignment horizontal="left" vertical="top" wrapText="1"/>
    </xf>
    <xf numFmtId="0" fontId="6" fillId="4" borderId="1" applyAlignment="1" pivotButton="0" quotePrefix="0" xfId="0">
      <alignment horizontal="left" vertical="top" wrapText="1"/>
    </xf>
    <xf numFmtId="0" fontId="0" fillId="4" borderId="1" applyAlignment="1" pivotButton="0" quotePrefix="0" xfId="0">
      <alignment horizontal="center" vertical="center"/>
    </xf>
    <xf numFmtId="0" fontId="2" fillId="8" borderId="0" applyAlignment="1" pivotButton="0" quotePrefix="0" xfId="0">
      <alignment horizontal="left" vertical="center" wrapText="1"/>
    </xf>
    <xf numFmtId="0" fontId="0" fillId="8" borderId="0" applyAlignment="1" pivotButton="0" quotePrefix="0" xfId="0">
      <alignment horizontal="left" vertical="center" wrapText="1"/>
    </xf>
    <xf numFmtId="0" fontId="9" fillId="0" borderId="0" applyAlignment="1" pivotButton="0" quotePrefix="0" xfId="1">
      <alignment vertical="center"/>
    </xf>
    <xf numFmtId="0" fontId="7" fillId="0" borderId="0" pivotButton="0" quotePrefix="0" xfId="1"/>
    <xf numFmtId="0" fontId="10" fillId="0" borderId="0" applyAlignment="1" pivotButton="0" quotePrefix="0" xfId="1">
      <alignment vertical="center"/>
    </xf>
    <xf numFmtId="0" fontId="11" fillId="0" borderId="0" pivotButton="0" quotePrefix="0" xfId="1"/>
    <xf numFmtId="0" fontId="12" fillId="9" borderId="0" applyAlignment="1" pivotButton="0" quotePrefix="0" xfId="0">
      <alignment vertical="center"/>
    </xf>
    <xf numFmtId="0" fontId="13" fillId="0" borderId="0" applyAlignment="1" pivotButton="0" quotePrefix="0" xfId="1">
      <alignment vertical="center"/>
    </xf>
    <xf numFmtId="0" fontId="14" fillId="0" borderId="0" applyAlignment="1" pivotButton="0" quotePrefix="0" xfId="0">
      <alignment wrapText="1"/>
    </xf>
    <xf numFmtId="0" fontId="12" fillId="11" borderId="0" applyAlignment="1" pivotButton="0" quotePrefix="0" xfId="1">
      <alignment vertical="center"/>
    </xf>
    <xf numFmtId="0" fontId="7" fillId="11" borderId="0" pivotButton="0" quotePrefix="0" xfId="1"/>
    <xf numFmtId="0" fontId="12" fillId="12" borderId="0" applyAlignment="1" pivotButton="0" quotePrefix="0" xfId="1">
      <alignment vertical="center"/>
    </xf>
    <xf numFmtId="0" fontId="8" fillId="13" borderId="0" applyAlignment="1" pivotButton="0" quotePrefix="0" xfId="1">
      <alignment vertical="top" wrapText="1"/>
    </xf>
    <xf numFmtId="0" fontId="7" fillId="0" borderId="0" applyAlignment="1" pivotButton="0" quotePrefix="0" xfId="1">
      <alignment horizontal="left" vertical="center" indent="1"/>
    </xf>
    <xf numFmtId="0" fontId="8" fillId="0" borderId="0" pivotButton="0" quotePrefix="0" xfId="1"/>
    <xf numFmtId="0" fontId="8" fillId="0" borderId="0" applyAlignment="1" pivotButton="0" quotePrefix="0" xfId="1">
      <alignment horizontal="left" vertical="center" indent="1"/>
    </xf>
    <xf numFmtId="0" fontId="7" fillId="10" borderId="0" applyAlignment="1" pivotButton="0" quotePrefix="0" xfId="1">
      <alignment horizontal="justify" vertical="justify" wrapText="1"/>
    </xf>
    <xf numFmtId="0" fontId="7" fillId="10" borderId="0" applyAlignment="1" pivotButton="0" quotePrefix="0" xfId="1">
      <alignment horizontal="left" vertical="top" wrapText="1"/>
    </xf>
    <xf numFmtId="0" fontId="7" fillId="14" borderId="0" applyAlignment="1" pivotButton="0" quotePrefix="0" xfId="1">
      <alignment horizontal="justify" vertical="justify"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center" vertical="top" wrapText="1"/>
    </xf>
    <xf numFmtId="0" fontId="3" fillId="5" borderId="1" applyAlignment="1" pivotButton="0" quotePrefix="0" xfId="0">
      <alignment horizontal="left" vertical="top" wrapText="1"/>
    </xf>
    <xf numFmtId="0" fontId="0" fillId="0" borderId="2" pivotButton="0" quotePrefix="0" xfId="0"/>
    <xf numFmtId="0" fontId="0" fillId="0" borderId="3" pivotButton="0" quotePrefix="0" xfId="0"/>
    <xf numFmtId="0" fontId="2" fillId="8" borderId="0" applyAlignment="1" pivotButton="0" quotePrefix="0" xfId="0">
      <alignment horizontal="left" vertical="center"/>
    </xf>
    <xf numFmtId="0" fontId="3" fillId="3" borderId="1" applyAlignment="1" pivotButton="0" quotePrefix="0" xfId="0">
      <alignment horizontal="center" vertical="center" wrapText="1"/>
    </xf>
    <xf numFmtId="0" fontId="3" fillId="7" borderId="1" applyAlignment="1" pivotButton="0" quotePrefix="0" xfId="0">
      <alignment horizontal="left" vertical="top" wrapText="1"/>
    </xf>
    <xf numFmtId="0" fontId="3" fillId="6" borderId="1" applyAlignment="1" pivotButton="0" quotePrefix="0" xfId="0">
      <alignment horizontal="left" vertical="top" wrapText="1"/>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Instructor Note</author>
  </authors>
  <commentList>
    <comment ref="C8" authorId="0" shapeId="0">
      <text>
        <t>Solver setup: Maximize C24, changing E12:E21 (Binary), subject to constraints in the Checks box.</t>
      </text>
    </comment>
    <comment ref="E11" authorId="0" shapeId="0">
      <text>
        <t>Decision variables for Solver. Set E12:E21 as Binary; Solver will choose 0/1.</t>
      </text>
    </comment>
    <comment ref="C23" authorId="0" shapeId="0">
      <text>
        <t>Total Cost must be ≤ Budget (C5).</t>
      </text>
    </comment>
    <comment ref="C24" authorId="0" shapeId="0">
      <text>
        <t>Objective cell. Use Solver to maximize Total NPV.</t>
      </text>
    </comment>
  </commentList>
</comments>
</file>

<file path=xl/comments/comment2.xml><?xml version="1.0" encoding="utf-8"?>
<comments xmlns="http://schemas.openxmlformats.org/spreadsheetml/2006/main">
  <authors>
    <author>Instructor Note</author>
  </authors>
  <commentList>
    <comment ref="C8" authorId="0" shapeId="0">
      <text>
        <t>Solver setup: Maximize C24, changing E12:E21 (Binary), subject to constraints in the Checks box.</t>
      </text>
    </comment>
    <comment ref="E11" authorId="0" shapeId="0">
      <text>
        <t>Decision variables for Solver. Set E12:E21 as Binary; Solver will choose 0/1.</t>
      </text>
    </comment>
    <comment ref="C23" authorId="0" shapeId="0">
      <text>
        <t>Total Cost must be ≤ Budget (C5).</t>
      </text>
    </comment>
    <comment ref="C24" authorId="0" shapeId="0">
      <text>
        <t>Objective cell. Use Solver to maximize Total NPV.</t>
      </text>
    </comment>
  </commentList>
</comments>
</file>

<file path=xl/comments/comment3.xml><?xml version="1.0" encoding="utf-8"?>
<comments xmlns="http://schemas.openxmlformats.org/spreadsheetml/2006/main">
  <authors>
    <author>Instructor Note</author>
  </authors>
  <commentList>
    <comment ref="F6" authorId="0" shapeId="0">
      <text>
        <t>High-NPV projects are defined by this cutoff. Constraint enforces inclusion of all projects meeting it.</t>
      </text>
    </comment>
    <comment ref="C8" authorId="0" shapeId="0">
      <text>
        <t>Solver setup: Maximize C24, changing E12:E21 (Binary), subject to constraints in the Checks box.</t>
      </text>
    </comment>
    <comment ref="E11" authorId="0" shapeId="0">
      <text>
        <t>Decision variables for Solver. Set E12:E21 as Binary; Solver will choose 0/1.</t>
      </text>
    </comment>
    <comment ref="C23" authorId="0" shapeId="0">
      <text>
        <t>Total Cost must be ≤ Budget (C5).</t>
      </text>
    </comment>
    <comment ref="C24" authorId="0" shapeId="0">
      <text>
        <t>Objective cell. Use Solver to maximize Total NPV.</t>
      </text>
    </comment>
  </commentList>
</comments>
</file>

<file path=xl/comments/comment4.xml><?xml version="1.0" encoding="utf-8"?>
<comments xmlns="http://schemas.openxmlformats.org/spreadsheetml/2006/main">
  <authors>
    <author>Instructor Note</author>
  </authors>
  <commentList>
    <comment ref="C8" authorId="0" shapeId="0">
      <text>
        <t>Solver setup: Maximize C24, changing E12:E21 (Binary), subject to constraints in the Checks box.</t>
      </text>
    </comment>
    <comment ref="E11" authorId="0" shapeId="0">
      <text>
        <t>Decision variables for Solver. Set E12:E21 as Binary; Solver will choose 0/1.</t>
      </text>
    </comment>
    <comment ref="C23" authorId="0" shapeId="0">
      <text>
        <t>Total Cost must be ≤ Budget (C5).</t>
      </text>
    </comment>
    <comment ref="C24" authorId="0" shapeId="0">
      <text>
        <t>Objective cell. Use Solver to maximize Total NPV.</t>
      </text>
    </comment>
  </commentList>
</comments>
</file>

<file path=xl/comments/comment5.xml><?xml version="1.0" encoding="utf-8"?>
<comments xmlns="http://schemas.openxmlformats.org/spreadsheetml/2006/main">
  <authors>
    <author>Instructor Note</author>
  </authors>
  <commentList>
    <comment ref="F5" authorId="0" shapeId="0">
      <text>
        <t>Projects with NPV below this value cannot be selected (enforced via constraint/check).</t>
      </text>
    </comment>
    <comment ref="C8" authorId="0" shapeId="0">
      <text>
        <t>Solver setup: Maximize C24, changing E12:E21 (Binary), subject to constraints in the Checks box.</t>
      </text>
    </comment>
    <comment ref="E11" authorId="0" shapeId="0">
      <text>
        <t>Decision variables for Solver. Set E12:E21 as Binary; Solver will choose 0/1.</t>
      </text>
    </comment>
    <comment ref="C23" authorId="0" shapeId="0">
      <text>
        <t>Total Cost must be ≤ Budget (C5).</t>
      </text>
    </comment>
    <comment ref="C24" authorId="0" shapeId="0">
      <text>
        <t>Objective cell. Use Solver to maximize Total NPV.</t>
      </text>
    </comment>
  </commentList>
</comments>
</file>

<file path=xl/comments/comment6.xml><?xml version="1.0" encoding="utf-8"?>
<comments xmlns="http://schemas.openxmlformats.org/spreadsheetml/2006/main">
  <authors>
    <author>Instructor Note</author>
  </authors>
  <commentList>
    <comment ref="F7" authorId="0" shapeId="0">
      <text>
        <t>Strategic allocation is computed as Cost(A,C,F) / Total Cost; must be ≥ this threshold.</t>
      </text>
    </comment>
    <comment ref="C8" authorId="0" shapeId="0">
      <text>
        <t>Solver setup: Maximize C24, changing E12:E21 (Binary), subject to constraints in the Checks box.</t>
      </text>
    </comment>
    <comment ref="E11" authorId="0" shapeId="0">
      <text>
        <t>Decision variables for Solver. Set E12:E21 as Binary; Solver will choose 0/1.</t>
      </text>
    </comment>
    <comment ref="C23" authorId="0" shapeId="0">
      <text>
        <t>Total Cost must be ≤ Budget (C5).</t>
      </text>
    </comment>
    <comment ref="C24" authorId="0" shapeId="0">
      <text>
        <t>Objective cell. Use Solver to maximize Total NPV.</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91313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J33"/>
  <sheetViews>
    <sheetView tabSelected="1" workbookViewId="0">
      <selection activeCell="G6" sqref="G6"/>
    </sheetView>
  </sheetViews>
  <sheetFormatPr baseColWidth="8" defaultRowHeight="14.5"/>
  <cols>
    <col width="8.7265625" customWidth="1" style="39" min="1" max="6"/>
    <col width="13.90625" customWidth="1" style="39" min="7" max="7"/>
    <col width="5.6328125" customWidth="1" style="39" min="8" max="8"/>
    <col width="71.6328125" customWidth="1" style="39" min="9" max="9"/>
    <col width="7.1796875" customWidth="1" style="39" min="10" max="10"/>
    <col width="8.7265625" customWidth="1" style="39" min="11" max="16384"/>
  </cols>
  <sheetData>
    <row r="1" ht="31" customHeight="1" s="56">
      <c r="A1" s="38" t="inlineStr">
        <is>
          <t>FINANCIAL MODELING USING EXCEL</t>
        </is>
      </c>
    </row>
    <row r="2"/>
    <row r="3" ht="23.5" customHeight="1" s="56">
      <c r="A3" s="40" t="inlineStr">
        <is>
          <t>Capital Rationing Decision Models Using Excel</t>
        </is>
      </c>
    </row>
    <row r="4"/>
    <row r="5" ht="23.5" customHeight="1" s="56">
      <c r="A5" s="41" t="inlineStr">
        <is>
          <t>Optimal Project Selection Under Capital Constraints</t>
        </is>
      </c>
      <c r="I5" s="42" t="inlineStr">
        <is>
          <t>Learning Philosophy</t>
        </is>
      </c>
    </row>
    <row r="6"/>
    <row r="7" ht="28.5" customHeight="1" s="56">
      <c r="A7" s="43" t="inlineStr">
        <is>
          <t>Workbook Purpose</t>
        </is>
      </c>
      <c r="I7" s="44" t="inlineStr">
        <is>
          <t>When capital is scarce, value is created by choosing the right combination of projects—not by evaluating projects in isolation.</t>
        </is>
      </c>
    </row>
    <row r="8"/>
    <row r="9" ht="132.5" customHeight="1" s="56">
      <c r="A9" s="52" t="inlineStr">
        <is>
          <t>This workbook is designed to analyze capital rationing problems, where a firm must select an optimal combination of investment projects subject to limited capital availability. It presents six structured caselets that require evaluating mutually independent projects, comparing value creation, and identifying the project mix that maximizes total Net Present Value (NPV) under budget constraints.
The workbook emphasizes optimization-based decision-making rather than isolated project evaluation. By structuring project cash flows, computing NPVs, and applying optimization logic in Excel, learners understand how capital rationing transforms capital budgeting into a constrained optimization problem—a setting commonly faced by firms with funding limits, divisional budgets, or capital allocation policies.</t>
        </is>
      </c>
    </row>
    <row r="10"/>
    <row r="11"/>
    <row r="12"/>
    <row r="13"/>
    <row r="14"/>
    <row r="15" ht="23.5" customHeight="1" s="56">
      <c r="A15" s="45" t="inlineStr">
        <is>
          <t>Key Concepts Covered</t>
        </is>
      </c>
      <c r="B15" s="46" t="n"/>
      <c r="C15" s="46" t="n"/>
      <c r="D15" s="46" t="n"/>
      <c r="E15" s="46" t="n"/>
      <c r="F15" s="46" t="n"/>
      <c r="G15" s="46" t="n"/>
      <c r="I15" s="47" t="inlineStr">
        <is>
          <t>Excel Functions Used</t>
        </is>
      </c>
    </row>
    <row r="16" ht="311.5" customHeight="1" s="56">
      <c r="A16" s="53" t="inlineStr">
        <is>
          <t>Capital rationing and funding constraints
Independent projects and value creation under scarcity
Net Present Value (NPV) as the objective function
Capital budgeting with single and multiple constraints
Project selection versus project ranking
Limitations of simple profitability index ranking
Optimization logic for maximizing firm value
Interpretation of optimal project combinations
Managerial implications of constrained investment decisions</t>
        </is>
      </c>
      <c r="I16" s="48" t="inlineStr">
        <is>
          <t xml:space="preserve">The following Excel functions and tools are used accurately and completely in this workbook to support valuation, constraint handling, and optimization:
NPV – Computes the present value of each project’s cash flows
SUM – Aggregates selected project investments and NPVs
SUMPRODUCT – Computes total NPV and total capital usage based on project selection variables
IF – Applies conditional logic for project inclusion and feasibility checks
ABS – Maintains disciplined sign conventions for cash flows
ROUND – Ensures numerical clarity and clean presentation of results
PERCENTAGE CALCULATIONS – Used for discount rates and capital usage interpretation
Excel Optimization Tool
Solver (Excel Add-in) – Identifies the optimal combination of projects by maximizing total NPV subject to capital constraints and binary decision variables
The workbook emphasizes correct problem formulation, clear definition of objective and constraints, and transparent interpretation of Solver outputs.
</t>
        </is>
      </c>
    </row>
    <row r="17">
      <c r="A17" s="49" t="n"/>
    </row>
    <row r="18">
      <c r="A18" s="49" t="n"/>
      <c r="E18" s="54"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50" t="n"/>
    </row>
    <row r="19">
      <c r="A19" s="49" t="n"/>
    </row>
    <row r="20">
      <c r="A20" s="49" t="n"/>
      <c r="I20" s="50" t="n"/>
    </row>
    <row r="21">
      <c r="A21" s="49" t="n"/>
    </row>
    <row r="22">
      <c r="A22" s="49" t="n"/>
      <c r="I22" s="50" t="n"/>
    </row>
    <row r="23">
      <c r="A23" s="49" t="n"/>
    </row>
    <row r="24">
      <c r="A24" s="49" t="n"/>
      <c r="I24" s="50" t="n"/>
    </row>
    <row r="25">
      <c r="A25" s="49" t="n"/>
    </row>
    <row r="26">
      <c r="A26" s="49" t="n"/>
      <c r="I26" s="50" t="n"/>
    </row>
    <row r="27">
      <c r="A27" s="49" t="n"/>
    </row>
    <row r="28">
      <c r="A28" s="49" t="n"/>
      <c r="I28" s="50" t="n"/>
    </row>
    <row r="29">
      <c r="A29" s="49" t="n"/>
    </row>
    <row r="30">
      <c r="A30" s="49" t="n"/>
      <c r="I30" s="50" t="n"/>
    </row>
    <row r="31">
      <c r="A31" s="49" t="n"/>
      <c r="I31" s="49" t="n"/>
    </row>
    <row r="32">
      <c r="A32" s="49" t="n"/>
      <c r="I32" s="51" t="n"/>
    </row>
    <row r="33">
      <c r="A33" s="49"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4"/>
  <sheetViews>
    <sheetView workbookViewId="0">
      <pane ySplit="5" topLeftCell="A6" activePane="bottomLeft" state="frozen"/>
      <selection pane="bottomLeft" activeCell="B18" sqref="B18"/>
    </sheetView>
  </sheetViews>
  <sheetFormatPr baseColWidth="8" defaultRowHeight="14.5"/>
  <cols>
    <col width="12" customWidth="1" style="56" min="1" max="1"/>
    <col width="26" customWidth="1" style="56" min="2" max="2"/>
    <col width="52" customWidth="1" style="56" min="3" max="3"/>
    <col width="12" customWidth="1" style="56" min="4" max="4"/>
  </cols>
  <sheetData>
    <row r="1">
      <c r="A1" s="55" t="inlineStr">
        <is>
          <t>Capital Rationing (Capital Budgeting) – 6 Caselets (Excel Solver Model)</t>
        </is>
      </c>
    </row>
    <row r="2"/>
    <row r="3">
      <c r="A3" s="57" t="inlineStr">
        <is>
          <t>Use the links below. Each caselet sheet contains Inputs + Calculations + Outputs + Checks (single-sheet model).</t>
        </is>
      </c>
    </row>
    <row r="4"/>
    <row r="5">
      <c r="A5" s="2" t="inlineStr">
        <is>
          <t>Caselet</t>
        </is>
      </c>
      <c r="B5" s="2" t="inlineStr">
        <is>
          <t>Company</t>
        </is>
      </c>
      <c r="C5" s="2" t="inlineStr">
        <is>
          <t>Constraint theme</t>
        </is>
      </c>
      <c r="D5" s="2" t="inlineStr">
        <is>
          <t>Open</t>
        </is>
      </c>
    </row>
    <row r="6">
      <c r="A6" s="3" t="inlineStr">
        <is>
          <t>Caselet 1</t>
        </is>
      </c>
      <c r="B6" s="4" t="inlineStr">
        <is>
          <t>Optimus Solutions</t>
        </is>
      </c>
      <c r="C6" s="4" t="inlineStr">
        <is>
          <t>Mutual exclusivity + dependency + mandatory project</t>
        </is>
      </c>
      <c r="D6" s="5" t="inlineStr">
        <is>
          <t>Open ➜</t>
        </is>
      </c>
    </row>
    <row r="7">
      <c r="A7" s="3" t="inlineStr">
        <is>
          <t>Caselet 2</t>
        </is>
      </c>
      <c r="B7" s="4" t="inlineStr">
        <is>
          <t>NovaTech Inc.</t>
        </is>
      </c>
      <c r="C7" s="4" t="inlineStr">
        <is>
          <t>Min/Max project count + mutual inclusion</t>
        </is>
      </c>
      <c r="D7" s="5" t="inlineStr">
        <is>
          <t>Open ➜</t>
        </is>
      </c>
    </row>
    <row r="8" ht="29" customHeight="1" s="56">
      <c r="A8" s="3" t="inlineStr">
        <is>
          <t>Caselet 3</t>
        </is>
      </c>
      <c r="B8" s="4" t="inlineStr">
        <is>
          <t>InnovateCorp</t>
        </is>
      </c>
      <c r="C8" s="4" t="inlineStr">
        <is>
          <t>Exclude low-value + include core group + include high NPV set</t>
        </is>
      </c>
      <c r="D8" s="5" t="inlineStr">
        <is>
          <t>Open ➜</t>
        </is>
      </c>
    </row>
    <row r="9">
      <c r="A9" s="3" t="inlineStr">
        <is>
          <t>Caselet 4</t>
        </is>
      </c>
      <c r="B9" s="4" t="inlineStr">
        <is>
          <t>FutureVision Ltd.</t>
        </is>
      </c>
      <c r="C9" s="4" t="inlineStr">
        <is>
          <t>Pairing + group cost cap</t>
        </is>
      </c>
      <c r="D9" s="5" t="inlineStr">
        <is>
          <t>Open ➜</t>
        </is>
      </c>
    </row>
    <row r="10">
      <c r="A10" s="3" t="inlineStr">
        <is>
          <t>Caselet 5</t>
        </is>
      </c>
      <c r="B10" s="4" t="inlineStr">
        <is>
          <t>VisionNext Ltd.</t>
        </is>
      </c>
      <c r="C10" s="4" t="inlineStr">
        <is>
          <t>NPV threshold + min high-cost + conflict pair</t>
        </is>
      </c>
      <c r="D10" s="5" t="inlineStr">
        <is>
          <t>Open ➜</t>
        </is>
      </c>
    </row>
    <row r="11">
      <c r="A11" s="3" t="inlineStr">
        <is>
          <t>Caselet 6</t>
        </is>
      </c>
      <c r="B11" s="4" t="inlineStr">
        <is>
          <t>GlobalTech Ltd.</t>
        </is>
      </c>
      <c r="C11" s="4" t="inlineStr">
        <is>
          <t>Strategic allocation + risk cap + portfolio ratio</t>
        </is>
      </c>
      <c r="D11" s="5" t="inlineStr">
        <is>
          <t>Open ➜</t>
        </is>
      </c>
    </row>
    <row r="12"/>
    <row r="13">
      <c r="A13" s="6" t="inlineStr">
        <is>
          <t>Project data table:</t>
        </is>
      </c>
      <c r="B13" s="7" t="inlineStr">
        <is>
          <t>Open ➜</t>
        </is>
      </c>
    </row>
    <row r="14">
      <c r="A14" s="6" t="inlineStr">
        <is>
          <t>Checks summary:</t>
        </is>
      </c>
      <c r="B14" s="7" t="inlineStr">
        <is>
          <t>Open ➜</t>
        </is>
      </c>
    </row>
  </sheetData>
  <sheetProtection selectLockedCells="0" selectUnlockedCells="0" sheet="1" objects="1" insertRows="0" insertHyperlinks="1" autoFilter="0" scenarios="1" formatColumns="0" deleteColumns="0" insertColumns="0" pivotTables="0" deleteRows="0" formatCells="0" formatRows="0" sort="0" password="AE3A"/>
  <mergeCells count="2">
    <mergeCell ref="A1:N1"/>
    <mergeCell ref="A3:E3"/>
  </mergeCells>
  <hyperlinks>
    <hyperlink ref="D6" location="'Caselet_01_Optimus'!A1" display="Open ➜"/>
    <hyperlink ref="D7" location="'Caselet_02_NovaTech'!A1" display="Open ➜"/>
    <hyperlink ref="D8" location="'Caselet_03_InnovateCorp'!A1" display="Open ➜"/>
    <hyperlink ref="D9" location="'Caselet_04_FutureVision'!A1" display="Open ➜"/>
    <hyperlink ref="D10" location="'Caselet_05_VisionNext'!A1" display="Open ➜"/>
    <hyperlink ref="D11" location="'Caselet_06_GlobalTech'!A1" display="Open ➜"/>
    <hyperlink ref="B13" location="'PROJECT_DATA'!A1" display="Open ➜"/>
    <hyperlink ref="B14" location="'CHECKS_SUMMARY'!A1" display="Open ➜"/>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9"/>
  <sheetViews>
    <sheetView topLeftCell="A13" workbookViewId="0">
      <selection activeCell="J3" sqref="J3"/>
    </sheetView>
  </sheetViews>
  <sheetFormatPr baseColWidth="8" defaultRowHeight="14.5"/>
  <cols>
    <col width="12" customWidth="1" style="56" min="1" max="1"/>
    <col width="18" customWidth="1" style="56" min="2" max="3"/>
  </cols>
  <sheetData>
    <row r="1">
      <c r="A1" s="55" t="inlineStr">
        <is>
          <t>Common Project Data (Cost &amp; NPV)</t>
        </is>
      </c>
    </row>
    <row r="2"/>
    <row r="3" ht="87" customHeight="1" s="56">
      <c r="A3" s="1" t="inlineStr">
        <is>
          <t>All caselets refer to this table for project-wise Cost and NPV.</t>
        </is>
      </c>
    </row>
    <row r="4"/>
    <row r="5" ht="29" customHeight="1" s="56">
      <c r="A5" s="8" t="inlineStr">
        <is>
          <t>Capital Budget (₹)</t>
        </is>
      </c>
      <c r="B5" s="9" t="n">
        <v>5000000</v>
      </c>
    </row>
    <row r="6"/>
    <row r="7">
      <c r="A7" s="2" t="inlineStr">
        <is>
          <t>Project</t>
        </is>
      </c>
      <c r="B7" s="2" t="inlineStr">
        <is>
          <t>Cost (₹)</t>
        </is>
      </c>
      <c r="C7" s="2" t="inlineStr">
        <is>
          <t>NPV (₹)</t>
        </is>
      </c>
    </row>
    <row r="8">
      <c r="A8" s="3" t="inlineStr">
        <is>
          <t>A</t>
        </is>
      </c>
      <c r="B8" s="9" t="n">
        <v>800000</v>
      </c>
      <c r="C8" s="9" t="n">
        <v>240000</v>
      </c>
    </row>
    <row r="9">
      <c r="A9" s="3" t="inlineStr">
        <is>
          <t>B</t>
        </is>
      </c>
      <c r="B9" s="9" t="n">
        <v>650000</v>
      </c>
      <c r="C9" s="9" t="n">
        <v>180000</v>
      </c>
    </row>
    <row r="10">
      <c r="A10" s="3" t="inlineStr">
        <is>
          <t>C</t>
        </is>
      </c>
      <c r="B10" s="9" t="n">
        <v>750000</v>
      </c>
      <c r="C10" s="9" t="n">
        <v>210000</v>
      </c>
    </row>
    <row r="11">
      <c r="A11" s="3" t="inlineStr">
        <is>
          <t>D</t>
        </is>
      </c>
      <c r="B11" s="9" t="n">
        <v>900000</v>
      </c>
      <c r="C11" s="9" t="n">
        <v>270000</v>
      </c>
    </row>
    <row r="12">
      <c r="A12" s="3" t="inlineStr">
        <is>
          <t>E</t>
        </is>
      </c>
      <c r="B12" s="9" t="n">
        <v>550000</v>
      </c>
      <c r="C12" s="9" t="n">
        <v>120000</v>
      </c>
    </row>
    <row r="13">
      <c r="A13" s="3" t="inlineStr">
        <is>
          <t>F</t>
        </is>
      </c>
      <c r="B13" s="9" t="n">
        <v>600000</v>
      </c>
      <c r="C13" s="9" t="n">
        <v>195000</v>
      </c>
    </row>
    <row r="14">
      <c r="A14" s="3" t="inlineStr">
        <is>
          <t>G</t>
        </is>
      </c>
      <c r="B14" s="9" t="n">
        <v>450000</v>
      </c>
      <c r="C14" s="9" t="n">
        <v>95000</v>
      </c>
    </row>
    <row r="15">
      <c r="A15" s="3" t="inlineStr">
        <is>
          <t>H</t>
        </is>
      </c>
      <c r="B15" s="9" t="n">
        <v>350000</v>
      </c>
      <c r="C15" s="9" t="n">
        <v>75000</v>
      </c>
    </row>
    <row r="16">
      <c r="A16" s="3" t="inlineStr">
        <is>
          <t>I</t>
        </is>
      </c>
      <c r="B16" s="9" t="n">
        <v>500000</v>
      </c>
      <c r="C16" s="9" t="n">
        <v>135000</v>
      </c>
    </row>
    <row r="17">
      <c r="A17" s="3" t="inlineStr">
        <is>
          <t>J</t>
        </is>
      </c>
      <c r="B17" s="9" t="n">
        <v>400000</v>
      </c>
      <c r="C17" s="9" t="n">
        <v>105000</v>
      </c>
    </row>
    <row r="18"/>
    <row r="19">
      <c r="A19" s="10" t="inlineStr">
        <is>
          <t>Total cost (all projects)</t>
        </is>
      </c>
      <c r="B19" s="9">
        <f>SUM(B8:B17)</f>
        <v/>
      </c>
    </row>
  </sheetData>
  <sheetProtection selectLockedCells="0" selectUnlockedCells="0" sheet="1" objects="1" insertRows="0" insertHyperlinks="1" autoFilter="0" scenarios="1" formatColumns="0" deleteColumns="0" insertColumns="0" pivotTables="0" deleteRows="0" formatCells="0" formatRows="0" sort="0" password="AE3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4"/>
  <sheetViews>
    <sheetView topLeftCell="A10" workbookViewId="0">
      <selection activeCell="E12" sqref="E12:E21"/>
    </sheetView>
  </sheetViews>
  <sheetFormatPr baseColWidth="8" defaultRowHeight="14.5"/>
  <cols>
    <col width="3" customWidth="1" style="56" min="1" max="1"/>
    <col width="18" customWidth="1" style="56" min="2" max="4"/>
    <col width="12" customWidth="1" style="56" min="5" max="5"/>
    <col width="18" customWidth="1" style="56" min="6" max="7"/>
    <col width="3" customWidth="1" style="56" min="8" max="8"/>
    <col width="28" customWidth="1" style="56" min="9" max="9"/>
    <col width="20" customWidth="1" style="56" min="10" max="12"/>
    <col width="18" customWidth="1" style="56" min="13" max="14"/>
  </cols>
  <sheetData>
    <row r="1">
      <c r="A1" s="55" t="inlineStr">
        <is>
          <t>Caselet 1 – Capital Allocation Decision at Optimus Solutions</t>
        </is>
      </c>
    </row>
    <row r="2">
      <c r="A2" s="11" t="inlineStr">
        <is>
          <t>⬅ Back to Index</t>
        </is>
      </c>
    </row>
    <row r="3"/>
    <row r="4">
      <c r="B4" s="62" t="inlineStr">
        <is>
          <t>INPUTS</t>
        </is>
      </c>
      <c r="C4" s="59" t="n"/>
      <c r="D4" s="59" t="n"/>
      <c r="E4" s="59" t="n"/>
      <c r="F4" s="59" t="n"/>
      <c r="G4" s="60" t="n"/>
      <c r="I4" s="64" t="inlineStr">
        <is>
          <t>OUTPUTS / DECISION</t>
        </is>
      </c>
      <c r="J4" s="59" t="n"/>
      <c r="K4" s="59" t="n"/>
      <c r="L4" s="59" t="n"/>
      <c r="M4" s="59" t="n"/>
      <c r="N4" s="60" t="n"/>
    </row>
    <row r="5" ht="15.5" customHeight="1" s="56">
      <c r="B5" s="14" t="inlineStr">
        <is>
          <t>Capital Budget (₹)</t>
        </is>
      </c>
      <c r="C5" s="15">
        <f>PROJECT_DATA!$B$5</f>
        <v/>
      </c>
      <c r="D5" s="16" t="n"/>
      <c r="E5" s="16" t="n"/>
      <c r="F5" s="16" t="n"/>
      <c r="G5" s="16" t="n"/>
      <c r="I5" s="17" t="inlineStr">
        <is>
          <t>Key Outputs</t>
        </is>
      </c>
      <c r="J5" s="13" t="n"/>
      <c r="K5" s="13" t="n"/>
      <c r="L5" s="13" t="n"/>
      <c r="M5" s="13" t="n"/>
      <c r="N5" s="13" t="n"/>
    </row>
    <row r="6">
      <c r="B6" s="14" t="inlineStr">
        <is>
          <t>Objective</t>
        </is>
      </c>
      <c r="C6" s="16" t="inlineStr">
        <is>
          <t>Maximize Total NPV</t>
        </is>
      </c>
      <c r="D6" s="16" t="n"/>
      <c r="E6" s="16" t="n"/>
      <c r="F6" s="16" t="n"/>
      <c r="G6" s="16" t="n"/>
      <c r="I6" s="64" t="inlineStr">
        <is>
          <t>Metric</t>
        </is>
      </c>
      <c r="J6" s="64" t="inlineStr">
        <is>
          <t>Value</t>
        </is>
      </c>
      <c r="K6" s="13" t="n"/>
      <c r="L6" s="13" t="n"/>
      <c r="M6" s="13" t="n"/>
      <c r="N6" s="13" t="n"/>
    </row>
    <row r="7" ht="29" customHeight="1" s="56">
      <c r="B7" s="14" t="inlineStr">
        <is>
          <t>Decision variables</t>
        </is>
      </c>
      <c r="C7" s="16" t="inlineStr">
        <is>
          <t>Select? (0/1) for each project</t>
        </is>
      </c>
      <c r="D7" s="16" t="n"/>
      <c r="E7" s="16" t="n"/>
      <c r="F7" s="16" t="n"/>
      <c r="G7" s="16" t="n"/>
      <c r="I7" s="13" t="inlineStr">
        <is>
          <t>Total Cost (₹)</t>
        </is>
      </c>
      <c r="J7" s="18">
        <f>C23</f>
        <v/>
      </c>
      <c r="K7" s="13" t="n"/>
      <c r="L7" s="13" t="n"/>
      <c r="M7" s="13" t="n"/>
      <c r="N7" s="13" t="n"/>
    </row>
    <row r="8" ht="87" customHeight="1" s="56">
      <c r="B8" s="14" t="inlineStr">
        <is>
          <t>Solver note</t>
        </is>
      </c>
      <c r="C8" s="16" t="inlineStr">
        <is>
          <t>Objective: C24 (Total NPV). Variable cells: E12:E21 (Binary). Add constraints in Checks.</t>
        </is>
      </c>
      <c r="D8" s="16" t="n"/>
      <c r="E8" s="16" t="n"/>
      <c r="F8" s="16" t="n"/>
      <c r="G8" s="16" t="n"/>
      <c r="I8" s="13" t="inlineStr">
        <is>
          <t>Total NPV (₹)</t>
        </is>
      </c>
      <c r="J8" s="18">
        <f>C24</f>
        <v/>
      </c>
      <c r="K8" s="13" t="n"/>
      <c r="L8" s="13" t="n"/>
      <c r="M8" s="13" t="n"/>
      <c r="N8" s="13" t="n"/>
    </row>
    <row r="9" ht="101.5" customHeight="1" s="56">
      <c r="B9" s="16" t="n"/>
      <c r="C9" s="34" t="inlineStr">
        <is>
          <t>Pre-filled with an optimal solution (computed and saved). You may re-run Solver after changing any input/constraint.</t>
        </is>
      </c>
      <c r="D9" s="16" t="n"/>
      <c r="E9" s="16" t="n"/>
      <c r="F9" s="16" t="n"/>
      <c r="G9" s="16" t="n"/>
      <c r="I9" s="13" t="inlineStr">
        <is>
          <t>Budget Slack (₹)</t>
        </is>
      </c>
      <c r="J9" s="18">
        <f>C25</f>
        <v/>
      </c>
      <c r="K9" s="13" t="n"/>
      <c r="L9" s="13" t="n"/>
      <c r="M9" s="13" t="n"/>
      <c r="N9" s="13" t="n"/>
    </row>
    <row r="10" ht="62" customHeight="1" s="56">
      <c r="B10" s="19" t="inlineStr">
        <is>
          <t>Project Portfolio (Cost &amp; NPV referenced from PROJECT_DATA)</t>
        </is>
      </c>
      <c r="C10" s="16" t="n"/>
      <c r="D10" s="16" t="n"/>
      <c r="E10" s="16" t="n"/>
      <c r="F10" s="16" t="n"/>
      <c r="G10" s="16" t="n"/>
      <c r="I10" s="13" t="inlineStr">
        <is>
          <t>Projects Selected</t>
        </is>
      </c>
      <c r="J10" s="20">
        <f>C26</f>
        <v/>
      </c>
      <c r="K10" s="13" t="n"/>
      <c r="L10" s="13" t="n"/>
      <c r="M10" s="13" t="n"/>
      <c r="N10" s="13" t="n"/>
    </row>
    <row r="11">
      <c r="B11" s="21" t="inlineStr">
        <is>
          <t>Project</t>
        </is>
      </c>
      <c r="C11" s="21" t="inlineStr">
        <is>
          <t>Cost (₹)</t>
        </is>
      </c>
      <c r="D11" s="21" t="inlineStr">
        <is>
          <t>NPV (₹)</t>
        </is>
      </c>
      <c r="E11" s="21" t="inlineStr">
        <is>
          <t>Select? (0/1)</t>
        </is>
      </c>
      <c r="F11" s="21" t="inlineStr">
        <is>
          <t>Selected Cost (₹)</t>
        </is>
      </c>
      <c r="G11" s="21" t="inlineStr">
        <is>
          <t>Selected NPV (₹)</t>
        </is>
      </c>
    </row>
    <row r="12">
      <c r="B12" s="16" t="inlineStr">
        <is>
          <t>A</t>
        </is>
      </c>
      <c r="C12" s="15">
        <f>VLOOKUP(B12,PROJECT_DATA!$A$8:$C$17,2,FALSE)</f>
        <v/>
      </c>
      <c r="D12" s="15">
        <f>VLOOKUP(B12,PROJECT_DATA!$A$8:$C$17,3,FALSE)</f>
        <v/>
      </c>
      <c r="E12" s="35" t="n">
        <v>1</v>
      </c>
      <c r="F12" s="15">
        <f>C12*E12</f>
        <v/>
      </c>
      <c r="G12" s="15">
        <f>D12*E12</f>
        <v/>
      </c>
      <c r="I12" s="63" t="inlineStr">
        <is>
          <t>CHECKS</t>
        </is>
      </c>
      <c r="J12" s="59" t="n"/>
      <c r="K12" s="59" t="n"/>
      <c r="L12" s="59" t="n"/>
      <c r="M12" s="59" t="n"/>
      <c r="N12" s="60" t="n"/>
    </row>
    <row r="13">
      <c r="B13" s="16" t="inlineStr">
        <is>
          <t>B</t>
        </is>
      </c>
      <c r="C13" s="15">
        <f>VLOOKUP(B13,PROJECT_DATA!$A$8:$C$17,2,FALSE)</f>
        <v/>
      </c>
      <c r="D13" s="15">
        <f>VLOOKUP(B13,PROJECT_DATA!$A$8:$C$17,3,FALSE)</f>
        <v/>
      </c>
      <c r="E13" s="35" t="n">
        <v>1</v>
      </c>
      <c r="F13" s="15">
        <f>C13*E13</f>
        <v/>
      </c>
      <c r="G13" s="15">
        <f>D13*E13</f>
        <v/>
      </c>
      <c r="I13" s="63" t="inlineStr">
        <is>
          <t>Check / Constraint</t>
        </is>
      </c>
      <c r="J13" s="63" t="inlineStr">
        <is>
          <t>Status</t>
        </is>
      </c>
      <c r="K13" s="23" t="n"/>
    </row>
    <row r="14">
      <c r="B14" s="16" t="inlineStr">
        <is>
          <t>C</t>
        </is>
      </c>
      <c r="C14" s="15">
        <f>VLOOKUP(B14,PROJECT_DATA!$A$8:$C$17,2,FALSE)</f>
        <v/>
      </c>
      <c r="D14" s="15">
        <f>VLOOKUP(B14,PROJECT_DATA!$A$8:$C$17,3,FALSE)</f>
        <v/>
      </c>
      <c r="E14" s="35" t="n">
        <v>1</v>
      </c>
      <c r="F14" s="15">
        <f>C14*E14</f>
        <v/>
      </c>
      <c r="G14" s="15">
        <f>D14*E14</f>
        <v/>
      </c>
      <c r="I14" s="23" t="inlineStr">
        <is>
          <t>Budget: Total Cost ≤ Budget</t>
        </is>
      </c>
      <c r="J14" s="23">
        <f>IF($C$23&lt;=$C$5,"OK","Review")</f>
        <v/>
      </c>
      <c r="K14" s="23" t="n"/>
    </row>
    <row r="15" ht="29" customHeight="1" s="56">
      <c r="B15" s="16" t="inlineStr">
        <is>
          <t>D</t>
        </is>
      </c>
      <c r="C15" s="15">
        <f>VLOOKUP(B15,PROJECT_DATA!$A$8:$C$17,2,FALSE)</f>
        <v/>
      </c>
      <c r="D15" s="15">
        <f>VLOOKUP(B15,PROJECT_DATA!$A$8:$C$17,3,FALSE)</f>
        <v/>
      </c>
      <c r="E15" s="35" t="n">
        <v>1</v>
      </c>
      <c r="F15" s="15">
        <f>C15*E15</f>
        <v/>
      </c>
      <c r="G15" s="15">
        <f>D15*E15</f>
        <v/>
      </c>
      <c r="I15" s="23" t="inlineStr">
        <is>
          <t>Binary inputs (0/1) in Select? column</t>
        </is>
      </c>
      <c r="J15" s="23">
        <f>IF(COUNTIF($E$12:$E$21,"&lt;0")+COUNTIF($E$12:$E$21,"&gt;1")=0,"OK","Review")</f>
        <v/>
      </c>
      <c r="K15" s="23" t="n"/>
    </row>
    <row r="16" ht="29" customHeight="1" s="56">
      <c r="B16" s="16" t="inlineStr">
        <is>
          <t>E</t>
        </is>
      </c>
      <c r="C16" s="15">
        <f>VLOOKUP(B16,PROJECT_DATA!$A$8:$C$17,2,FALSE)</f>
        <v/>
      </c>
      <c r="D16" s="15">
        <f>VLOOKUP(B16,PROJECT_DATA!$A$8:$C$17,3,FALSE)</f>
        <v/>
      </c>
      <c r="E16" s="35" t="n">
        <v>1</v>
      </c>
      <c r="F16" s="15">
        <f>C16*E16</f>
        <v/>
      </c>
      <c r="G16" s="15">
        <f>D16*E16</f>
        <v/>
      </c>
      <c r="I16" s="23" t="inlineStr">
        <is>
          <t>Mutually exclusive: A and B (EA + EB ≤ 1)</t>
        </is>
      </c>
      <c r="J16" s="23">
        <f>IF($E$12+$E$13&lt;=1,"OK","Review")</f>
        <v/>
      </c>
      <c r="K16" s="23" t="n"/>
    </row>
    <row r="17">
      <c r="B17" s="16" t="inlineStr">
        <is>
          <t>F</t>
        </is>
      </c>
      <c r="C17" s="15">
        <f>VLOOKUP(B17,PROJECT_DATA!$A$8:$C$17,2,FALSE)</f>
        <v/>
      </c>
      <c r="D17" s="15">
        <f>VLOOKUP(B17,PROJECT_DATA!$A$8:$C$17,3,FALSE)</f>
        <v/>
      </c>
      <c r="E17" s="35" t="n">
        <v>1</v>
      </c>
      <c r="F17" s="15">
        <f>C17*E17</f>
        <v/>
      </c>
      <c r="G17" s="15">
        <f>D17*E17</f>
        <v/>
      </c>
      <c r="I17" s="23" t="inlineStr">
        <is>
          <t>Dependency: D → E (ED ≤ EE)</t>
        </is>
      </c>
      <c r="J17" s="23">
        <f>IF($E$15&lt;=$E$16,"OK","Review")</f>
        <v/>
      </c>
      <c r="K17" s="23" t="n"/>
    </row>
    <row r="18" ht="29" customHeight="1" s="56">
      <c r="B18" s="16" t="inlineStr">
        <is>
          <t>G</t>
        </is>
      </c>
      <c r="C18" s="15">
        <f>VLOOKUP(B18,PROJECT_DATA!$A$8:$C$17,2,FALSE)</f>
        <v/>
      </c>
      <c r="D18" s="15">
        <f>VLOOKUP(B18,PROJECT_DATA!$A$8:$C$17,3,FALSE)</f>
        <v/>
      </c>
      <c r="E18" s="35" t="n">
        <v>1</v>
      </c>
      <c r="F18" s="15">
        <f>C18*E18</f>
        <v/>
      </c>
      <c r="G18" s="15">
        <f>D18*E18</f>
        <v/>
      </c>
      <c r="I18" s="23" t="inlineStr">
        <is>
          <t>Mandatory: F must be selected (EF = 1)</t>
        </is>
      </c>
      <c r="J18" s="23">
        <f>IF($E$17=1,"OK","Review")</f>
        <v/>
      </c>
      <c r="K18" s="23" t="n"/>
    </row>
    <row r="19">
      <c r="B19" s="16" t="inlineStr">
        <is>
          <t>H</t>
        </is>
      </c>
      <c r="C19" s="15">
        <f>VLOOKUP(B19,PROJECT_DATA!$A$8:$C$17,2,FALSE)</f>
        <v/>
      </c>
      <c r="D19" s="15">
        <f>VLOOKUP(B19,PROJECT_DATA!$A$8:$C$17,3,FALSE)</f>
        <v/>
      </c>
      <c r="E19" s="35" t="n">
        <v>1</v>
      </c>
      <c r="F19" s="15">
        <f>C19*E19</f>
        <v/>
      </c>
      <c r="G19" s="15">
        <f>D19*E19</f>
        <v/>
      </c>
      <c r="I19" s="23" t="n"/>
      <c r="J19" s="23" t="n"/>
      <c r="K19" s="23" t="n"/>
    </row>
    <row r="20">
      <c r="B20" s="16" t="inlineStr">
        <is>
          <t>I</t>
        </is>
      </c>
      <c r="C20" s="15">
        <f>VLOOKUP(B20,PROJECT_DATA!$A$8:$C$17,2,FALSE)</f>
        <v/>
      </c>
      <c r="D20" s="15">
        <f>VLOOKUP(B20,PROJECT_DATA!$A$8:$C$17,3,FALSE)</f>
        <v/>
      </c>
      <c r="E20" s="35" t="n">
        <v>1</v>
      </c>
      <c r="F20" s="15">
        <f>C20*E20</f>
        <v/>
      </c>
      <c r="G20" s="15">
        <f>D20*E20</f>
        <v/>
      </c>
      <c r="I20" s="24" t="inlineStr">
        <is>
          <t>Overall Status (all checks)</t>
        </is>
      </c>
      <c r="J20" s="24">
        <f>IF(COUNTIF($J$14:$J$18,"Review")=0,"OK","Review")</f>
        <v/>
      </c>
      <c r="K20" s="23" t="n"/>
    </row>
    <row r="21">
      <c r="B21" s="16" t="inlineStr">
        <is>
          <t>J</t>
        </is>
      </c>
      <c r="C21" s="15">
        <f>VLOOKUP(B21,PROJECT_DATA!$A$8:$C$17,2,FALSE)</f>
        <v/>
      </c>
      <c r="D21" s="15">
        <f>VLOOKUP(B21,PROJECT_DATA!$A$8:$C$17,3,FALSE)</f>
        <v/>
      </c>
      <c r="E21" s="35" t="n">
        <v>1</v>
      </c>
      <c r="F21" s="15">
        <f>C21*E21</f>
        <v/>
      </c>
      <c r="G21" s="15">
        <f>D21*E21</f>
        <v/>
      </c>
    </row>
    <row r="22">
      <c r="B22" s="58" t="inlineStr">
        <is>
          <t>CALCULATIONS</t>
        </is>
      </c>
      <c r="C22" s="59" t="n"/>
      <c r="D22" s="59" t="n"/>
      <c r="E22" s="59" t="n"/>
      <c r="F22" s="59" t="n"/>
      <c r="G22" s="60" t="n"/>
      <c r="I22" s="61" t="inlineStr">
        <is>
          <t>Solver Setup (enter in Excel Solver)</t>
        </is>
      </c>
    </row>
    <row r="23">
      <c r="B23" s="26" t="inlineStr">
        <is>
          <t>Total Cost (₹)</t>
        </is>
      </c>
      <c r="C23" s="27">
        <f>SUM(F12:F21)</f>
        <v/>
      </c>
      <c r="D23" s="25" t="n"/>
      <c r="E23" s="25" t="n"/>
      <c r="F23" s="25" t="n"/>
      <c r="G23" s="25" t="n"/>
      <c r="I23" s="36" t="inlineStr">
        <is>
          <t>Set Objective</t>
        </is>
      </c>
      <c r="J23" s="37" t="inlineStr">
        <is>
          <t>C24 (Total NPV)</t>
        </is>
      </c>
    </row>
    <row r="24">
      <c r="B24" s="26" t="inlineStr">
        <is>
          <t>Total NPV (₹)</t>
        </is>
      </c>
      <c r="C24" s="27">
        <f>SUM(G12:G21)</f>
        <v/>
      </c>
      <c r="D24" s="25" t="n"/>
      <c r="E24" s="25" t="n"/>
      <c r="F24" s="25" t="n"/>
      <c r="G24" s="25" t="n"/>
      <c r="I24" s="36" t="inlineStr">
        <is>
          <t>To</t>
        </is>
      </c>
      <c r="J24" s="37" t="inlineStr">
        <is>
          <t>Max</t>
        </is>
      </c>
    </row>
    <row r="25">
      <c r="B25" s="26" t="inlineStr">
        <is>
          <t>Budget Slack (₹)</t>
        </is>
      </c>
      <c r="C25" s="27">
        <f>$C$5-$C$23</f>
        <v/>
      </c>
      <c r="D25" s="25" t="n"/>
      <c r="E25" s="25" t="n"/>
      <c r="F25" s="25" t="n"/>
      <c r="G25" s="25" t="n"/>
      <c r="I25" s="36" t="inlineStr">
        <is>
          <t>By Changing Variable Cells</t>
        </is>
      </c>
      <c r="J25" s="37" t="inlineStr">
        <is>
          <t>E12:E21</t>
        </is>
      </c>
    </row>
    <row r="26" ht="29" customHeight="1" s="56">
      <c r="B26" s="26" t="inlineStr">
        <is>
          <t>Projects Selected (count)</t>
        </is>
      </c>
      <c r="C26" s="28">
        <f>SUM(E12:E21)</f>
        <v/>
      </c>
      <c r="D26" s="25" t="n"/>
      <c r="E26" s="25" t="n"/>
      <c r="F26" s="25" t="n"/>
      <c r="G26" s="25" t="n"/>
      <c r="I26" s="36" t="inlineStr">
        <is>
          <t>Constraints (core)</t>
        </is>
      </c>
      <c r="J26" s="37" t="inlineStr">
        <is>
          <t>C23 &lt;= C5; E12:E21 Binary</t>
        </is>
      </c>
    </row>
    <row r="27">
      <c r="B27" s="25" t="n"/>
      <c r="C27" s="25" t="n"/>
      <c r="D27" s="25" t="n"/>
      <c r="E27" s="25" t="n"/>
      <c r="F27" s="25" t="n"/>
      <c r="G27" s="25" t="n"/>
      <c r="I27" s="36" t="inlineStr">
        <is>
          <t>Solving Method</t>
        </is>
      </c>
      <c r="J27" s="37" t="inlineStr">
        <is>
          <t>Simplex LP</t>
        </is>
      </c>
    </row>
    <row r="28" ht="31" customHeight="1" s="56">
      <c r="B28" s="29" t="inlineStr">
        <is>
          <t>Constraint helper calculations</t>
        </is>
      </c>
      <c r="C28" s="25" t="n"/>
      <c r="D28" s="25" t="n"/>
      <c r="E28" s="25" t="n"/>
      <c r="F28" s="25" t="n"/>
      <c r="G28" s="25" t="n"/>
    </row>
    <row r="29">
      <c r="B29" s="26" t="inlineStr">
        <is>
          <t>Cost(ABC)</t>
        </is>
      </c>
      <c r="C29" s="27">
        <f>SUMPRODUCT(--ISNUMBER(MATCH($B$12:$B$21,{"A","B","C"},0)),$C$12:$C$21,$E$12:$E$21)</f>
        <v/>
      </c>
      <c r="D29" s="25" t="n"/>
      <c r="E29" s="25" t="n"/>
      <c r="F29" s="25" t="n"/>
      <c r="G29" s="25" t="n"/>
    </row>
    <row r="30">
      <c r="B30" s="26" t="inlineStr">
        <is>
          <t>Cost(ACF)</t>
        </is>
      </c>
      <c r="C30" s="27">
        <f>SUMPRODUCT(--ISNUMBER(MATCH($B$12:$B$21,{"A","C","F"},0)),$C$12:$C$21,$E$12:$E$21)</f>
        <v/>
      </c>
      <c r="D30" s="25" t="n"/>
      <c r="E30" s="25" t="n"/>
      <c r="F30" s="25" t="n"/>
      <c r="G30" s="25" t="n"/>
    </row>
    <row r="31">
      <c r="B31" s="26" t="inlineStr">
        <is>
          <t>Cost(DEG)</t>
        </is>
      </c>
      <c r="C31" s="27">
        <f>SUMPRODUCT(--ISNUMBER(MATCH($B$12:$B$21,{"D","E","G"},0)),$C$12:$C$21,$E$12:$E$21)</f>
        <v/>
      </c>
      <c r="D31" s="25" t="n"/>
      <c r="E31" s="25" t="n"/>
      <c r="F31" s="25" t="n"/>
      <c r="G31" s="25" t="n"/>
    </row>
    <row r="32" ht="29" customHeight="1" s="56">
      <c r="B32" s="26" t="inlineStr">
        <is>
          <t>High-cost count (Cost&gt;₹7,00,000)</t>
        </is>
      </c>
      <c r="C32" s="25">
        <f>SUMPRODUCT(--($C$12:$C$21&gt;700000),$E$12:$E$21)</f>
        <v/>
      </c>
      <c r="D32" s="25" t="n"/>
      <c r="E32" s="25" t="n"/>
      <c r="F32" s="25" t="n"/>
      <c r="G32" s="25" t="n"/>
    </row>
    <row r="33">
      <c r="B33" s="26" t="inlineStr">
        <is>
          <t>NPV/Cost ratio</t>
        </is>
      </c>
      <c r="C33" s="30">
        <f>IF($C$23=0,"",$C$24/$C$23)</f>
        <v/>
      </c>
      <c r="D33" s="25" t="n"/>
      <c r="E33" s="25" t="n"/>
      <c r="F33" s="25" t="n"/>
      <c r="G33" s="25" t="n"/>
    </row>
    <row r="34">
      <c r="B34" s="25" t="n"/>
      <c r="C34" s="25" t="n"/>
      <c r="D34" s="25" t="n"/>
      <c r="E34" s="25" t="n"/>
      <c r="F34" s="25" t="n"/>
      <c r="G34" s="25"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B22:G22"/>
    <mergeCell ref="I22:N22"/>
    <mergeCell ref="B4:G4"/>
    <mergeCell ref="I12:N12"/>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34"/>
  <sheetViews>
    <sheetView topLeftCell="A9" workbookViewId="0">
      <selection activeCell="E12" sqref="E12:E21"/>
    </sheetView>
  </sheetViews>
  <sheetFormatPr baseColWidth="8" defaultRowHeight="14.5"/>
  <cols>
    <col width="3" customWidth="1" style="56" min="1" max="1"/>
    <col width="18" customWidth="1" style="56" min="2" max="4"/>
    <col width="12" customWidth="1" style="56" min="5" max="5"/>
    <col width="18" customWidth="1" style="56" min="6" max="7"/>
    <col width="3" customWidth="1" style="56" min="8" max="8"/>
    <col width="28" customWidth="1" style="56" min="9" max="9"/>
    <col width="20" customWidth="1" style="56" min="10" max="12"/>
    <col width="18" customWidth="1" style="56" min="13" max="14"/>
  </cols>
  <sheetData>
    <row r="1">
      <c r="A1" s="55" t="inlineStr">
        <is>
          <t>Caselet 2 – Portfolio Selection at NovaTech Inc.</t>
        </is>
      </c>
    </row>
    <row r="2">
      <c r="A2" s="11" t="inlineStr">
        <is>
          <t>⬅ Back to Index</t>
        </is>
      </c>
    </row>
    <row r="3"/>
    <row r="4">
      <c r="B4" s="62" t="inlineStr">
        <is>
          <t>INPUTS</t>
        </is>
      </c>
      <c r="C4" s="59" t="n"/>
      <c r="D4" s="59" t="n"/>
      <c r="E4" s="59" t="n"/>
      <c r="F4" s="59" t="n"/>
      <c r="G4" s="60" t="n"/>
      <c r="I4" s="64" t="inlineStr">
        <is>
          <t>OUTPUTS / DECISION</t>
        </is>
      </c>
      <c r="J4" s="59" t="n"/>
      <c r="K4" s="59" t="n"/>
      <c r="L4" s="59" t="n"/>
      <c r="M4" s="59" t="n"/>
      <c r="N4" s="60" t="n"/>
    </row>
    <row r="5" ht="15.5" customHeight="1" s="56">
      <c r="B5" s="14" t="inlineStr">
        <is>
          <t>Capital Budget (₹)</t>
        </is>
      </c>
      <c r="C5" s="15">
        <f>PROJECT_DATA!$B$5</f>
        <v/>
      </c>
      <c r="D5" s="16" t="n"/>
      <c r="E5" s="16" t="n"/>
      <c r="F5" s="16" t="n"/>
      <c r="G5" s="16" t="n"/>
      <c r="I5" s="17" t="inlineStr">
        <is>
          <t>Key Outputs</t>
        </is>
      </c>
      <c r="J5" s="13" t="n"/>
      <c r="K5" s="13" t="n"/>
      <c r="L5" s="13" t="n"/>
      <c r="M5" s="13" t="n"/>
      <c r="N5" s="13" t="n"/>
    </row>
    <row r="6">
      <c r="B6" s="14" t="inlineStr">
        <is>
          <t>Objective</t>
        </is>
      </c>
      <c r="C6" s="16" t="inlineStr">
        <is>
          <t>Maximize Total NPV</t>
        </is>
      </c>
      <c r="D6" s="16" t="n"/>
      <c r="E6" s="16" t="n"/>
      <c r="F6" s="16" t="n"/>
      <c r="G6" s="16" t="n"/>
      <c r="I6" s="64" t="inlineStr">
        <is>
          <t>Metric</t>
        </is>
      </c>
      <c r="J6" s="64" t="inlineStr">
        <is>
          <t>Value</t>
        </is>
      </c>
      <c r="K6" s="13" t="n"/>
      <c r="L6" s="13" t="n"/>
      <c r="M6" s="13" t="n"/>
      <c r="N6" s="13" t="n"/>
    </row>
    <row r="7" ht="29" customHeight="1" s="56">
      <c r="B7" s="14" t="inlineStr">
        <is>
          <t>Decision variables</t>
        </is>
      </c>
      <c r="C7" s="16" t="inlineStr">
        <is>
          <t>Select? (0/1) for each project</t>
        </is>
      </c>
      <c r="D7" s="16" t="n"/>
      <c r="E7" s="16" t="n"/>
      <c r="F7" s="16" t="n"/>
      <c r="G7" s="16" t="n"/>
      <c r="I7" s="13" t="inlineStr">
        <is>
          <t>Total Cost (₹)</t>
        </is>
      </c>
      <c r="J7" s="18">
        <f>C23</f>
        <v/>
      </c>
      <c r="K7" s="13" t="n"/>
      <c r="L7" s="13" t="n"/>
      <c r="M7" s="13" t="n"/>
      <c r="N7" s="13" t="n"/>
    </row>
    <row r="8" ht="87" customHeight="1" s="56">
      <c r="B8" s="14" t="inlineStr">
        <is>
          <t>Solver note</t>
        </is>
      </c>
      <c r="C8" s="16" t="inlineStr">
        <is>
          <t>Objective: C24 (Total NPV). Variable cells: E12:E21 (Binary). Add constraints in Checks.</t>
        </is>
      </c>
      <c r="D8" s="16" t="n"/>
      <c r="E8" s="16" t="n"/>
      <c r="F8" s="16" t="n"/>
      <c r="G8" s="16" t="n"/>
      <c r="I8" s="13" t="inlineStr">
        <is>
          <t>Total NPV (₹)</t>
        </is>
      </c>
      <c r="J8" s="18">
        <f>C24</f>
        <v/>
      </c>
      <c r="K8" s="13" t="n"/>
      <c r="L8" s="13" t="n"/>
      <c r="M8" s="13" t="n"/>
      <c r="N8" s="13" t="n"/>
    </row>
    <row r="9" ht="101.5" customHeight="1" s="56">
      <c r="B9" s="16" t="n"/>
      <c r="C9" s="34" t="inlineStr">
        <is>
          <t>Pre-filled with an optimal solution (computed and saved). You may re-run Solver after changing any input/constraint.</t>
        </is>
      </c>
      <c r="D9" s="16" t="n"/>
      <c r="E9" s="16" t="n"/>
      <c r="F9" s="16" t="n"/>
      <c r="G9" s="16" t="n"/>
      <c r="I9" s="13" t="inlineStr">
        <is>
          <t>Budget Slack (₹)</t>
        </is>
      </c>
      <c r="J9" s="18">
        <f>C25</f>
        <v/>
      </c>
      <c r="K9" s="13" t="n"/>
      <c r="L9" s="13" t="n"/>
      <c r="M9" s="13" t="n"/>
      <c r="N9" s="13" t="n"/>
    </row>
    <row r="10" ht="62" customHeight="1" s="56">
      <c r="B10" s="19" t="inlineStr">
        <is>
          <t>Project Portfolio (Cost &amp; NPV referenced from PROJECT_DATA)</t>
        </is>
      </c>
      <c r="C10" s="16" t="n"/>
      <c r="D10" s="16" t="n"/>
      <c r="E10" s="16" t="n"/>
      <c r="F10" s="16" t="n"/>
      <c r="G10" s="16" t="n"/>
      <c r="I10" s="13" t="inlineStr">
        <is>
          <t>Projects Selected</t>
        </is>
      </c>
      <c r="J10" s="20">
        <f>C26</f>
        <v/>
      </c>
      <c r="K10" s="13" t="n"/>
      <c r="L10" s="13" t="n"/>
      <c r="M10" s="13" t="n"/>
      <c r="N10" s="13" t="n"/>
    </row>
    <row r="11">
      <c r="B11" s="21" t="inlineStr">
        <is>
          <t>Project</t>
        </is>
      </c>
      <c r="C11" s="21" t="inlineStr">
        <is>
          <t>Cost (₹)</t>
        </is>
      </c>
      <c r="D11" s="21" t="inlineStr">
        <is>
          <t>NPV (₹)</t>
        </is>
      </c>
      <c r="E11" s="21" t="inlineStr">
        <is>
          <t>Select? (0/1)</t>
        </is>
      </c>
      <c r="F11" s="21" t="inlineStr">
        <is>
          <t>Selected Cost (₹)</t>
        </is>
      </c>
      <c r="G11" s="21" t="inlineStr">
        <is>
          <t>Selected NPV (₹)</t>
        </is>
      </c>
    </row>
    <row r="12">
      <c r="B12" s="16" t="inlineStr">
        <is>
          <t>A</t>
        </is>
      </c>
      <c r="C12" s="15">
        <f>VLOOKUP(B12,PROJECT_DATA!$A$8:$C$17,2,FALSE)</f>
        <v/>
      </c>
      <c r="D12" s="15">
        <f>VLOOKUP(B12,PROJECT_DATA!$A$8:$C$17,3,FALSE)</f>
        <v/>
      </c>
      <c r="E12" s="35" t="n">
        <v>1</v>
      </c>
      <c r="F12" s="15">
        <f>C12*E12</f>
        <v/>
      </c>
      <c r="G12" s="15">
        <f>D12*E12</f>
        <v/>
      </c>
      <c r="I12" s="63" t="inlineStr">
        <is>
          <t>CHECKS</t>
        </is>
      </c>
      <c r="J12" s="59" t="n"/>
      <c r="K12" s="59" t="n"/>
      <c r="L12" s="59" t="n"/>
      <c r="M12" s="59" t="n"/>
      <c r="N12" s="60" t="n"/>
    </row>
    <row r="13">
      <c r="B13" s="16" t="inlineStr">
        <is>
          <t>B</t>
        </is>
      </c>
      <c r="C13" s="15">
        <f>VLOOKUP(B13,PROJECT_DATA!$A$8:$C$17,2,FALSE)</f>
        <v/>
      </c>
      <c r="D13" s="15">
        <f>VLOOKUP(B13,PROJECT_DATA!$A$8:$C$17,3,FALSE)</f>
        <v/>
      </c>
      <c r="E13" s="35" t="n">
        <v>1</v>
      </c>
      <c r="F13" s="15">
        <f>C13*E13</f>
        <v/>
      </c>
      <c r="G13" s="15">
        <f>D13*E13</f>
        <v/>
      </c>
      <c r="I13" s="63" t="inlineStr">
        <is>
          <t>Check / Constraint</t>
        </is>
      </c>
      <c r="J13" s="63" t="inlineStr">
        <is>
          <t>Status</t>
        </is>
      </c>
      <c r="K13" s="23" t="n"/>
    </row>
    <row r="14">
      <c r="B14" s="16" t="inlineStr">
        <is>
          <t>C</t>
        </is>
      </c>
      <c r="C14" s="15">
        <f>VLOOKUP(B14,PROJECT_DATA!$A$8:$C$17,2,FALSE)</f>
        <v/>
      </c>
      <c r="D14" s="15">
        <f>VLOOKUP(B14,PROJECT_DATA!$A$8:$C$17,3,FALSE)</f>
        <v/>
      </c>
      <c r="E14" s="35" t="n">
        <v>1</v>
      </c>
      <c r="F14" s="15">
        <f>C14*E14</f>
        <v/>
      </c>
      <c r="G14" s="15">
        <f>D14*E14</f>
        <v/>
      </c>
      <c r="I14" s="23" t="inlineStr">
        <is>
          <t>Budget: Total Cost ≤ Budget</t>
        </is>
      </c>
      <c r="J14" s="23">
        <f>IF($C$23&lt;=$C$5,"OK","Review")</f>
        <v/>
      </c>
      <c r="K14" s="23" t="n"/>
    </row>
    <row r="15" ht="29" customHeight="1" s="56">
      <c r="B15" s="16" t="inlineStr">
        <is>
          <t>D</t>
        </is>
      </c>
      <c r="C15" s="15">
        <f>VLOOKUP(B15,PROJECT_DATA!$A$8:$C$17,2,FALSE)</f>
        <v/>
      </c>
      <c r="D15" s="15">
        <f>VLOOKUP(B15,PROJECT_DATA!$A$8:$C$17,3,FALSE)</f>
        <v/>
      </c>
      <c r="E15" s="35" t="n">
        <v>1</v>
      </c>
      <c r="F15" s="15">
        <f>C15*E15</f>
        <v/>
      </c>
      <c r="G15" s="15">
        <f>D15*E15</f>
        <v/>
      </c>
      <c r="I15" s="23" t="inlineStr">
        <is>
          <t>Binary inputs (0/1) in Select? column</t>
        </is>
      </c>
      <c r="J15" s="23">
        <f>IF(COUNTIF($E$12:$E$21,"&lt;0")+COUNTIF($E$12:$E$21,"&gt;1")=0,"OK","Review")</f>
        <v/>
      </c>
      <c r="K15" s="23" t="n"/>
    </row>
    <row r="16" ht="29" customHeight="1" s="56">
      <c r="B16" s="16" t="inlineStr">
        <is>
          <t>E</t>
        </is>
      </c>
      <c r="C16" s="15">
        <f>VLOOKUP(B16,PROJECT_DATA!$A$8:$C$17,2,FALSE)</f>
        <v/>
      </c>
      <c r="D16" s="15">
        <f>VLOOKUP(B16,PROJECT_DATA!$A$8:$C$17,3,FALSE)</f>
        <v/>
      </c>
      <c r="E16" s="35" t="n">
        <v>1</v>
      </c>
      <c r="F16" s="15">
        <f>C16*E16</f>
        <v/>
      </c>
      <c r="G16" s="15">
        <f>D16*E16</f>
        <v/>
      </c>
      <c r="I16" s="23" t="inlineStr">
        <is>
          <t>Minimum projects selected (SUM E ≥ 5)</t>
        </is>
      </c>
      <c r="J16" s="23">
        <f>IF($C$26&gt;=5,"OK","Review")</f>
        <v/>
      </c>
      <c r="K16" s="23" t="n"/>
    </row>
    <row r="17" ht="29" customHeight="1" s="56">
      <c r="B17" s="16" t="inlineStr">
        <is>
          <t>F</t>
        </is>
      </c>
      <c r="C17" s="15">
        <f>VLOOKUP(B17,PROJECT_DATA!$A$8:$C$17,2,FALSE)</f>
        <v/>
      </c>
      <c r="D17" s="15">
        <f>VLOOKUP(B17,PROJECT_DATA!$A$8:$C$17,3,FALSE)</f>
        <v/>
      </c>
      <c r="E17" s="35" t="n">
        <v>1</v>
      </c>
      <c r="F17" s="15">
        <f>C17*E17</f>
        <v/>
      </c>
      <c r="G17" s="15">
        <f>D17*E17</f>
        <v/>
      </c>
      <c r="I17" s="23" t="inlineStr">
        <is>
          <t>Maximum projects selected (SUM E ≤ 7)</t>
        </is>
      </c>
      <c r="J17" s="23">
        <f>IF($C$26&lt;=7,"OK","Review")</f>
        <v/>
      </c>
      <c r="K17" s="23" t="n"/>
    </row>
    <row r="18" ht="29" customHeight="1" s="56">
      <c r="B18" s="16" t="inlineStr">
        <is>
          <t>G</t>
        </is>
      </c>
      <c r="C18" s="15">
        <f>VLOOKUP(B18,PROJECT_DATA!$A$8:$C$17,2,FALSE)</f>
        <v/>
      </c>
      <c r="D18" s="15">
        <f>VLOOKUP(B18,PROJECT_DATA!$A$8:$C$17,3,FALSE)</f>
        <v/>
      </c>
      <c r="E18" s="35" t="n">
        <v>1</v>
      </c>
      <c r="F18" s="15">
        <f>C18*E18</f>
        <v/>
      </c>
      <c r="G18" s="15">
        <f>D18*E18</f>
        <v/>
      </c>
      <c r="I18" s="23" t="inlineStr">
        <is>
          <t>Mutual inclusion: G → H (EG ≤ EH)</t>
        </is>
      </c>
      <c r="J18" s="23">
        <f>IF($E$18&lt;=$E$19,"OK","Review")</f>
        <v/>
      </c>
      <c r="K18" s="23" t="n"/>
    </row>
    <row r="19">
      <c r="B19" s="16" t="inlineStr">
        <is>
          <t>H</t>
        </is>
      </c>
      <c r="C19" s="15">
        <f>VLOOKUP(B19,PROJECT_DATA!$A$8:$C$17,2,FALSE)</f>
        <v/>
      </c>
      <c r="D19" s="15">
        <f>VLOOKUP(B19,PROJECT_DATA!$A$8:$C$17,3,FALSE)</f>
        <v/>
      </c>
      <c r="E19" s="35" t="n">
        <v>1</v>
      </c>
      <c r="F19" s="15">
        <f>C19*E19</f>
        <v/>
      </c>
      <c r="G19" s="15">
        <f>D19*E19</f>
        <v/>
      </c>
      <c r="I19" s="23" t="n"/>
      <c r="J19" s="23" t="n"/>
      <c r="K19" s="23" t="n"/>
    </row>
    <row r="20">
      <c r="B20" s="16" t="inlineStr">
        <is>
          <t>I</t>
        </is>
      </c>
      <c r="C20" s="15">
        <f>VLOOKUP(B20,PROJECT_DATA!$A$8:$C$17,2,FALSE)</f>
        <v/>
      </c>
      <c r="D20" s="15">
        <f>VLOOKUP(B20,PROJECT_DATA!$A$8:$C$17,3,FALSE)</f>
        <v/>
      </c>
      <c r="E20" s="35" t="n">
        <v>1</v>
      </c>
      <c r="F20" s="15">
        <f>C20*E20</f>
        <v/>
      </c>
      <c r="G20" s="15">
        <f>D20*E20</f>
        <v/>
      </c>
      <c r="I20" s="24" t="inlineStr">
        <is>
          <t>Overall Status (all checks)</t>
        </is>
      </c>
      <c r="J20" s="24">
        <f>IF(COUNTIF($J$14:$J$18,"Review")=0,"OK","Review")</f>
        <v/>
      </c>
      <c r="K20" s="23" t="n"/>
    </row>
    <row r="21">
      <c r="B21" s="16" t="inlineStr">
        <is>
          <t>J</t>
        </is>
      </c>
      <c r="C21" s="15">
        <f>VLOOKUP(B21,PROJECT_DATA!$A$8:$C$17,2,FALSE)</f>
        <v/>
      </c>
      <c r="D21" s="15">
        <f>VLOOKUP(B21,PROJECT_DATA!$A$8:$C$17,3,FALSE)</f>
        <v/>
      </c>
      <c r="E21" s="35" t="n">
        <v>1</v>
      </c>
      <c r="F21" s="15">
        <f>C21*E21</f>
        <v/>
      </c>
      <c r="G21" s="15">
        <f>D21*E21</f>
        <v/>
      </c>
    </row>
    <row r="22">
      <c r="B22" s="58" t="inlineStr">
        <is>
          <t>CALCULATIONS</t>
        </is>
      </c>
      <c r="C22" s="59" t="n"/>
      <c r="D22" s="59" t="n"/>
      <c r="E22" s="59" t="n"/>
      <c r="F22" s="59" t="n"/>
      <c r="G22" s="60" t="n"/>
      <c r="I22" s="61" t="inlineStr">
        <is>
          <t>Solver Setup (enter in Excel Solver)</t>
        </is>
      </c>
    </row>
    <row r="23">
      <c r="B23" s="26" t="inlineStr">
        <is>
          <t>Total Cost (₹)</t>
        </is>
      </c>
      <c r="C23" s="27">
        <f>SUM(F12:F21)</f>
        <v/>
      </c>
      <c r="D23" s="25" t="n"/>
      <c r="E23" s="25" t="n"/>
      <c r="F23" s="25" t="n"/>
      <c r="G23" s="25" t="n"/>
      <c r="I23" s="36" t="inlineStr">
        <is>
          <t>Set Objective</t>
        </is>
      </c>
      <c r="J23" s="37" t="inlineStr">
        <is>
          <t>C24 (Total NPV)</t>
        </is>
      </c>
    </row>
    <row r="24">
      <c r="B24" s="26" t="inlineStr">
        <is>
          <t>Total NPV (₹)</t>
        </is>
      </c>
      <c r="C24" s="27">
        <f>SUM(G12:G21)</f>
        <v/>
      </c>
      <c r="D24" s="25" t="n"/>
      <c r="E24" s="25" t="n"/>
      <c r="F24" s="25" t="n"/>
      <c r="G24" s="25" t="n"/>
      <c r="I24" s="36" t="inlineStr">
        <is>
          <t>To</t>
        </is>
      </c>
      <c r="J24" s="37" t="inlineStr">
        <is>
          <t>Max</t>
        </is>
      </c>
    </row>
    <row r="25">
      <c r="B25" s="26" t="inlineStr">
        <is>
          <t>Budget Slack (₹)</t>
        </is>
      </c>
      <c r="C25" s="27">
        <f>$C$5-$C$23</f>
        <v/>
      </c>
      <c r="D25" s="25" t="n"/>
      <c r="E25" s="25" t="n"/>
      <c r="F25" s="25" t="n"/>
      <c r="G25" s="25" t="n"/>
      <c r="I25" s="36" t="inlineStr">
        <is>
          <t>By Changing Variable Cells</t>
        </is>
      </c>
      <c r="J25" s="37" t="inlineStr">
        <is>
          <t>E12:E21</t>
        </is>
      </c>
    </row>
    <row r="26" ht="29" customHeight="1" s="56">
      <c r="B26" s="26" t="inlineStr">
        <is>
          <t>Projects Selected (count)</t>
        </is>
      </c>
      <c r="C26" s="28">
        <f>SUM(E12:E21)</f>
        <v/>
      </c>
      <c r="D26" s="25" t="n"/>
      <c r="E26" s="25" t="n"/>
      <c r="F26" s="25" t="n"/>
      <c r="G26" s="25" t="n"/>
      <c r="I26" s="36" t="inlineStr">
        <is>
          <t>Constraints (core)</t>
        </is>
      </c>
      <c r="J26" s="37" t="inlineStr">
        <is>
          <t>C23 &lt;= C5; E12:E21 Binary</t>
        </is>
      </c>
    </row>
    <row r="27">
      <c r="B27" s="25" t="n"/>
      <c r="C27" s="25" t="n"/>
      <c r="D27" s="25" t="n"/>
      <c r="E27" s="25" t="n"/>
      <c r="F27" s="25" t="n"/>
      <c r="G27" s="25" t="n"/>
      <c r="I27" s="36" t="inlineStr">
        <is>
          <t>Solving Method</t>
        </is>
      </c>
      <c r="J27" s="37" t="inlineStr">
        <is>
          <t>Simplex LP</t>
        </is>
      </c>
    </row>
    <row r="28" ht="31" customHeight="1" s="56">
      <c r="B28" s="29" t="inlineStr">
        <is>
          <t>Constraint helper calculations</t>
        </is>
      </c>
      <c r="C28" s="25" t="n"/>
      <c r="D28" s="25" t="n"/>
      <c r="E28" s="25" t="n"/>
      <c r="F28" s="25" t="n"/>
      <c r="G28" s="25" t="n"/>
    </row>
    <row r="29">
      <c r="B29" s="26" t="inlineStr">
        <is>
          <t>Cost(ABC)</t>
        </is>
      </c>
      <c r="C29" s="27">
        <f>SUMPRODUCT(--ISNUMBER(MATCH($B$12:$B$21,{"A","B","C"},0)),$C$12:$C$21,$E$12:$E$21)</f>
        <v/>
      </c>
      <c r="D29" s="25" t="n"/>
      <c r="E29" s="25" t="n"/>
      <c r="F29" s="25" t="n"/>
      <c r="G29" s="25" t="n"/>
    </row>
    <row r="30">
      <c r="B30" s="26" t="inlineStr">
        <is>
          <t>Cost(ACF)</t>
        </is>
      </c>
      <c r="C30" s="27">
        <f>SUMPRODUCT(--ISNUMBER(MATCH($B$12:$B$21,{"A","C","F"},0)),$C$12:$C$21,$E$12:$E$21)</f>
        <v/>
      </c>
      <c r="D30" s="25" t="n"/>
      <c r="E30" s="25" t="n"/>
      <c r="F30" s="25" t="n"/>
      <c r="G30" s="25" t="n"/>
    </row>
    <row r="31">
      <c r="B31" s="26" t="inlineStr">
        <is>
          <t>Cost(DEG)</t>
        </is>
      </c>
      <c r="C31" s="27">
        <f>SUMPRODUCT(--ISNUMBER(MATCH($B$12:$B$21,{"D","E","G"},0)),$C$12:$C$21,$E$12:$E$21)</f>
        <v/>
      </c>
      <c r="D31" s="25" t="n"/>
      <c r="E31" s="25" t="n"/>
      <c r="F31" s="25" t="n"/>
      <c r="G31" s="25" t="n"/>
    </row>
    <row r="32" ht="29" customHeight="1" s="56">
      <c r="B32" s="26" t="inlineStr">
        <is>
          <t>High-cost count (Cost&gt;₹7,00,000)</t>
        </is>
      </c>
      <c r="C32" s="25">
        <f>SUMPRODUCT(--($C$12:$C$21&gt;700000),$E$12:$E$21)</f>
        <v/>
      </c>
      <c r="D32" s="25" t="n"/>
      <c r="E32" s="25" t="n"/>
      <c r="F32" s="25" t="n"/>
      <c r="G32" s="25" t="n"/>
    </row>
    <row r="33">
      <c r="B33" s="26" t="inlineStr">
        <is>
          <t>NPV/Cost ratio</t>
        </is>
      </c>
      <c r="C33" s="30">
        <f>IF($C$23=0,"",$C$24/$C$23)</f>
        <v/>
      </c>
      <c r="D33" s="25" t="n"/>
      <c r="E33" s="25" t="n"/>
      <c r="F33" s="25" t="n"/>
      <c r="G33" s="25" t="n"/>
    </row>
    <row r="34">
      <c r="B34" s="25" t="n"/>
      <c r="C34" s="25" t="n"/>
      <c r="D34" s="25" t="n"/>
      <c r="E34" s="25" t="n"/>
      <c r="F34" s="25" t="n"/>
      <c r="G34" s="25"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B22:G22"/>
    <mergeCell ref="I22:N22"/>
    <mergeCell ref="B4:G4"/>
    <mergeCell ref="I12:N12"/>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34"/>
  <sheetViews>
    <sheetView topLeftCell="C10" zoomScaleNormal="100" workbookViewId="0">
      <pane xSplit="9" ySplit="5" topLeftCell="L15" activePane="bottomRight" state="frozen"/>
      <selection activeCell="C10" sqref="C10"/>
      <selection pane="topRight" activeCell="L10" sqref="L10"/>
      <selection pane="bottomLeft" activeCell="C15" sqref="C15"/>
      <selection pane="bottomRight" activeCell="E12" sqref="E12:E21"/>
    </sheetView>
  </sheetViews>
  <sheetFormatPr baseColWidth="8" defaultRowHeight="14.5"/>
  <cols>
    <col width="3" customWidth="1" style="56" min="1" max="1"/>
    <col width="18" customWidth="1" style="56" min="2" max="4"/>
    <col width="12" customWidth="1" style="56" min="5" max="5"/>
    <col width="18" customWidth="1" style="56" min="6" max="7"/>
    <col width="3" customWidth="1" style="56" min="8" max="8"/>
    <col width="28" customWidth="1" style="56" min="9" max="9"/>
    <col width="20" customWidth="1" style="56" min="10" max="12"/>
    <col width="18" customWidth="1" style="56" min="13" max="14"/>
  </cols>
  <sheetData>
    <row r="1">
      <c r="A1" s="55" t="inlineStr">
        <is>
          <t>Caselet 3 – Capital Budgeting Decision at InnovateCorp</t>
        </is>
      </c>
    </row>
    <row r="2">
      <c r="A2" s="11" t="inlineStr">
        <is>
          <t>⬅ Back to Index</t>
        </is>
      </c>
    </row>
    <row r="3"/>
    <row r="4">
      <c r="B4" s="62" t="inlineStr">
        <is>
          <t>INPUTS</t>
        </is>
      </c>
      <c r="C4" s="59" t="n"/>
      <c r="D4" s="59" t="n"/>
      <c r="E4" s="59" t="n"/>
      <c r="F4" s="59" t="n"/>
      <c r="G4" s="60" t="n"/>
      <c r="I4" s="64" t="inlineStr">
        <is>
          <t>OUTPUTS / DECISION</t>
        </is>
      </c>
      <c r="J4" s="59" t="n"/>
      <c r="K4" s="59" t="n"/>
      <c r="L4" s="59" t="n"/>
      <c r="M4" s="59" t="n"/>
      <c r="N4" s="60" t="n"/>
    </row>
    <row r="5" ht="29" customHeight="1" s="56">
      <c r="B5" s="14" t="inlineStr">
        <is>
          <t>Capital Budget (₹)</t>
        </is>
      </c>
      <c r="C5" s="15">
        <f>PROJECT_DATA!$B$5</f>
        <v/>
      </c>
      <c r="D5" s="16" t="n"/>
      <c r="E5" s="14" t="inlineStr">
        <is>
          <t>Low NPV cutoff (₹)</t>
        </is>
      </c>
      <c r="F5" s="15" t="n">
        <v>100000</v>
      </c>
      <c r="G5" s="16" t="n"/>
      <c r="I5" s="17" t="inlineStr">
        <is>
          <t>Key Outputs</t>
        </is>
      </c>
      <c r="J5" s="13" t="n"/>
      <c r="K5" s="13" t="n"/>
      <c r="L5" s="13" t="n"/>
      <c r="M5" s="13" t="n"/>
      <c r="N5" s="13" t="n"/>
    </row>
    <row r="6" ht="29" customHeight="1" s="56">
      <c r="B6" s="14" t="inlineStr">
        <is>
          <t>Objective</t>
        </is>
      </c>
      <c r="C6" s="16" t="inlineStr">
        <is>
          <t>Maximize Total NPV</t>
        </is>
      </c>
      <c r="D6" s="16" t="n"/>
      <c r="E6" s="14" t="inlineStr">
        <is>
          <t>High NPV cutoff (₹)</t>
        </is>
      </c>
      <c r="F6" s="15" t="n">
        <v>200000</v>
      </c>
      <c r="G6" s="16" t="n"/>
      <c r="I6" s="64" t="inlineStr">
        <is>
          <t>Metric</t>
        </is>
      </c>
      <c r="J6" s="64" t="inlineStr">
        <is>
          <t>Value</t>
        </is>
      </c>
      <c r="K6" s="13" t="n"/>
      <c r="L6" s="13" t="n"/>
      <c r="M6" s="13" t="n"/>
      <c r="N6" s="13" t="n"/>
    </row>
    <row r="7" ht="29" customHeight="1" s="56">
      <c r="B7" s="14" t="inlineStr">
        <is>
          <t>Decision variables</t>
        </is>
      </c>
      <c r="C7" s="16" t="inlineStr">
        <is>
          <t>Select? (0/1) for each project</t>
        </is>
      </c>
      <c r="D7" s="16" t="n"/>
      <c r="E7" s="16" t="n"/>
      <c r="F7" s="16" t="n"/>
      <c r="G7" s="16" t="n"/>
      <c r="I7" s="13" t="inlineStr">
        <is>
          <t>Total Cost (₹)</t>
        </is>
      </c>
      <c r="J7" s="18">
        <f>C23</f>
        <v/>
      </c>
      <c r="K7" s="13" t="n"/>
      <c r="L7" s="13" t="n"/>
      <c r="M7" s="13" t="n"/>
      <c r="N7" s="13" t="n"/>
    </row>
    <row r="8" ht="87" customHeight="1" s="56">
      <c r="B8" s="14" t="inlineStr">
        <is>
          <t>Solver note</t>
        </is>
      </c>
      <c r="C8" s="16" t="inlineStr">
        <is>
          <t>Objective: C24 (Total NPV). Variable cells: E12:E21 (Binary). Add constraints in Checks.</t>
        </is>
      </c>
      <c r="D8" s="16" t="n"/>
      <c r="E8" s="16" t="n"/>
      <c r="F8" s="16" t="n"/>
      <c r="G8" s="16" t="n"/>
      <c r="I8" s="13" t="inlineStr">
        <is>
          <t>Total NPV (₹)</t>
        </is>
      </c>
      <c r="J8" s="18">
        <f>C24</f>
        <v/>
      </c>
      <c r="K8" s="13" t="n"/>
      <c r="L8" s="13" t="n"/>
      <c r="M8" s="13" t="n"/>
      <c r="N8" s="13" t="n"/>
    </row>
    <row r="9" ht="101.5" customHeight="1" s="56">
      <c r="B9" s="16" t="n"/>
      <c r="C9" s="34" t="inlineStr">
        <is>
          <t>Pre-filled with an optimal solution (computed and saved). You may re-run Solver after changing any input/constraint.</t>
        </is>
      </c>
      <c r="D9" s="16" t="n"/>
      <c r="E9" s="16" t="n"/>
      <c r="F9" s="16" t="n"/>
      <c r="G9" s="16" t="n"/>
      <c r="I9" s="13" t="inlineStr">
        <is>
          <t>Budget Slack (₹)</t>
        </is>
      </c>
      <c r="J9" s="18">
        <f>C25</f>
        <v/>
      </c>
      <c r="K9" s="13" t="n"/>
      <c r="L9" s="13" t="n"/>
      <c r="M9" s="13" t="n"/>
      <c r="N9" s="13" t="n"/>
    </row>
    <row r="10" ht="62" customHeight="1" s="56">
      <c r="B10" s="19" t="inlineStr">
        <is>
          <t>Project Portfolio (Cost &amp; NPV referenced from PROJECT_DATA)</t>
        </is>
      </c>
      <c r="C10" s="16" t="n"/>
      <c r="D10" s="16" t="n"/>
      <c r="E10" s="16" t="n"/>
      <c r="F10" s="16" t="n"/>
      <c r="G10" s="16" t="n"/>
      <c r="I10" s="13" t="inlineStr">
        <is>
          <t>Projects Selected</t>
        </is>
      </c>
      <c r="J10" s="20">
        <f>C26</f>
        <v/>
      </c>
      <c r="K10" s="13" t="n"/>
      <c r="L10" s="13" t="n"/>
      <c r="M10" s="13" t="n"/>
      <c r="N10" s="13" t="n"/>
    </row>
    <row r="11">
      <c r="B11" s="21" t="inlineStr">
        <is>
          <t>Project</t>
        </is>
      </c>
      <c r="C11" s="21" t="inlineStr">
        <is>
          <t>Cost (₹)</t>
        </is>
      </c>
      <c r="D11" s="21" t="inlineStr">
        <is>
          <t>NPV (₹)</t>
        </is>
      </c>
      <c r="E11" s="21" t="inlineStr">
        <is>
          <t>Select? (0/1)</t>
        </is>
      </c>
      <c r="F11" s="21" t="inlineStr">
        <is>
          <t>Selected Cost (₹)</t>
        </is>
      </c>
      <c r="G11" s="21" t="inlineStr">
        <is>
          <t>Selected NPV (₹)</t>
        </is>
      </c>
    </row>
    <row r="12">
      <c r="B12" s="16" t="inlineStr">
        <is>
          <t>A</t>
        </is>
      </c>
      <c r="C12" s="15">
        <f>VLOOKUP(B12,PROJECT_DATA!$A$8:$C$17,2,FALSE)</f>
        <v/>
      </c>
      <c r="D12" s="15">
        <f>VLOOKUP(B12,PROJECT_DATA!$A$8:$C$17,3,FALSE)</f>
        <v/>
      </c>
      <c r="E12" s="35" t="n">
        <v>1</v>
      </c>
      <c r="F12" s="15">
        <f>C12*E12</f>
        <v/>
      </c>
      <c r="G12" s="15">
        <f>D12*E12</f>
        <v/>
      </c>
      <c r="I12" s="63" t="inlineStr">
        <is>
          <t>CHECKS</t>
        </is>
      </c>
      <c r="J12" s="59" t="n"/>
      <c r="K12" s="59" t="n"/>
      <c r="L12" s="59" t="n"/>
      <c r="M12" s="59" t="n"/>
      <c r="N12" s="60" t="n"/>
    </row>
    <row r="13">
      <c r="B13" s="16" t="inlineStr">
        <is>
          <t>B</t>
        </is>
      </c>
      <c r="C13" s="15">
        <f>VLOOKUP(B13,PROJECT_DATA!$A$8:$C$17,2,FALSE)</f>
        <v/>
      </c>
      <c r="D13" s="15">
        <f>VLOOKUP(B13,PROJECT_DATA!$A$8:$C$17,3,FALSE)</f>
        <v/>
      </c>
      <c r="E13" s="35" t="n">
        <v>1</v>
      </c>
      <c r="F13" s="15">
        <f>C13*E13</f>
        <v/>
      </c>
      <c r="G13" s="15">
        <f>D13*E13</f>
        <v/>
      </c>
      <c r="I13" s="63" t="inlineStr">
        <is>
          <t>Check / Constraint</t>
        </is>
      </c>
      <c r="J13" s="63" t="inlineStr">
        <is>
          <t>Status</t>
        </is>
      </c>
      <c r="K13" s="23" t="n"/>
    </row>
    <row r="14">
      <c r="B14" s="16" t="inlineStr">
        <is>
          <t>C</t>
        </is>
      </c>
      <c r="C14" s="15">
        <f>VLOOKUP(B14,PROJECT_DATA!$A$8:$C$17,2,FALSE)</f>
        <v/>
      </c>
      <c r="D14" s="15">
        <f>VLOOKUP(B14,PROJECT_DATA!$A$8:$C$17,3,FALSE)</f>
        <v/>
      </c>
      <c r="E14" s="35" t="n">
        <v>1</v>
      </c>
      <c r="F14" s="15">
        <f>C14*E14</f>
        <v/>
      </c>
      <c r="G14" s="15">
        <f>D14*E14</f>
        <v/>
      </c>
      <c r="I14" s="23" t="inlineStr">
        <is>
          <t>Budget: Total Cost ≤ Budget</t>
        </is>
      </c>
      <c r="J14" s="23">
        <f>IF($C$23&lt;=$C$5,"OK","Review")</f>
        <v/>
      </c>
      <c r="K14" s="23" t="n"/>
    </row>
    <row r="15" ht="29" customHeight="1" s="56">
      <c r="B15" s="16" t="inlineStr">
        <is>
          <t>D</t>
        </is>
      </c>
      <c r="C15" s="15">
        <f>VLOOKUP(B15,PROJECT_DATA!$A$8:$C$17,2,FALSE)</f>
        <v/>
      </c>
      <c r="D15" s="15">
        <f>VLOOKUP(B15,PROJECT_DATA!$A$8:$C$17,3,FALSE)</f>
        <v/>
      </c>
      <c r="E15" s="35" t="n">
        <v>1</v>
      </c>
      <c r="F15" s="15">
        <f>C15*E15</f>
        <v/>
      </c>
      <c r="G15" s="15">
        <f>D15*E15</f>
        <v/>
      </c>
      <c r="I15" s="23" t="inlineStr">
        <is>
          <t>Binary inputs (0/1) in Select? column</t>
        </is>
      </c>
      <c r="J15" s="23">
        <f>IF(COUNTIF($E$12:$E$21,"&lt;0")+COUNTIF($E$12:$E$21,"&gt;1")=0,"OK","Review")</f>
        <v/>
      </c>
      <c r="K15" s="23" t="n"/>
    </row>
    <row r="16" ht="29" customHeight="1" s="56">
      <c r="B16" s="16" t="inlineStr">
        <is>
          <t>E</t>
        </is>
      </c>
      <c r="C16" s="15">
        <f>VLOOKUP(B16,PROJECT_DATA!$A$8:$C$17,2,FALSE)</f>
        <v/>
      </c>
      <c r="D16" s="15">
        <f>VLOOKUP(B16,PROJECT_DATA!$A$8:$C$17,3,FALSE)</f>
        <v/>
      </c>
      <c r="E16" s="35" t="n">
        <v>1</v>
      </c>
      <c r="F16" s="15">
        <f>C16*E16</f>
        <v/>
      </c>
      <c r="G16" s="15">
        <f>D16*E16</f>
        <v/>
      </c>
      <c r="I16" s="23" t="inlineStr">
        <is>
          <t>Exclude low-NPV projects: NPV &lt; cutoff ⇒ Select = 0</t>
        </is>
      </c>
      <c r="J16" s="31">
        <f>IF(SUMPRODUCT(--($D$12:$D$21&lt;$F$5),$E$12:$E$21)=0,"OK","Review")</f>
        <v/>
      </c>
      <c r="K16" s="23" t="n"/>
    </row>
    <row r="17" ht="29" customHeight="1" s="56">
      <c r="B17" s="16" t="inlineStr">
        <is>
          <t>F</t>
        </is>
      </c>
      <c r="C17" s="15">
        <f>VLOOKUP(B17,PROJECT_DATA!$A$8:$C$17,2,FALSE)</f>
        <v/>
      </c>
      <c r="D17" s="15">
        <f>VLOOKUP(B17,PROJECT_DATA!$A$8:$C$17,3,FALSE)</f>
        <v/>
      </c>
      <c r="E17" s="35" t="n">
        <v>1</v>
      </c>
      <c r="F17" s="15">
        <f>C17*E17</f>
        <v/>
      </c>
      <c r="G17" s="15">
        <f>D17*E17</f>
        <v/>
      </c>
      <c r="I17" s="23" t="inlineStr">
        <is>
          <t>Core group: at least one from A, B, C</t>
        </is>
      </c>
      <c r="J17" s="31">
        <f>IF($E$12+$E$13+$E$14&gt;=1,"OK","Review")</f>
        <v/>
      </c>
      <c r="K17" s="23" t="n"/>
    </row>
    <row r="18" ht="29" customHeight="1" s="56">
      <c r="B18" s="16" t="inlineStr">
        <is>
          <t>G</t>
        </is>
      </c>
      <c r="C18" s="15">
        <f>VLOOKUP(B18,PROJECT_DATA!$A$8:$C$17,2,FALSE)</f>
        <v/>
      </c>
      <c r="D18" s="15">
        <f>VLOOKUP(B18,PROJECT_DATA!$A$8:$C$17,3,FALSE)</f>
        <v/>
      </c>
      <c r="E18" s="35" t="n">
        <v>1</v>
      </c>
      <c r="F18" s="15">
        <f>C18*E18</f>
        <v/>
      </c>
      <c r="G18" s="15">
        <f>D18*E18</f>
        <v/>
      </c>
      <c r="I18" s="23" t="inlineStr">
        <is>
          <t>Include all high-NPV projects (NPV ≥ high cutoff)</t>
        </is>
      </c>
      <c r="J18" s="31">
        <f>IF(SUMPRODUCT(--($D$12:$D$21&gt;=$F$6),$E$12:$E$21)=SUMPRODUCT(--($D$12:$D$21&gt;=$F$6)),"OK","Review")</f>
        <v/>
      </c>
      <c r="K18" s="23" t="n"/>
    </row>
    <row r="19">
      <c r="B19" s="16" t="inlineStr">
        <is>
          <t>H</t>
        </is>
      </c>
      <c r="C19" s="15">
        <f>VLOOKUP(B19,PROJECT_DATA!$A$8:$C$17,2,FALSE)</f>
        <v/>
      </c>
      <c r="D19" s="15">
        <f>VLOOKUP(B19,PROJECT_DATA!$A$8:$C$17,3,FALSE)</f>
        <v/>
      </c>
      <c r="E19" s="35" t="n">
        <v>1</v>
      </c>
      <c r="F19" s="15">
        <f>C19*E19</f>
        <v/>
      </c>
      <c r="G19" s="15">
        <f>D19*E19</f>
        <v/>
      </c>
      <c r="I19" s="23" t="n"/>
      <c r="J19" s="23" t="n"/>
      <c r="K19" s="23" t="n"/>
    </row>
    <row r="20">
      <c r="B20" s="16" t="inlineStr">
        <is>
          <t>I</t>
        </is>
      </c>
      <c r="C20" s="15">
        <f>VLOOKUP(B20,PROJECT_DATA!$A$8:$C$17,2,FALSE)</f>
        <v/>
      </c>
      <c r="D20" s="15">
        <f>VLOOKUP(B20,PROJECT_DATA!$A$8:$C$17,3,FALSE)</f>
        <v/>
      </c>
      <c r="E20" s="35" t="n">
        <v>1</v>
      </c>
      <c r="F20" s="15">
        <f>C20*E20</f>
        <v/>
      </c>
      <c r="G20" s="15">
        <f>D20*E20</f>
        <v/>
      </c>
      <c r="I20" s="24" t="inlineStr">
        <is>
          <t>Overall Status (all checks)</t>
        </is>
      </c>
      <c r="J20" s="24">
        <f>IF(COUNTIF($J$14:$J$18,"Review")=0,"OK","Review")</f>
        <v/>
      </c>
      <c r="K20" s="23" t="n"/>
    </row>
    <row r="21">
      <c r="B21" s="16" t="inlineStr">
        <is>
          <t>J</t>
        </is>
      </c>
      <c r="C21" s="15">
        <f>VLOOKUP(B21,PROJECT_DATA!$A$8:$C$17,2,FALSE)</f>
        <v/>
      </c>
      <c r="D21" s="15">
        <f>VLOOKUP(B21,PROJECT_DATA!$A$8:$C$17,3,FALSE)</f>
        <v/>
      </c>
      <c r="E21" s="35" t="n">
        <v>1</v>
      </c>
      <c r="F21" s="15">
        <f>C21*E21</f>
        <v/>
      </c>
      <c r="G21" s="15">
        <f>D21*E21</f>
        <v/>
      </c>
    </row>
    <row r="22">
      <c r="B22" s="58" t="inlineStr">
        <is>
          <t>CALCULATIONS</t>
        </is>
      </c>
      <c r="C22" s="59" t="n"/>
      <c r="D22" s="59" t="n"/>
      <c r="E22" s="59" t="n"/>
      <c r="F22" s="59" t="n"/>
      <c r="G22" s="60" t="n"/>
      <c r="I22" s="61" t="inlineStr">
        <is>
          <t>Solver Setup (enter in Excel Solver)</t>
        </is>
      </c>
    </row>
    <row r="23">
      <c r="B23" s="26" t="inlineStr">
        <is>
          <t>Total Cost (₹)</t>
        </is>
      </c>
      <c r="C23" s="27">
        <f>SUM(F12:F21)</f>
        <v/>
      </c>
      <c r="D23" s="25" t="n"/>
      <c r="E23" s="25" t="n"/>
      <c r="F23" s="25" t="n"/>
      <c r="G23" s="25" t="n"/>
      <c r="I23" s="36" t="inlineStr">
        <is>
          <t>Set Objective</t>
        </is>
      </c>
      <c r="J23" s="37" t="inlineStr">
        <is>
          <t>C24 (Total NPV)</t>
        </is>
      </c>
    </row>
    <row r="24">
      <c r="B24" s="26" t="inlineStr">
        <is>
          <t>Total NPV (₹)</t>
        </is>
      </c>
      <c r="C24" s="27">
        <f>SUM(G12:G21)</f>
        <v/>
      </c>
      <c r="D24" s="25" t="n"/>
      <c r="E24" s="25" t="n"/>
      <c r="F24" s="25" t="n"/>
      <c r="G24" s="25" t="n"/>
      <c r="I24" s="36" t="inlineStr">
        <is>
          <t>To</t>
        </is>
      </c>
      <c r="J24" s="37" t="inlineStr">
        <is>
          <t>Max</t>
        </is>
      </c>
    </row>
    <row r="25">
      <c r="B25" s="26" t="inlineStr">
        <is>
          <t>Budget Slack (₹)</t>
        </is>
      </c>
      <c r="C25" s="27">
        <f>$C$5-$C$23</f>
        <v/>
      </c>
      <c r="D25" s="25" t="n"/>
      <c r="E25" s="25" t="n"/>
      <c r="F25" s="25" t="n"/>
      <c r="G25" s="25" t="n"/>
      <c r="I25" s="36" t="inlineStr">
        <is>
          <t>By Changing Variable Cells</t>
        </is>
      </c>
      <c r="J25" s="37" t="inlineStr">
        <is>
          <t>E12:E21</t>
        </is>
      </c>
    </row>
    <row r="26" ht="29" customHeight="1" s="56">
      <c r="B26" s="26" t="inlineStr">
        <is>
          <t>Projects Selected (count)</t>
        </is>
      </c>
      <c r="C26" s="28">
        <f>SUM(E12:E21)</f>
        <v/>
      </c>
      <c r="D26" s="25" t="n"/>
      <c r="E26" s="25" t="n"/>
      <c r="F26" s="25" t="n"/>
      <c r="G26" s="25" t="n"/>
      <c r="I26" s="36" t="inlineStr">
        <is>
          <t>Constraints (core)</t>
        </is>
      </c>
      <c r="J26" s="37" t="inlineStr">
        <is>
          <t>C23 &lt;= C5; E12:E21 Binary</t>
        </is>
      </c>
    </row>
    <row r="27">
      <c r="B27" s="25" t="n"/>
      <c r="C27" s="25" t="n"/>
      <c r="D27" s="25" t="n"/>
      <c r="E27" s="25" t="n"/>
      <c r="F27" s="25" t="n"/>
      <c r="G27" s="25" t="n"/>
      <c r="I27" s="36" t="inlineStr">
        <is>
          <t>Solving Method</t>
        </is>
      </c>
      <c r="J27" s="37" t="inlineStr">
        <is>
          <t>Simplex LP</t>
        </is>
      </c>
    </row>
    <row r="28" ht="31" customHeight="1" s="56">
      <c r="B28" s="29" t="inlineStr">
        <is>
          <t>Constraint helper calculations</t>
        </is>
      </c>
      <c r="C28" s="25" t="n"/>
      <c r="D28" s="25" t="n"/>
      <c r="E28" s="25" t="n"/>
      <c r="F28" s="25" t="n"/>
      <c r="G28" s="25" t="n"/>
    </row>
    <row r="29">
      <c r="B29" s="26" t="inlineStr">
        <is>
          <t>Cost(ABC)</t>
        </is>
      </c>
      <c r="C29" s="27">
        <f>SUMPRODUCT(--ISNUMBER(MATCH($B$12:$B$21,{"A","B","C"},0)),$C$12:$C$21,$E$12:$E$21)</f>
        <v/>
      </c>
      <c r="D29" s="25" t="n"/>
      <c r="E29" s="25" t="n"/>
      <c r="F29" s="25" t="n"/>
      <c r="G29" s="25" t="n"/>
    </row>
    <row r="30">
      <c r="B30" s="26" t="inlineStr">
        <is>
          <t>Cost(ACF)</t>
        </is>
      </c>
      <c r="C30" s="27">
        <f>SUMPRODUCT(--ISNUMBER(MATCH($B$12:$B$21,{"A","C","F"},0)),$C$12:$C$21,$E$12:$E$21)</f>
        <v/>
      </c>
      <c r="D30" s="25" t="n"/>
      <c r="E30" s="25" t="n"/>
      <c r="F30" s="25" t="n"/>
      <c r="G30" s="25" t="n"/>
    </row>
    <row r="31">
      <c r="B31" s="26" t="inlineStr">
        <is>
          <t>Cost(DEG)</t>
        </is>
      </c>
      <c r="C31" s="27">
        <f>SUMPRODUCT(--ISNUMBER(MATCH($B$12:$B$21,{"D","E","G"},0)),$C$12:$C$21,$E$12:$E$21)</f>
        <v/>
      </c>
      <c r="D31" s="25" t="n"/>
      <c r="E31" s="25" t="n"/>
      <c r="F31" s="25" t="n"/>
      <c r="G31" s="25" t="n"/>
    </row>
    <row r="32" ht="29" customHeight="1" s="56">
      <c r="B32" s="26" t="inlineStr">
        <is>
          <t>High-cost count (Cost&gt;₹7,00,000)</t>
        </is>
      </c>
      <c r="C32" s="25">
        <f>SUMPRODUCT(--($C$12:$C$21&gt;700000),$E$12:$E$21)</f>
        <v/>
      </c>
      <c r="D32" s="25" t="n"/>
      <c r="E32" s="25" t="n"/>
      <c r="F32" s="25" t="n"/>
      <c r="G32" s="25" t="n"/>
    </row>
    <row r="33">
      <c r="B33" s="26" t="inlineStr">
        <is>
          <t>NPV/Cost ratio</t>
        </is>
      </c>
      <c r="C33" s="30">
        <f>IF($C$23=0,"",$C$24/$C$23)</f>
        <v/>
      </c>
      <c r="D33" s="25" t="n"/>
      <c r="E33" s="25" t="n"/>
      <c r="F33" s="25" t="n"/>
      <c r="G33" s="25" t="n"/>
    </row>
    <row r="34">
      <c r="B34" s="25" t="n"/>
      <c r="C34" s="25" t="n"/>
      <c r="D34" s="25" t="n"/>
      <c r="E34" s="25" t="n"/>
      <c r="F34" s="25" t="n"/>
      <c r="G34" s="25"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B22:G22"/>
    <mergeCell ref="I22:N22"/>
    <mergeCell ref="B4:G4"/>
    <mergeCell ref="I12:N12"/>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N34"/>
  <sheetViews>
    <sheetView topLeftCell="A13" workbookViewId="0">
      <selection activeCell="E12" sqref="E12:E21"/>
    </sheetView>
  </sheetViews>
  <sheetFormatPr baseColWidth="8" defaultRowHeight="14.5"/>
  <cols>
    <col width="3" customWidth="1" style="56" min="1" max="1"/>
    <col width="18" customWidth="1" style="56" min="2" max="4"/>
    <col width="12" customWidth="1" style="56" min="5" max="5"/>
    <col width="18" customWidth="1" style="56" min="6" max="7"/>
    <col width="3" customWidth="1" style="56" min="8" max="8"/>
    <col width="28" customWidth="1" style="56" min="9" max="9"/>
    <col width="20" customWidth="1" style="56" min="10" max="12"/>
    <col width="18" customWidth="1" style="56" min="13" max="14"/>
  </cols>
  <sheetData>
    <row r="1">
      <c r="A1" s="55" t="inlineStr">
        <is>
          <t>Caselet 4 – Investment Planning at FutureVision Ltd.</t>
        </is>
      </c>
    </row>
    <row r="2">
      <c r="A2" s="11" t="inlineStr">
        <is>
          <t>⬅ Back to Index</t>
        </is>
      </c>
    </row>
    <row r="3"/>
    <row r="4">
      <c r="B4" s="62" t="inlineStr">
        <is>
          <t>INPUTS</t>
        </is>
      </c>
      <c r="C4" s="59" t="n"/>
      <c r="D4" s="59" t="n"/>
      <c r="E4" s="59" t="n"/>
      <c r="F4" s="59" t="n"/>
      <c r="G4" s="60" t="n"/>
      <c r="I4" s="64" t="inlineStr">
        <is>
          <t>OUTPUTS / DECISION</t>
        </is>
      </c>
      <c r="J4" s="59" t="n"/>
      <c r="K4" s="59" t="n"/>
      <c r="L4" s="59" t="n"/>
      <c r="M4" s="59" t="n"/>
      <c r="N4" s="60" t="n"/>
    </row>
    <row r="5" ht="15.5" customHeight="1" s="56">
      <c r="B5" s="14" t="inlineStr">
        <is>
          <t>Capital Budget (₹)</t>
        </is>
      </c>
      <c r="C5" s="15">
        <f>PROJECT_DATA!$B$5</f>
        <v/>
      </c>
      <c r="D5" s="16" t="n"/>
      <c r="E5" s="16" t="n"/>
      <c r="F5" s="16" t="n"/>
      <c r="G5" s="16" t="n"/>
      <c r="I5" s="17" t="inlineStr">
        <is>
          <t>Key Outputs</t>
        </is>
      </c>
      <c r="J5" s="13" t="n"/>
      <c r="K5" s="13" t="n"/>
      <c r="L5" s="13" t="n"/>
      <c r="M5" s="13" t="n"/>
      <c r="N5" s="13" t="n"/>
    </row>
    <row r="6">
      <c r="B6" s="14" t="inlineStr">
        <is>
          <t>Objective</t>
        </is>
      </c>
      <c r="C6" s="16" t="inlineStr">
        <is>
          <t>Maximize Total NPV</t>
        </is>
      </c>
      <c r="D6" s="16" t="n"/>
      <c r="E6" s="16" t="n"/>
      <c r="F6" s="16" t="n"/>
      <c r="G6" s="16" t="n"/>
      <c r="I6" s="64" t="inlineStr">
        <is>
          <t>Metric</t>
        </is>
      </c>
      <c r="J6" s="64" t="inlineStr">
        <is>
          <t>Value</t>
        </is>
      </c>
      <c r="K6" s="13" t="n"/>
      <c r="L6" s="13" t="n"/>
      <c r="M6" s="13" t="n"/>
      <c r="N6" s="13" t="n"/>
    </row>
    <row r="7" ht="29" customHeight="1" s="56">
      <c r="B7" s="14" t="inlineStr">
        <is>
          <t>Decision variables</t>
        </is>
      </c>
      <c r="C7" s="16" t="inlineStr">
        <is>
          <t>Select? (0/1) for each project</t>
        </is>
      </c>
      <c r="D7" s="16" t="n"/>
      <c r="E7" s="16" t="n"/>
      <c r="F7" s="16" t="n"/>
      <c r="G7" s="16" t="n"/>
      <c r="I7" s="13" t="inlineStr">
        <is>
          <t>Total Cost (₹)</t>
        </is>
      </c>
      <c r="J7" s="18">
        <f>C23</f>
        <v/>
      </c>
      <c r="K7" s="13" t="n"/>
      <c r="L7" s="13" t="n"/>
      <c r="M7" s="13" t="n"/>
      <c r="N7" s="13" t="n"/>
    </row>
    <row r="8" ht="87" customHeight="1" s="56">
      <c r="B8" s="14" t="inlineStr">
        <is>
          <t>Solver note</t>
        </is>
      </c>
      <c r="C8" s="16" t="inlineStr">
        <is>
          <t>Objective: C24 (Total NPV). Variable cells: E12:E21 (Binary). Add constraints in Checks.</t>
        </is>
      </c>
      <c r="D8" s="16" t="n"/>
      <c r="E8" s="16" t="n"/>
      <c r="F8" s="16" t="n"/>
      <c r="G8" s="16" t="n"/>
      <c r="I8" s="13" t="inlineStr">
        <is>
          <t>Total NPV (₹)</t>
        </is>
      </c>
      <c r="J8" s="18">
        <f>C24</f>
        <v/>
      </c>
      <c r="K8" s="13" t="n"/>
      <c r="L8" s="13" t="n"/>
      <c r="M8" s="13" t="n"/>
      <c r="N8" s="13" t="n"/>
    </row>
    <row r="9" ht="101.5" customHeight="1" s="56">
      <c r="B9" s="16" t="n"/>
      <c r="C9" s="34" t="inlineStr">
        <is>
          <t>Pre-filled with an optimal solution (computed and saved). You may re-run Solver after changing any input/constraint.</t>
        </is>
      </c>
      <c r="D9" s="16" t="n"/>
      <c r="E9" s="16" t="n"/>
      <c r="F9" s="16" t="n"/>
      <c r="G9" s="16" t="n"/>
      <c r="I9" s="13" t="inlineStr">
        <is>
          <t>Budget Slack (₹)</t>
        </is>
      </c>
      <c r="J9" s="18">
        <f>C25</f>
        <v/>
      </c>
      <c r="K9" s="13" t="n"/>
      <c r="L9" s="13" t="n"/>
      <c r="M9" s="13" t="n"/>
      <c r="N9" s="13" t="n"/>
    </row>
    <row r="10" ht="62" customHeight="1" s="56">
      <c r="B10" s="19" t="inlineStr">
        <is>
          <t>Project Portfolio (Cost &amp; NPV referenced from PROJECT_DATA)</t>
        </is>
      </c>
      <c r="C10" s="16" t="n"/>
      <c r="D10" s="16" t="n"/>
      <c r="E10" s="16" t="n"/>
      <c r="F10" s="16" t="n"/>
      <c r="G10" s="16" t="n"/>
      <c r="I10" s="13" t="inlineStr">
        <is>
          <t>Projects Selected</t>
        </is>
      </c>
      <c r="J10" s="20">
        <f>C26</f>
        <v/>
      </c>
      <c r="K10" s="13" t="n"/>
      <c r="L10" s="13" t="n"/>
      <c r="M10" s="13" t="n"/>
      <c r="N10" s="13" t="n"/>
    </row>
    <row r="11">
      <c r="B11" s="21" t="inlineStr">
        <is>
          <t>Project</t>
        </is>
      </c>
      <c r="C11" s="21" t="inlineStr">
        <is>
          <t>Cost (₹)</t>
        </is>
      </c>
      <c r="D11" s="21" t="inlineStr">
        <is>
          <t>NPV (₹)</t>
        </is>
      </c>
      <c r="E11" s="21" t="inlineStr">
        <is>
          <t>Select? (0/1)</t>
        </is>
      </c>
      <c r="F11" s="21" t="inlineStr">
        <is>
          <t>Selected Cost (₹)</t>
        </is>
      </c>
      <c r="G11" s="21" t="inlineStr">
        <is>
          <t>Selected NPV (₹)</t>
        </is>
      </c>
    </row>
    <row r="12">
      <c r="B12" s="16" t="inlineStr">
        <is>
          <t>A</t>
        </is>
      </c>
      <c r="C12" s="15">
        <f>VLOOKUP(B12,PROJECT_DATA!$A$8:$C$17,2,FALSE)</f>
        <v/>
      </c>
      <c r="D12" s="15">
        <f>VLOOKUP(B12,PROJECT_DATA!$A$8:$C$17,3,FALSE)</f>
        <v/>
      </c>
      <c r="E12" s="35" t="n">
        <v>1</v>
      </c>
      <c r="F12" s="15">
        <f>C12*E12</f>
        <v/>
      </c>
      <c r="G12" s="15">
        <f>D12*E12</f>
        <v/>
      </c>
      <c r="I12" s="63" t="inlineStr">
        <is>
          <t>CHECKS</t>
        </is>
      </c>
      <c r="J12" s="59" t="n"/>
      <c r="K12" s="59" t="n"/>
      <c r="L12" s="59" t="n"/>
      <c r="M12" s="59" t="n"/>
      <c r="N12" s="60" t="n"/>
    </row>
    <row r="13">
      <c r="B13" s="16" t="inlineStr">
        <is>
          <t>B</t>
        </is>
      </c>
      <c r="C13" s="15">
        <f>VLOOKUP(B13,PROJECT_DATA!$A$8:$C$17,2,FALSE)</f>
        <v/>
      </c>
      <c r="D13" s="15">
        <f>VLOOKUP(B13,PROJECT_DATA!$A$8:$C$17,3,FALSE)</f>
        <v/>
      </c>
      <c r="E13" s="35" t="n">
        <v>1</v>
      </c>
      <c r="F13" s="15">
        <f>C13*E13</f>
        <v/>
      </c>
      <c r="G13" s="15">
        <f>D13*E13</f>
        <v/>
      </c>
      <c r="I13" s="63" t="inlineStr">
        <is>
          <t>Check / Constraint</t>
        </is>
      </c>
      <c r="J13" s="63" t="inlineStr">
        <is>
          <t>Status</t>
        </is>
      </c>
      <c r="K13" s="23" t="n"/>
    </row>
    <row r="14">
      <c r="B14" s="16" t="inlineStr">
        <is>
          <t>C</t>
        </is>
      </c>
      <c r="C14" s="15">
        <f>VLOOKUP(B14,PROJECT_DATA!$A$8:$C$17,2,FALSE)</f>
        <v/>
      </c>
      <c r="D14" s="15">
        <f>VLOOKUP(B14,PROJECT_DATA!$A$8:$C$17,3,FALSE)</f>
        <v/>
      </c>
      <c r="E14" s="35" t="n">
        <v>1</v>
      </c>
      <c r="F14" s="15">
        <f>C14*E14</f>
        <v/>
      </c>
      <c r="G14" s="15">
        <f>D14*E14</f>
        <v/>
      </c>
      <c r="I14" s="23" t="inlineStr">
        <is>
          <t>Budget: Total Cost ≤ Budget</t>
        </is>
      </c>
      <c r="J14" s="23">
        <f>IF($C$23&lt;=$C$5,"OK","Review")</f>
        <v/>
      </c>
      <c r="K14" s="23" t="n"/>
    </row>
    <row r="15" ht="29" customHeight="1" s="56">
      <c r="B15" s="16" t="inlineStr">
        <is>
          <t>D</t>
        </is>
      </c>
      <c r="C15" s="15">
        <f>VLOOKUP(B15,PROJECT_DATA!$A$8:$C$17,2,FALSE)</f>
        <v/>
      </c>
      <c r="D15" s="15">
        <f>VLOOKUP(B15,PROJECT_DATA!$A$8:$C$17,3,FALSE)</f>
        <v/>
      </c>
      <c r="E15" s="35" t="n">
        <v>1</v>
      </c>
      <c r="F15" s="15">
        <f>C15*E15</f>
        <v/>
      </c>
      <c r="G15" s="15">
        <f>D15*E15</f>
        <v/>
      </c>
      <c r="I15" s="23" t="inlineStr">
        <is>
          <t>Binary inputs (0/1) in Select? column</t>
        </is>
      </c>
      <c r="J15" s="23">
        <f>IF(COUNTIF($E$12:$E$21,"&lt;0")+COUNTIF($E$12:$E$21,"&gt;1")=0,"OK","Review")</f>
        <v/>
      </c>
      <c r="K15" s="23" t="n"/>
    </row>
    <row r="16">
      <c r="B16" s="16" t="inlineStr">
        <is>
          <t>E</t>
        </is>
      </c>
      <c r="C16" s="15">
        <f>VLOOKUP(B16,PROJECT_DATA!$A$8:$C$17,2,FALSE)</f>
        <v/>
      </c>
      <c r="D16" s="15">
        <f>VLOOKUP(B16,PROJECT_DATA!$A$8:$C$17,3,FALSE)</f>
        <v/>
      </c>
      <c r="E16" s="35" t="n">
        <v>1</v>
      </c>
      <c r="F16" s="15">
        <f>C16*E16</f>
        <v/>
      </c>
      <c r="G16" s="15">
        <f>D16*E16</f>
        <v/>
      </c>
      <c r="I16" s="23" t="inlineStr">
        <is>
          <t>Pairing: A → C (EA ≤ EC)</t>
        </is>
      </c>
      <c r="J16" s="23">
        <f>IF($E$12&lt;=$E$14,"OK","Review")</f>
        <v/>
      </c>
      <c r="K16" s="23" t="n"/>
    </row>
    <row r="17" ht="29" customHeight="1" s="56">
      <c r="B17" s="16" t="inlineStr">
        <is>
          <t>F</t>
        </is>
      </c>
      <c r="C17" s="15">
        <f>VLOOKUP(B17,PROJECT_DATA!$A$8:$C$17,2,FALSE)</f>
        <v/>
      </c>
      <c r="D17" s="15">
        <f>VLOOKUP(B17,PROJECT_DATA!$A$8:$C$17,3,FALSE)</f>
        <v/>
      </c>
      <c r="E17" s="35" t="n">
        <v>1</v>
      </c>
      <c r="F17" s="15">
        <f>C17*E17</f>
        <v/>
      </c>
      <c r="G17" s="15">
        <f>D17*E17</f>
        <v/>
      </c>
      <c r="I17" s="23" t="inlineStr">
        <is>
          <t>Group cap: Cost(A,B,C) ≤ ₹25,00,000</t>
        </is>
      </c>
      <c r="J17" s="23">
        <f>IF($C$29&lt;=2500000,"OK","Review")</f>
        <v/>
      </c>
      <c r="K17" s="23" t="n"/>
    </row>
    <row r="18">
      <c r="B18" s="16" t="inlineStr">
        <is>
          <t>G</t>
        </is>
      </c>
      <c r="C18" s="15">
        <f>VLOOKUP(B18,PROJECT_DATA!$A$8:$C$17,2,FALSE)</f>
        <v/>
      </c>
      <c r="D18" s="15">
        <f>VLOOKUP(B18,PROJECT_DATA!$A$8:$C$17,3,FALSE)</f>
        <v/>
      </c>
      <c r="E18" s="35" t="n">
        <v>1</v>
      </c>
      <c r="F18" s="15">
        <f>C18*E18</f>
        <v/>
      </c>
      <c r="G18" s="15">
        <f>D18*E18</f>
        <v/>
      </c>
      <c r="I18" s="23" t="n"/>
      <c r="J18" s="23" t="n"/>
      <c r="K18" s="23" t="n"/>
    </row>
    <row r="19">
      <c r="B19" s="16" t="inlineStr">
        <is>
          <t>H</t>
        </is>
      </c>
      <c r="C19" s="15">
        <f>VLOOKUP(B19,PROJECT_DATA!$A$8:$C$17,2,FALSE)</f>
        <v/>
      </c>
      <c r="D19" s="15">
        <f>VLOOKUP(B19,PROJECT_DATA!$A$8:$C$17,3,FALSE)</f>
        <v/>
      </c>
      <c r="E19" s="35" t="n">
        <v>1</v>
      </c>
      <c r="F19" s="15">
        <f>C19*E19</f>
        <v/>
      </c>
      <c r="G19" s="15">
        <f>D19*E19</f>
        <v/>
      </c>
      <c r="I19" s="23" t="n"/>
      <c r="J19" s="23" t="n"/>
      <c r="K19" s="23" t="n"/>
    </row>
    <row r="20">
      <c r="B20" s="16" t="inlineStr">
        <is>
          <t>I</t>
        </is>
      </c>
      <c r="C20" s="15">
        <f>VLOOKUP(B20,PROJECT_DATA!$A$8:$C$17,2,FALSE)</f>
        <v/>
      </c>
      <c r="D20" s="15">
        <f>VLOOKUP(B20,PROJECT_DATA!$A$8:$C$17,3,FALSE)</f>
        <v/>
      </c>
      <c r="E20" s="35" t="n">
        <v>1</v>
      </c>
      <c r="F20" s="15">
        <f>C20*E20</f>
        <v/>
      </c>
      <c r="G20" s="15">
        <f>D20*E20</f>
        <v/>
      </c>
      <c r="I20" s="24" t="inlineStr">
        <is>
          <t>Overall Status (all checks)</t>
        </is>
      </c>
      <c r="J20" s="24">
        <f>IF(COUNTIF($J$14:$J$17,"Review")=0,"OK","Review")</f>
        <v/>
      </c>
      <c r="K20" s="23" t="n"/>
    </row>
    <row r="21">
      <c r="B21" s="16" t="inlineStr">
        <is>
          <t>J</t>
        </is>
      </c>
      <c r="C21" s="15">
        <f>VLOOKUP(B21,PROJECT_DATA!$A$8:$C$17,2,FALSE)</f>
        <v/>
      </c>
      <c r="D21" s="15">
        <f>VLOOKUP(B21,PROJECT_DATA!$A$8:$C$17,3,FALSE)</f>
        <v/>
      </c>
      <c r="E21" s="35" t="n">
        <v>1</v>
      </c>
      <c r="F21" s="15">
        <f>C21*E21</f>
        <v/>
      </c>
      <c r="G21" s="15">
        <f>D21*E21</f>
        <v/>
      </c>
    </row>
    <row r="22">
      <c r="B22" s="58" t="inlineStr">
        <is>
          <t>CALCULATIONS</t>
        </is>
      </c>
      <c r="C22" s="59" t="n"/>
      <c r="D22" s="59" t="n"/>
      <c r="E22" s="59" t="n"/>
      <c r="F22" s="59" t="n"/>
      <c r="G22" s="60" t="n"/>
      <c r="I22" s="61" t="inlineStr">
        <is>
          <t>Solver Setup (enter in Excel Solver)</t>
        </is>
      </c>
    </row>
    <row r="23">
      <c r="B23" s="26" t="inlineStr">
        <is>
          <t>Total Cost (₹)</t>
        </is>
      </c>
      <c r="C23" s="27">
        <f>SUM(F12:F21)</f>
        <v/>
      </c>
      <c r="D23" s="25" t="n"/>
      <c r="E23" s="25" t="n"/>
      <c r="F23" s="25" t="n"/>
      <c r="G23" s="25" t="n"/>
      <c r="I23" s="36" t="inlineStr">
        <is>
          <t>Set Objective</t>
        </is>
      </c>
      <c r="J23" s="37" t="inlineStr">
        <is>
          <t>C24 (Total NPV)</t>
        </is>
      </c>
    </row>
    <row r="24">
      <c r="B24" s="26" t="inlineStr">
        <is>
          <t>Total NPV (₹)</t>
        </is>
      </c>
      <c r="C24" s="27">
        <f>SUM(G12:G21)</f>
        <v/>
      </c>
      <c r="D24" s="25" t="n"/>
      <c r="E24" s="25" t="n"/>
      <c r="F24" s="25" t="n"/>
      <c r="G24" s="25" t="n"/>
      <c r="I24" s="36" t="inlineStr">
        <is>
          <t>To</t>
        </is>
      </c>
      <c r="J24" s="37" t="inlineStr">
        <is>
          <t>Max</t>
        </is>
      </c>
    </row>
    <row r="25">
      <c r="B25" s="26" t="inlineStr">
        <is>
          <t>Budget Slack (₹)</t>
        </is>
      </c>
      <c r="C25" s="27">
        <f>$C$5-$C$23</f>
        <v/>
      </c>
      <c r="D25" s="25" t="n"/>
      <c r="E25" s="25" t="n"/>
      <c r="F25" s="25" t="n"/>
      <c r="G25" s="25" t="n"/>
      <c r="I25" s="36" t="inlineStr">
        <is>
          <t>By Changing Variable Cells</t>
        </is>
      </c>
      <c r="J25" s="37" t="inlineStr">
        <is>
          <t>E12:E21</t>
        </is>
      </c>
    </row>
    <row r="26" ht="29" customHeight="1" s="56">
      <c r="B26" s="26" t="inlineStr">
        <is>
          <t>Projects Selected (count)</t>
        </is>
      </c>
      <c r="C26" s="28">
        <f>SUM(E12:E21)</f>
        <v/>
      </c>
      <c r="D26" s="25" t="n"/>
      <c r="E26" s="25" t="n"/>
      <c r="F26" s="25" t="n"/>
      <c r="G26" s="25" t="n"/>
      <c r="I26" s="36" t="inlineStr">
        <is>
          <t>Constraints (core)</t>
        </is>
      </c>
      <c r="J26" s="37" t="inlineStr">
        <is>
          <t>C23 &lt;= C5; E12:E21 Binary</t>
        </is>
      </c>
    </row>
    <row r="27">
      <c r="B27" s="25" t="n"/>
      <c r="C27" s="25" t="n"/>
      <c r="D27" s="25" t="n"/>
      <c r="E27" s="25" t="n"/>
      <c r="F27" s="25" t="n"/>
      <c r="G27" s="25" t="n"/>
      <c r="I27" s="36" t="inlineStr">
        <is>
          <t>Solving Method</t>
        </is>
      </c>
      <c r="J27" s="37" t="inlineStr">
        <is>
          <t>Simplex LP</t>
        </is>
      </c>
    </row>
    <row r="28" ht="31" customHeight="1" s="56">
      <c r="B28" s="29" t="inlineStr">
        <is>
          <t>Constraint helper calculations</t>
        </is>
      </c>
      <c r="C28" s="25" t="n"/>
      <c r="D28" s="25" t="n"/>
      <c r="E28" s="25" t="n"/>
      <c r="F28" s="25" t="n"/>
      <c r="G28" s="25" t="n"/>
    </row>
    <row r="29">
      <c r="B29" s="26" t="inlineStr">
        <is>
          <t>Cost(ABC)</t>
        </is>
      </c>
      <c r="C29" s="27">
        <f>SUMPRODUCT(--ISNUMBER(MATCH($B$12:$B$21,{"A","B","C"},0)),$C$12:$C$21,$E$12:$E$21)</f>
        <v/>
      </c>
      <c r="D29" s="25" t="n"/>
      <c r="E29" s="25" t="n"/>
      <c r="F29" s="25" t="n"/>
      <c r="G29" s="25" t="n"/>
    </row>
    <row r="30">
      <c r="B30" s="26" t="inlineStr">
        <is>
          <t>Cost(ACF)</t>
        </is>
      </c>
      <c r="C30" s="27">
        <f>SUMPRODUCT(--ISNUMBER(MATCH($B$12:$B$21,{"A","C","F"},0)),$C$12:$C$21,$E$12:$E$21)</f>
        <v/>
      </c>
      <c r="D30" s="25" t="n"/>
      <c r="E30" s="25" t="n"/>
      <c r="F30" s="25" t="n"/>
      <c r="G30" s="25" t="n"/>
    </row>
    <row r="31">
      <c r="B31" s="26" t="inlineStr">
        <is>
          <t>Cost(DEG)</t>
        </is>
      </c>
      <c r="C31" s="27">
        <f>SUMPRODUCT(--ISNUMBER(MATCH($B$12:$B$21,{"D","E","G"},0)),$C$12:$C$21,$E$12:$E$21)</f>
        <v/>
      </c>
      <c r="D31" s="25" t="n"/>
      <c r="E31" s="25" t="n"/>
      <c r="F31" s="25" t="n"/>
      <c r="G31" s="25" t="n"/>
    </row>
    <row r="32" ht="29" customHeight="1" s="56">
      <c r="B32" s="26" t="inlineStr">
        <is>
          <t>High-cost count (Cost&gt;₹7,00,000)</t>
        </is>
      </c>
      <c r="C32" s="25">
        <f>SUMPRODUCT(--($C$12:$C$21&gt;700000),$E$12:$E$21)</f>
        <v/>
      </c>
      <c r="D32" s="25" t="n"/>
      <c r="E32" s="25" t="n"/>
      <c r="F32" s="25" t="n"/>
      <c r="G32" s="25" t="n"/>
    </row>
    <row r="33">
      <c r="B33" s="26" t="inlineStr">
        <is>
          <t>NPV/Cost ratio</t>
        </is>
      </c>
      <c r="C33" s="30">
        <f>IF($C$23=0,"",$C$24/$C$23)</f>
        <v/>
      </c>
      <c r="D33" s="25" t="n"/>
      <c r="E33" s="25" t="n"/>
      <c r="F33" s="25" t="n"/>
      <c r="G33" s="25" t="n"/>
    </row>
    <row r="34">
      <c r="B34" s="25" t="n"/>
      <c r="C34" s="25" t="n"/>
      <c r="D34" s="25" t="n"/>
      <c r="E34" s="25" t="n"/>
      <c r="F34" s="25" t="n"/>
      <c r="G34" s="25"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B22:G22"/>
    <mergeCell ref="I22:N22"/>
    <mergeCell ref="B4:G4"/>
    <mergeCell ref="I12:N12"/>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N34"/>
  <sheetViews>
    <sheetView topLeftCell="A9" workbookViewId="0">
      <selection activeCell="E12" sqref="E12:E21"/>
    </sheetView>
  </sheetViews>
  <sheetFormatPr baseColWidth="8" defaultRowHeight="14.5"/>
  <cols>
    <col width="3" customWidth="1" style="56" min="1" max="1"/>
    <col width="18" customWidth="1" style="56" min="2" max="4"/>
    <col width="12" customWidth="1" style="56" min="5" max="5"/>
    <col width="18" customWidth="1" style="56" min="6" max="7"/>
    <col width="3" customWidth="1" style="56" min="8" max="8"/>
    <col width="28" customWidth="1" style="56" min="9" max="9"/>
    <col width="20" customWidth="1" style="56" min="10" max="12"/>
    <col width="18" customWidth="1" style="56" min="13" max="14"/>
  </cols>
  <sheetData>
    <row r="1">
      <c r="A1" s="55" t="inlineStr">
        <is>
          <t>Caselet 5 – Portfolio Optimization at VisionNext Ltd.</t>
        </is>
      </c>
    </row>
    <row r="2">
      <c r="A2" s="11" t="inlineStr">
        <is>
          <t>⬅ Back to Index</t>
        </is>
      </c>
    </row>
    <row r="3"/>
    <row r="4">
      <c r="B4" s="62" t="inlineStr">
        <is>
          <t>INPUTS</t>
        </is>
      </c>
      <c r="C4" s="59" t="n"/>
      <c r="D4" s="59" t="n"/>
      <c r="E4" s="59" t="n"/>
      <c r="F4" s="59" t="n"/>
      <c r="G4" s="60" t="n"/>
      <c r="I4" s="64" t="inlineStr">
        <is>
          <t>OUTPUTS / DECISION</t>
        </is>
      </c>
      <c r="J4" s="59" t="n"/>
      <c r="K4" s="59" t="n"/>
      <c r="L4" s="59" t="n"/>
      <c r="M4" s="59" t="n"/>
      <c r="N4" s="60" t="n"/>
    </row>
    <row r="5" ht="43.5" customHeight="1" s="56">
      <c r="B5" s="14" t="inlineStr">
        <is>
          <t>Capital Budget (₹)</t>
        </is>
      </c>
      <c r="C5" s="15">
        <f>PROJECT_DATA!$B$5</f>
        <v/>
      </c>
      <c r="D5" s="16" t="n"/>
      <c r="E5" s="14" t="inlineStr">
        <is>
          <t>Minimum NPV threshold (₹)</t>
        </is>
      </c>
      <c r="F5" s="15" t="n">
        <v>120000</v>
      </c>
      <c r="G5" s="16" t="n"/>
      <c r="I5" s="17" t="inlineStr">
        <is>
          <t>Key Outputs</t>
        </is>
      </c>
      <c r="J5" s="13" t="n"/>
      <c r="K5" s="13" t="n"/>
      <c r="L5" s="13" t="n"/>
      <c r="M5" s="13" t="n"/>
      <c r="N5" s="13" t="n"/>
    </row>
    <row r="6">
      <c r="B6" s="14" t="inlineStr">
        <is>
          <t>Objective</t>
        </is>
      </c>
      <c r="C6" s="16" t="inlineStr">
        <is>
          <t>Maximize Total NPV</t>
        </is>
      </c>
      <c r="D6" s="16" t="n"/>
      <c r="E6" s="16" t="n"/>
      <c r="F6" s="16" t="n"/>
      <c r="G6" s="16" t="n"/>
      <c r="I6" s="64" t="inlineStr">
        <is>
          <t>Metric</t>
        </is>
      </c>
      <c r="J6" s="64" t="inlineStr">
        <is>
          <t>Value</t>
        </is>
      </c>
      <c r="K6" s="13" t="n"/>
      <c r="L6" s="13" t="n"/>
      <c r="M6" s="13" t="n"/>
      <c r="N6" s="13" t="n"/>
    </row>
    <row r="7" ht="29" customHeight="1" s="56">
      <c r="B7" s="14" t="inlineStr">
        <is>
          <t>Decision variables</t>
        </is>
      </c>
      <c r="C7" s="16" t="inlineStr">
        <is>
          <t>Select? (0/1) for each project</t>
        </is>
      </c>
      <c r="D7" s="16" t="n"/>
      <c r="E7" s="16" t="n"/>
      <c r="F7" s="16" t="n"/>
      <c r="G7" s="16" t="n"/>
      <c r="I7" s="13" t="inlineStr">
        <is>
          <t>Total Cost (₹)</t>
        </is>
      </c>
      <c r="J7" s="18">
        <f>C23</f>
        <v/>
      </c>
      <c r="K7" s="13" t="n"/>
      <c r="L7" s="13" t="n"/>
      <c r="M7" s="13" t="n"/>
      <c r="N7" s="13" t="n"/>
    </row>
    <row r="8" ht="87" customHeight="1" s="56">
      <c r="B8" s="14" t="inlineStr">
        <is>
          <t>Solver note</t>
        </is>
      </c>
      <c r="C8" s="16" t="inlineStr">
        <is>
          <t>Objective: C24 (Total NPV). Variable cells: E12:E21 (Binary). Add constraints in Checks.</t>
        </is>
      </c>
      <c r="D8" s="16" t="n"/>
      <c r="E8" s="16" t="n"/>
      <c r="F8" s="16" t="n"/>
      <c r="G8" s="16" t="n"/>
      <c r="I8" s="13" t="inlineStr">
        <is>
          <t>Total NPV (₹)</t>
        </is>
      </c>
      <c r="J8" s="18">
        <f>C24</f>
        <v/>
      </c>
      <c r="K8" s="13" t="n"/>
      <c r="L8" s="13" t="n"/>
      <c r="M8" s="13" t="n"/>
      <c r="N8" s="13" t="n"/>
    </row>
    <row r="9" ht="101.5" customHeight="1" s="56">
      <c r="B9" s="16" t="n"/>
      <c r="C9" s="34" t="inlineStr">
        <is>
          <t>Pre-filled with an optimal solution (computed and saved). You may re-run Solver after changing any input/constraint.</t>
        </is>
      </c>
      <c r="D9" s="16" t="n"/>
      <c r="E9" s="16" t="n"/>
      <c r="F9" s="16" t="n"/>
      <c r="G9" s="16" t="n"/>
      <c r="I9" s="13" t="inlineStr">
        <is>
          <t>Budget Slack (₹)</t>
        </is>
      </c>
      <c r="J9" s="18">
        <f>C25</f>
        <v/>
      </c>
      <c r="K9" s="13" t="n"/>
      <c r="L9" s="13" t="n"/>
      <c r="M9" s="13" t="n"/>
      <c r="N9" s="13" t="n"/>
    </row>
    <row r="10" ht="62" customHeight="1" s="56">
      <c r="B10" s="19" t="inlineStr">
        <is>
          <t>Project Portfolio (Cost &amp; NPV referenced from PROJECT_DATA)</t>
        </is>
      </c>
      <c r="C10" s="16" t="n"/>
      <c r="D10" s="16" t="n"/>
      <c r="E10" s="16" t="n"/>
      <c r="F10" s="16" t="n"/>
      <c r="G10" s="16" t="n"/>
      <c r="I10" s="13" t="inlineStr">
        <is>
          <t>Projects Selected</t>
        </is>
      </c>
      <c r="J10" s="20">
        <f>C26</f>
        <v/>
      </c>
      <c r="K10" s="13" t="n"/>
      <c r="L10" s="13" t="n"/>
      <c r="M10" s="13" t="n"/>
      <c r="N10" s="13" t="n"/>
    </row>
    <row r="11">
      <c r="B11" s="21" t="inlineStr">
        <is>
          <t>Project</t>
        </is>
      </c>
      <c r="C11" s="21" t="inlineStr">
        <is>
          <t>Cost (₹)</t>
        </is>
      </c>
      <c r="D11" s="21" t="inlineStr">
        <is>
          <t>NPV (₹)</t>
        </is>
      </c>
      <c r="E11" s="21" t="inlineStr">
        <is>
          <t>Select? (0/1)</t>
        </is>
      </c>
      <c r="F11" s="21" t="inlineStr">
        <is>
          <t>Selected Cost (₹)</t>
        </is>
      </c>
      <c r="G11" s="21" t="inlineStr">
        <is>
          <t>Selected NPV (₹)</t>
        </is>
      </c>
    </row>
    <row r="12">
      <c r="B12" s="16" t="inlineStr">
        <is>
          <t>A</t>
        </is>
      </c>
      <c r="C12" s="15">
        <f>VLOOKUP(B12,PROJECT_DATA!$A$8:$C$17,2,FALSE)</f>
        <v/>
      </c>
      <c r="D12" s="15">
        <f>VLOOKUP(B12,PROJECT_DATA!$A$8:$C$17,3,FALSE)</f>
        <v/>
      </c>
      <c r="E12" s="35" t="n">
        <v>1</v>
      </c>
      <c r="F12" s="15">
        <f>C12*E12</f>
        <v/>
      </c>
      <c r="G12" s="15">
        <f>D12*E12</f>
        <v/>
      </c>
      <c r="I12" s="63" t="inlineStr">
        <is>
          <t>CHECKS</t>
        </is>
      </c>
      <c r="J12" s="59" t="n"/>
      <c r="K12" s="59" t="n"/>
      <c r="L12" s="59" t="n"/>
      <c r="M12" s="59" t="n"/>
      <c r="N12" s="60" t="n"/>
    </row>
    <row r="13">
      <c r="B13" s="16" t="inlineStr">
        <is>
          <t>B</t>
        </is>
      </c>
      <c r="C13" s="15">
        <f>VLOOKUP(B13,PROJECT_DATA!$A$8:$C$17,2,FALSE)</f>
        <v/>
      </c>
      <c r="D13" s="15">
        <f>VLOOKUP(B13,PROJECT_DATA!$A$8:$C$17,3,FALSE)</f>
        <v/>
      </c>
      <c r="E13" s="35" t="n">
        <v>1</v>
      </c>
      <c r="F13" s="15">
        <f>C13*E13</f>
        <v/>
      </c>
      <c r="G13" s="15">
        <f>D13*E13</f>
        <v/>
      </c>
      <c r="I13" s="63" t="inlineStr">
        <is>
          <t>Check / Constraint</t>
        </is>
      </c>
      <c r="J13" s="63" t="inlineStr">
        <is>
          <t>Status</t>
        </is>
      </c>
      <c r="K13" s="23" t="n"/>
    </row>
    <row r="14">
      <c r="B14" s="16" t="inlineStr">
        <is>
          <t>C</t>
        </is>
      </c>
      <c r="C14" s="15">
        <f>VLOOKUP(B14,PROJECT_DATA!$A$8:$C$17,2,FALSE)</f>
        <v/>
      </c>
      <c r="D14" s="15">
        <f>VLOOKUP(B14,PROJECT_DATA!$A$8:$C$17,3,FALSE)</f>
        <v/>
      </c>
      <c r="E14" s="35" t="n">
        <v>1</v>
      </c>
      <c r="F14" s="15">
        <f>C14*E14</f>
        <v/>
      </c>
      <c r="G14" s="15">
        <f>D14*E14</f>
        <v/>
      </c>
      <c r="I14" s="23" t="inlineStr">
        <is>
          <t>Budget: Total Cost ≤ Budget</t>
        </is>
      </c>
      <c r="J14" s="23">
        <f>IF($C$23&lt;=$C$5,"OK","Review")</f>
        <v/>
      </c>
      <c r="K14" s="23" t="n"/>
    </row>
    <row r="15" ht="29" customHeight="1" s="56">
      <c r="B15" s="16" t="inlineStr">
        <is>
          <t>D</t>
        </is>
      </c>
      <c r="C15" s="15">
        <f>VLOOKUP(B15,PROJECT_DATA!$A$8:$C$17,2,FALSE)</f>
        <v/>
      </c>
      <c r="D15" s="15">
        <f>VLOOKUP(B15,PROJECT_DATA!$A$8:$C$17,3,FALSE)</f>
        <v/>
      </c>
      <c r="E15" s="35" t="n">
        <v>1</v>
      </c>
      <c r="F15" s="15">
        <f>C15*E15</f>
        <v/>
      </c>
      <c r="G15" s="15">
        <f>D15*E15</f>
        <v/>
      </c>
      <c r="I15" s="23" t="inlineStr">
        <is>
          <t>Binary inputs (0/1) in Select? column</t>
        </is>
      </c>
      <c r="J15" s="23">
        <f>IF(COUNTIF($E$12:$E$21,"&lt;0")+COUNTIF($E$12:$E$21,"&gt;1")=0,"OK","Review")</f>
        <v/>
      </c>
      <c r="K15" s="23" t="n"/>
    </row>
    <row r="16" ht="29" customHeight="1" s="56">
      <c r="B16" s="16" t="inlineStr">
        <is>
          <t>E</t>
        </is>
      </c>
      <c r="C16" s="15">
        <f>VLOOKUP(B16,PROJECT_DATA!$A$8:$C$17,2,FALSE)</f>
        <v/>
      </c>
      <c r="D16" s="15">
        <f>VLOOKUP(B16,PROJECT_DATA!$A$8:$C$17,3,FALSE)</f>
        <v/>
      </c>
      <c r="E16" s="35" t="n">
        <v>1</v>
      </c>
      <c r="F16" s="15">
        <f>C16*E16</f>
        <v/>
      </c>
      <c r="G16" s="15">
        <f>D16*E16</f>
        <v/>
      </c>
      <c r="I16" s="23" t="inlineStr">
        <is>
          <t>NPV threshold: if NPV &lt; threshold then Select = 0</t>
        </is>
      </c>
      <c r="J16" s="31">
        <f>IF(SUMPRODUCT(--($D$12:$D$21&lt;$F$5),$E$12:$E$21)=0,"OK","Review")</f>
        <v/>
      </c>
      <c r="K16" s="23" t="n"/>
    </row>
    <row r="17" ht="29" customHeight="1" s="56">
      <c r="B17" s="16" t="inlineStr">
        <is>
          <t>F</t>
        </is>
      </c>
      <c r="C17" s="15">
        <f>VLOOKUP(B17,PROJECT_DATA!$A$8:$C$17,2,FALSE)</f>
        <v/>
      </c>
      <c r="D17" s="15">
        <f>VLOOKUP(B17,PROJECT_DATA!$A$8:$C$17,3,FALSE)</f>
        <v/>
      </c>
      <c r="E17" s="35" t="n">
        <v>1</v>
      </c>
      <c r="F17" s="15">
        <f>C17*E17</f>
        <v/>
      </c>
      <c r="G17" s="15">
        <f>D17*E17</f>
        <v/>
      </c>
      <c r="I17" s="23" t="inlineStr">
        <is>
          <t>Min high-cost projects: count(Cost&gt;₹7,00,000) ≥ 2</t>
        </is>
      </c>
      <c r="J17" s="31">
        <f>IF($C$32&gt;=2,"OK","Review")</f>
        <v/>
      </c>
      <c r="K17" s="23" t="n"/>
    </row>
    <row r="18">
      <c r="B18" s="16" t="inlineStr">
        <is>
          <t>G</t>
        </is>
      </c>
      <c r="C18" s="15">
        <f>VLOOKUP(B18,PROJECT_DATA!$A$8:$C$17,2,FALSE)</f>
        <v/>
      </c>
      <c r="D18" s="15">
        <f>VLOOKUP(B18,PROJECT_DATA!$A$8:$C$17,3,FALSE)</f>
        <v/>
      </c>
      <c r="E18" s="35" t="n">
        <v>1</v>
      </c>
      <c r="F18" s="15">
        <f>C18*E18</f>
        <v/>
      </c>
      <c r="G18" s="15">
        <f>D18*E18</f>
        <v/>
      </c>
      <c r="I18" s="23" t="inlineStr">
        <is>
          <t>Conflict: E and F (EE + EF ≤ 1)</t>
        </is>
      </c>
      <c r="J18" s="31">
        <f>IF($E$16+$E$17&lt;=1,"OK","Review")</f>
        <v/>
      </c>
      <c r="K18" s="23" t="n"/>
    </row>
    <row r="19">
      <c r="B19" s="16" t="inlineStr">
        <is>
          <t>H</t>
        </is>
      </c>
      <c r="C19" s="15">
        <f>VLOOKUP(B19,PROJECT_DATA!$A$8:$C$17,2,FALSE)</f>
        <v/>
      </c>
      <c r="D19" s="15">
        <f>VLOOKUP(B19,PROJECT_DATA!$A$8:$C$17,3,FALSE)</f>
        <v/>
      </c>
      <c r="E19" s="35" t="n">
        <v>1</v>
      </c>
      <c r="F19" s="15">
        <f>C19*E19</f>
        <v/>
      </c>
      <c r="G19" s="15">
        <f>D19*E19</f>
        <v/>
      </c>
      <c r="I19" s="23" t="n"/>
      <c r="J19" s="23" t="n"/>
      <c r="K19" s="23" t="n"/>
    </row>
    <row r="20">
      <c r="B20" s="16" t="inlineStr">
        <is>
          <t>I</t>
        </is>
      </c>
      <c r="C20" s="15">
        <f>VLOOKUP(B20,PROJECT_DATA!$A$8:$C$17,2,FALSE)</f>
        <v/>
      </c>
      <c r="D20" s="15">
        <f>VLOOKUP(B20,PROJECT_DATA!$A$8:$C$17,3,FALSE)</f>
        <v/>
      </c>
      <c r="E20" s="35" t="n">
        <v>1</v>
      </c>
      <c r="F20" s="15">
        <f>C20*E20</f>
        <v/>
      </c>
      <c r="G20" s="15">
        <f>D20*E20</f>
        <v/>
      </c>
      <c r="I20" s="24" t="inlineStr">
        <is>
          <t>Overall Status (all checks)</t>
        </is>
      </c>
      <c r="J20" s="24">
        <f>IF(COUNTIF($J$14:$J$18,"Review")=0,"OK","Review")</f>
        <v/>
      </c>
      <c r="K20" s="23" t="n"/>
    </row>
    <row r="21">
      <c r="B21" s="16" t="inlineStr">
        <is>
          <t>J</t>
        </is>
      </c>
      <c r="C21" s="15">
        <f>VLOOKUP(B21,PROJECT_DATA!$A$8:$C$17,2,FALSE)</f>
        <v/>
      </c>
      <c r="D21" s="15">
        <f>VLOOKUP(B21,PROJECT_DATA!$A$8:$C$17,3,FALSE)</f>
        <v/>
      </c>
      <c r="E21" s="35" t="n">
        <v>1</v>
      </c>
      <c r="F21" s="15">
        <f>C21*E21</f>
        <v/>
      </c>
      <c r="G21" s="15">
        <f>D21*E21</f>
        <v/>
      </c>
    </row>
    <row r="22">
      <c r="B22" s="58" t="inlineStr">
        <is>
          <t>CALCULATIONS</t>
        </is>
      </c>
      <c r="C22" s="59" t="n"/>
      <c r="D22" s="59" t="n"/>
      <c r="E22" s="59" t="n"/>
      <c r="F22" s="59" t="n"/>
      <c r="G22" s="60" t="n"/>
      <c r="I22" s="61" t="inlineStr">
        <is>
          <t>Solver Setup (enter in Excel Solver)</t>
        </is>
      </c>
    </row>
    <row r="23">
      <c r="B23" s="26" t="inlineStr">
        <is>
          <t>Total Cost (₹)</t>
        </is>
      </c>
      <c r="C23" s="27">
        <f>SUM(F12:F21)</f>
        <v/>
      </c>
      <c r="D23" s="25" t="n"/>
      <c r="E23" s="25" t="n"/>
      <c r="F23" s="25" t="n"/>
      <c r="G23" s="25" t="n"/>
      <c r="I23" s="36" t="inlineStr">
        <is>
          <t>Set Objective</t>
        </is>
      </c>
      <c r="J23" s="37" t="inlineStr">
        <is>
          <t>C24 (Total NPV)</t>
        </is>
      </c>
    </row>
    <row r="24">
      <c r="B24" s="26" t="inlineStr">
        <is>
          <t>Total NPV (₹)</t>
        </is>
      </c>
      <c r="C24" s="27">
        <f>SUM(G12:G21)</f>
        <v/>
      </c>
      <c r="D24" s="25" t="n"/>
      <c r="E24" s="25" t="n"/>
      <c r="F24" s="25" t="n"/>
      <c r="G24" s="25" t="n"/>
      <c r="I24" s="36" t="inlineStr">
        <is>
          <t>To</t>
        </is>
      </c>
      <c r="J24" s="37" t="inlineStr">
        <is>
          <t>Max</t>
        </is>
      </c>
    </row>
    <row r="25">
      <c r="B25" s="26" t="inlineStr">
        <is>
          <t>Budget Slack (₹)</t>
        </is>
      </c>
      <c r="C25" s="27">
        <f>$C$5-$C$23</f>
        <v/>
      </c>
      <c r="D25" s="25" t="n"/>
      <c r="E25" s="25" t="n"/>
      <c r="F25" s="25" t="n"/>
      <c r="G25" s="25" t="n"/>
      <c r="I25" s="36" t="inlineStr">
        <is>
          <t>By Changing Variable Cells</t>
        </is>
      </c>
      <c r="J25" s="37" t="inlineStr">
        <is>
          <t>E12:E21</t>
        </is>
      </c>
    </row>
    <row r="26" ht="29" customHeight="1" s="56">
      <c r="B26" s="26" t="inlineStr">
        <is>
          <t>Projects Selected (count)</t>
        </is>
      </c>
      <c r="C26" s="28">
        <f>SUM(E12:E21)</f>
        <v/>
      </c>
      <c r="D26" s="25" t="n"/>
      <c r="E26" s="25" t="n"/>
      <c r="F26" s="25" t="n"/>
      <c r="G26" s="25" t="n"/>
      <c r="I26" s="36" t="inlineStr">
        <is>
          <t>Constraints (core)</t>
        </is>
      </c>
      <c r="J26" s="37" t="inlineStr">
        <is>
          <t>C23 &lt;= C5; E12:E21 Binary</t>
        </is>
      </c>
    </row>
    <row r="27">
      <c r="B27" s="25" t="n"/>
      <c r="C27" s="25" t="n"/>
      <c r="D27" s="25" t="n"/>
      <c r="E27" s="25" t="n"/>
      <c r="F27" s="25" t="n"/>
      <c r="G27" s="25" t="n"/>
      <c r="I27" s="36" t="inlineStr">
        <is>
          <t>Solving Method</t>
        </is>
      </c>
      <c r="J27" s="37" t="inlineStr">
        <is>
          <t>Simplex LP</t>
        </is>
      </c>
    </row>
    <row r="28" ht="31" customHeight="1" s="56">
      <c r="B28" s="29" t="inlineStr">
        <is>
          <t>Constraint helper calculations</t>
        </is>
      </c>
      <c r="C28" s="25" t="n"/>
      <c r="D28" s="25" t="n"/>
      <c r="E28" s="25" t="n"/>
      <c r="F28" s="25" t="n"/>
      <c r="G28" s="25" t="n"/>
    </row>
    <row r="29">
      <c r="B29" s="26" t="inlineStr">
        <is>
          <t>Cost(ABC)</t>
        </is>
      </c>
      <c r="C29" s="27">
        <f>SUMPRODUCT(--ISNUMBER(MATCH($B$12:$B$21,{"A","B","C"},0)),$C$12:$C$21,$E$12:$E$21)</f>
        <v/>
      </c>
      <c r="D29" s="25" t="n"/>
      <c r="E29" s="25" t="n"/>
      <c r="F29" s="25" t="n"/>
      <c r="G29" s="25" t="n"/>
    </row>
    <row r="30">
      <c r="B30" s="26" t="inlineStr">
        <is>
          <t>Cost(ACF)</t>
        </is>
      </c>
      <c r="C30" s="27">
        <f>SUMPRODUCT(--ISNUMBER(MATCH($B$12:$B$21,{"A","C","F"},0)),$C$12:$C$21,$E$12:$E$21)</f>
        <v/>
      </c>
      <c r="D30" s="25" t="n"/>
      <c r="E30" s="25" t="n"/>
      <c r="F30" s="25" t="n"/>
      <c r="G30" s="25" t="n"/>
    </row>
    <row r="31">
      <c r="B31" s="26" t="inlineStr">
        <is>
          <t>Cost(DEG)</t>
        </is>
      </c>
      <c r="C31" s="27">
        <f>SUMPRODUCT(--ISNUMBER(MATCH($B$12:$B$21,{"D","E","G"},0)),$C$12:$C$21,$E$12:$E$21)</f>
        <v/>
      </c>
      <c r="D31" s="25" t="n"/>
      <c r="E31" s="25" t="n"/>
      <c r="F31" s="25" t="n"/>
      <c r="G31" s="25" t="n"/>
    </row>
    <row r="32" ht="29" customHeight="1" s="56">
      <c r="B32" s="26" t="inlineStr">
        <is>
          <t>High-cost count (Cost&gt;₹7,00,000)</t>
        </is>
      </c>
      <c r="C32" s="25">
        <f>SUMPRODUCT(--($C$12:$C$21&gt;700000),$E$12:$E$21)</f>
        <v/>
      </c>
      <c r="D32" s="25" t="n"/>
      <c r="E32" s="25" t="n"/>
      <c r="F32" s="25" t="n"/>
      <c r="G32" s="25" t="n"/>
    </row>
    <row r="33">
      <c r="B33" s="26" t="inlineStr">
        <is>
          <t>NPV/Cost ratio</t>
        </is>
      </c>
      <c r="C33" s="30">
        <f>IF($C$23=0,"",$C$24/$C$23)</f>
        <v/>
      </c>
      <c r="D33" s="25" t="n"/>
      <c r="E33" s="25" t="n"/>
      <c r="F33" s="25" t="n"/>
      <c r="G33" s="25" t="n"/>
    </row>
    <row r="34">
      <c r="B34" s="25" t="n"/>
      <c r="C34" s="25" t="n"/>
      <c r="D34" s="25" t="n"/>
      <c r="E34" s="25" t="n"/>
      <c r="F34" s="25" t="n"/>
      <c r="G34" s="25"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B22:G22"/>
    <mergeCell ref="I22:N22"/>
    <mergeCell ref="B4:G4"/>
    <mergeCell ref="I12:N12"/>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N34"/>
  <sheetViews>
    <sheetView topLeftCell="A17" workbookViewId="0">
      <selection activeCell="E12" sqref="E12:E21"/>
    </sheetView>
  </sheetViews>
  <sheetFormatPr baseColWidth="8" defaultRowHeight="14.5"/>
  <cols>
    <col width="3" customWidth="1" style="56" min="1" max="1"/>
    <col width="18" customWidth="1" style="56" min="2" max="4"/>
    <col width="12" customWidth="1" style="56" min="5" max="5"/>
    <col width="18" customWidth="1" style="56" min="6" max="7"/>
    <col width="3" customWidth="1" style="56" min="8" max="8"/>
    <col width="28" customWidth="1" style="56" min="9" max="9"/>
    <col width="20" customWidth="1" style="56" min="10" max="12"/>
    <col width="18" customWidth="1" style="56" min="13" max="14"/>
  </cols>
  <sheetData>
    <row r="1">
      <c r="A1" s="55" t="inlineStr">
        <is>
          <t>Caselet 6 – Strategic Capital Allocation at GlobalTech Ltd.</t>
        </is>
      </c>
    </row>
    <row r="2">
      <c r="A2" s="11" t="inlineStr">
        <is>
          <t>⬅ Back to Index</t>
        </is>
      </c>
    </row>
    <row r="3"/>
    <row r="4">
      <c r="B4" s="62" t="inlineStr">
        <is>
          <t>INPUTS</t>
        </is>
      </c>
      <c r="C4" s="59" t="n"/>
      <c r="D4" s="59" t="n"/>
      <c r="E4" s="59" t="n"/>
      <c r="F4" s="59" t="n"/>
      <c r="G4" s="60" t="n"/>
      <c r="I4" s="64" t="inlineStr">
        <is>
          <t>OUTPUTS / DECISION</t>
        </is>
      </c>
      <c r="J4" s="59" t="n"/>
      <c r="K4" s="59" t="n"/>
      <c r="L4" s="59" t="n"/>
      <c r="M4" s="59" t="n"/>
      <c r="N4" s="60" t="n"/>
    </row>
    <row r="5" ht="43.5" customHeight="1" s="56">
      <c r="B5" s="14" t="inlineStr">
        <is>
          <t>Capital Budget (₹)</t>
        </is>
      </c>
      <c r="C5" s="15">
        <f>PROJECT_DATA!$B$5</f>
        <v/>
      </c>
      <c r="D5" s="16" t="n"/>
      <c r="E5" s="14" t="inlineStr">
        <is>
          <t>Min NPV/Cost ratio</t>
        </is>
      </c>
      <c r="F5" s="32" t="n">
        <v>0.25</v>
      </c>
      <c r="G5" s="16" t="n"/>
      <c r="I5" s="17" t="inlineStr">
        <is>
          <t>Key Outputs</t>
        </is>
      </c>
      <c r="J5" s="13" t="n"/>
      <c r="K5" s="13" t="n"/>
      <c r="L5" s="13" t="n"/>
      <c r="M5" s="13" t="n"/>
      <c r="N5" s="13" t="n"/>
    </row>
    <row r="6" ht="43.5" customHeight="1" s="56">
      <c r="B6" s="14" t="inlineStr">
        <is>
          <t>Objective</t>
        </is>
      </c>
      <c r="C6" s="16" t="inlineStr">
        <is>
          <t>Maximize Total NPV</t>
        </is>
      </c>
      <c r="D6" s="16" t="n"/>
      <c r="E6" s="14" t="inlineStr">
        <is>
          <t>Max risk spend (% of budget)</t>
        </is>
      </c>
      <c r="F6" s="33" t="n">
        <v>0.3</v>
      </c>
      <c r="G6" s="16" t="n"/>
      <c r="I6" s="64" t="inlineStr">
        <is>
          <t>Metric</t>
        </is>
      </c>
      <c r="J6" s="64" t="inlineStr">
        <is>
          <t>Value</t>
        </is>
      </c>
      <c r="K6" s="13" t="n"/>
      <c r="L6" s="13" t="n"/>
      <c r="M6" s="13" t="n"/>
      <c r="N6" s="13" t="n"/>
    </row>
    <row r="7" ht="43.5" customHeight="1" s="56">
      <c r="B7" s="14" t="inlineStr">
        <is>
          <t>Decision variables</t>
        </is>
      </c>
      <c r="C7" s="16" t="inlineStr">
        <is>
          <t>Select? (0/1) for each project</t>
        </is>
      </c>
      <c r="D7" s="16" t="n"/>
      <c r="E7" s="14" t="inlineStr">
        <is>
          <t>Min strategic spend (% of total cost)</t>
        </is>
      </c>
      <c r="F7" s="33" t="n">
        <v>0.5</v>
      </c>
      <c r="G7" s="16" t="n"/>
      <c r="I7" s="13" t="inlineStr">
        <is>
          <t>Total Cost (₹)</t>
        </is>
      </c>
      <c r="J7" s="18">
        <f>C23</f>
        <v/>
      </c>
      <c r="K7" s="13" t="n"/>
      <c r="L7" s="13" t="n"/>
      <c r="M7" s="13" t="n"/>
      <c r="N7" s="13" t="n"/>
    </row>
    <row r="8" ht="87" customHeight="1" s="56">
      <c r="B8" s="14" t="inlineStr">
        <is>
          <t>Solver note</t>
        </is>
      </c>
      <c r="C8" s="16" t="inlineStr">
        <is>
          <t>Objective: C24 (Total NPV). Variable cells: E12:E21 (Binary). Add constraints in Checks.</t>
        </is>
      </c>
      <c r="D8" s="16" t="n"/>
      <c r="E8" s="16" t="n"/>
      <c r="F8" s="16" t="n"/>
      <c r="G8" s="16" t="n"/>
      <c r="I8" s="13" t="inlineStr">
        <is>
          <t>Total NPV (₹)</t>
        </is>
      </c>
      <c r="J8" s="18">
        <f>C24</f>
        <v/>
      </c>
      <c r="K8" s="13" t="n"/>
      <c r="L8" s="13" t="n"/>
      <c r="M8" s="13" t="n"/>
      <c r="N8" s="13" t="n"/>
    </row>
    <row r="9" ht="101.5" customHeight="1" s="56">
      <c r="B9" s="16" t="n"/>
      <c r="C9" s="34" t="inlineStr">
        <is>
          <t>Pre-filled with an optimal solution (computed and saved). You may re-run Solver after changing any input/constraint.</t>
        </is>
      </c>
      <c r="D9" s="16" t="n"/>
      <c r="E9" s="16" t="n"/>
      <c r="F9" s="16" t="n"/>
      <c r="G9" s="16" t="n"/>
      <c r="I9" s="13" t="inlineStr">
        <is>
          <t>Budget Slack (₹)</t>
        </is>
      </c>
      <c r="J9" s="18">
        <f>C25</f>
        <v/>
      </c>
      <c r="K9" s="13" t="n"/>
      <c r="L9" s="13" t="n"/>
      <c r="M9" s="13" t="n"/>
      <c r="N9" s="13" t="n"/>
    </row>
    <row r="10" ht="62" customHeight="1" s="56">
      <c r="B10" s="19" t="inlineStr">
        <is>
          <t>Project Portfolio (Cost &amp; NPV referenced from PROJECT_DATA)</t>
        </is>
      </c>
      <c r="C10" s="16" t="n"/>
      <c r="D10" s="16" t="n"/>
      <c r="E10" s="16" t="n"/>
      <c r="F10" s="16" t="n"/>
      <c r="G10" s="16" t="n"/>
      <c r="I10" s="13" t="inlineStr">
        <is>
          <t>Projects Selected</t>
        </is>
      </c>
      <c r="J10" s="20">
        <f>C26</f>
        <v/>
      </c>
      <c r="K10" s="13" t="n"/>
      <c r="L10" s="13" t="n"/>
      <c r="M10" s="13" t="n"/>
      <c r="N10" s="13" t="n"/>
    </row>
    <row r="11">
      <c r="B11" s="21" t="inlineStr">
        <is>
          <t>Project</t>
        </is>
      </c>
      <c r="C11" s="21" t="inlineStr">
        <is>
          <t>Cost (₹)</t>
        </is>
      </c>
      <c r="D11" s="21" t="inlineStr">
        <is>
          <t>NPV (₹)</t>
        </is>
      </c>
      <c r="E11" s="21" t="inlineStr">
        <is>
          <t>Select? (0/1)</t>
        </is>
      </c>
      <c r="F11" s="21" t="inlineStr">
        <is>
          <t>Selected Cost (₹)</t>
        </is>
      </c>
      <c r="G11" s="21" t="inlineStr">
        <is>
          <t>Selected NPV (₹)</t>
        </is>
      </c>
    </row>
    <row r="12">
      <c r="B12" s="16" t="inlineStr">
        <is>
          <t>A</t>
        </is>
      </c>
      <c r="C12" s="15">
        <f>VLOOKUP(B12,PROJECT_DATA!$A$8:$C$17,2,FALSE)</f>
        <v/>
      </c>
      <c r="D12" s="15">
        <f>VLOOKUP(B12,PROJECT_DATA!$A$8:$C$17,3,FALSE)</f>
        <v/>
      </c>
      <c r="E12" s="35" t="n">
        <v>1</v>
      </c>
      <c r="F12" s="15">
        <f>C12*E12</f>
        <v/>
      </c>
      <c r="G12" s="15">
        <f>D12*E12</f>
        <v/>
      </c>
      <c r="I12" s="63" t="inlineStr">
        <is>
          <t>CHECKS</t>
        </is>
      </c>
      <c r="J12" s="59" t="n"/>
      <c r="K12" s="59" t="n"/>
      <c r="L12" s="59" t="n"/>
      <c r="M12" s="59" t="n"/>
      <c r="N12" s="60" t="n"/>
    </row>
    <row r="13">
      <c r="B13" s="16" t="inlineStr">
        <is>
          <t>B</t>
        </is>
      </c>
      <c r="C13" s="15">
        <f>VLOOKUP(B13,PROJECT_DATA!$A$8:$C$17,2,FALSE)</f>
        <v/>
      </c>
      <c r="D13" s="15">
        <f>VLOOKUP(B13,PROJECT_DATA!$A$8:$C$17,3,FALSE)</f>
        <v/>
      </c>
      <c r="E13" s="35" t="n">
        <v>1</v>
      </c>
      <c r="F13" s="15">
        <f>C13*E13</f>
        <v/>
      </c>
      <c r="G13" s="15">
        <f>D13*E13</f>
        <v/>
      </c>
      <c r="I13" s="63" t="inlineStr">
        <is>
          <t>Check / Constraint</t>
        </is>
      </c>
      <c r="J13" s="63" t="inlineStr">
        <is>
          <t>Status</t>
        </is>
      </c>
      <c r="K13" s="23" t="n"/>
    </row>
    <row r="14">
      <c r="B14" s="16" t="inlineStr">
        <is>
          <t>C</t>
        </is>
      </c>
      <c r="C14" s="15">
        <f>VLOOKUP(B14,PROJECT_DATA!$A$8:$C$17,2,FALSE)</f>
        <v/>
      </c>
      <c r="D14" s="15">
        <f>VLOOKUP(B14,PROJECT_DATA!$A$8:$C$17,3,FALSE)</f>
        <v/>
      </c>
      <c r="E14" s="35" t="n">
        <v>1</v>
      </c>
      <c r="F14" s="15">
        <f>C14*E14</f>
        <v/>
      </c>
      <c r="G14" s="15">
        <f>D14*E14</f>
        <v/>
      </c>
      <c r="I14" s="23" t="inlineStr">
        <is>
          <t>Budget: Total Cost ≤ Budget</t>
        </is>
      </c>
      <c r="J14" s="23">
        <f>IF($C$23&lt;=$C$5,"OK","Review")</f>
        <v/>
      </c>
      <c r="K14" s="23" t="n"/>
    </row>
    <row r="15" ht="29" customHeight="1" s="56">
      <c r="B15" s="16" t="inlineStr">
        <is>
          <t>D</t>
        </is>
      </c>
      <c r="C15" s="15">
        <f>VLOOKUP(B15,PROJECT_DATA!$A$8:$C$17,2,FALSE)</f>
        <v/>
      </c>
      <c r="D15" s="15">
        <f>VLOOKUP(B15,PROJECT_DATA!$A$8:$C$17,3,FALSE)</f>
        <v/>
      </c>
      <c r="E15" s="35" t="n">
        <v>1</v>
      </c>
      <c r="F15" s="15">
        <f>C15*E15</f>
        <v/>
      </c>
      <c r="G15" s="15">
        <f>D15*E15</f>
        <v/>
      </c>
      <c r="I15" s="23" t="inlineStr">
        <is>
          <t>Binary inputs (0/1) in Select? column</t>
        </is>
      </c>
      <c r="J15" s="23">
        <f>IF(COUNTIF($E$12:$E$21,"&lt;0")+COUNTIF($E$12:$E$21,"&gt;1")=0,"OK","Review")</f>
        <v/>
      </c>
      <c r="K15" s="23" t="n"/>
    </row>
    <row r="16" ht="29" customHeight="1" s="56">
      <c r="B16" s="16" t="inlineStr">
        <is>
          <t>E</t>
        </is>
      </c>
      <c r="C16" s="15">
        <f>VLOOKUP(B16,PROJECT_DATA!$A$8:$C$17,2,FALSE)</f>
        <v/>
      </c>
      <c r="D16" s="15">
        <f>VLOOKUP(B16,PROJECT_DATA!$A$8:$C$17,3,FALSE)</f>
        <v/>
      </c>
      <c r="E16" s="35" t="n">
        <v>1</v>
      </c>
      <c r="F16" s="15">
        <f>C16*E16</f>
        <v/>
      </c>
      <c r="G16" s="15">
        <f>D16*E16</f>
        <v/>
      </c>
      <c r="I16" s="23" t="inlineStr">
        <is>
          <t>Strategic allocation: Cost(ACF) ≥ 50% of Total Cost</t>
        </is>
      </c>
      <c r="J16" s="31">
        <f>IF($C$23=0,"Review",IF($C$30&gt;=$F$7*$C$23,"OK","Review"))</f>
        <v/>
      </c>
      <c r="K16" s="23" t="n"/>
    </row>
    <row r="17" ht="29" customHeight="1" s="56">
      <c r="B17" s="16" t="inlineStr">
        <is>
          <t>F</t>
        </is>
      </c>
      <c r="C17" s="15">
        <f>VLOOKUP(B17,PROJECT_DATA!$A$8:$C$17,2,FALSE)</f>
        <v/>
      </c>
      <c r="D17" s="15">
        <f>VLOOKUP(B17,PROJECT_DATA!$A$8:$C$17,3,FALSE)</f>
        <v/>
      </c>
      <c r="E17" s="35" t="n">
        <v>1</v>
      </c>
      <c r="F17" s="15">
        <f>C17*E17</f>
        <v/>
      </c>
      <c r="G17" s="15">
        <f>D17*E17</f>
        <v/>
      </c>
      <c r="I17" s="23" t="inlineStr">
        <is>
          <t>Risk cap: Cost(D,E,G) ≤ 30% of Budget</t>
        </is>
      </c>
      <c r="J17" s="31">
        <f>IF($C$31&lt;=$F$6*$C$5,"OK","Review")</f>
        <v/>
      </c>
      <c r="K17" s="23" t="n"/>
    </row>
    <row r="18" ht="29" customHeight="1" s="56">
      <c r="B18" s="16" t="inlineStr">
        <is>
          <t>G</t>
        </is>
      </c>
      <c r="C18" s="15">
        <f>VLOOKUP(B18,PROJECT_DATA!$A$8:$C$17,2,FALSE)</f>
        <v/>
      </c>
      <c r="D18" s="15">
        <f>VLOOKUP(B18,PROJECT_DATA!$A$8:$C$17,3,FALSE)</f>
        <v/>
      </c>
      <c r="E18" s="35" t="n">
        <v>1</v>
      </c>
      <c r="F18" s="15">
        <f>C18*E18</f>
        <v/>
      </c>
      <c r="G18" s="15">
        <f>D18*E18</f>
        <v/>
      </c>
      <c r="I18" s="23" t="inlineStr">
        <is>
          <t>Portfolio efficiency: NPV/Cost ≥ minimum ratio</t>
        </is>
      </c>
      <c r="J18" s="31">
        <f>IF($C$23=0,"Review",IF($C$33&gt;=$F$5,"OK","Review"))</f>
        <v/>
      </c>
      <c r="K18" s="23" t="n"/>
    </row>
    <row r="19">
      <c r="B19" s="16" t="inlineStr">
        <is>
          <t>H</t>
        </is>
      </c>
      <c r="C19" s="15">
        <f>VLOOKUP(B19,PROJECT_DATA!$A$8:$C$17,2,FALSE)</f>
        <v/>
      </c>
      <c r="D19" s="15">
        <f>VLOOKUP(B19,PROJECT_DATA!$A$8:$C$17,3,FALSE)</f>
        <v/>
      </c>
      <c r="E19" s="35" t="n">
        <v>1</v>
      </c>
      <c r="F19" s="15">
        <f>C19*E19</f>
        <v/>
      </c>
      <c r="G19" s="15">
        <f>D19*E19</f>
        <v/>
      </c>
      <c r="I19" s="23" t="n"/>
      <c r="J19" s="23" t="n"/>
      <c r="K19" s="23" t="n"/>
    </row>
    <row r="20">
      <c r="B20" s="16" t="inlineStr">
        <is>
          <t>I</t>
        </is>
      </c>
      <c r="C20" s="15">
        <f>VLOOKUP(B20,PROJECT_DATA!$A$8:$C$17,2,FALSE)</f>
        <v/>
      </c>
      <c r="D20" s="15">
        <f>VLOOKUP(B20,PROJECT_DATA!$A$8:$C$17,3,FALSE)</f>
        <v/>
      </c>
      <c r="E20" s="35" t="n">
        <v>1</v>
      </c>
      <c r="F20" s="15">
        <f>C20*E20</f>
        <v/>
      </c>
      <c r="G20" s="15">
        <f>D20*E20</f>
        <v/>
      </c>
      <c r="I20" s="24" t="inlineStr">
        <is>
          <t>Overall Status (all checks)</t>
        </is>
      </c>
      <c r="J20" s="24">
        <f>IF(COUNTIF($J$14:$J$18,"Review")=0,"OK","Review")</f>
        <v/>
      </c>
      <c r="K20" s="23" t="n"/>
    </row>
    <row r="21">
      <c r="B21" s="16" t="inlineStr">
        <is>
          <t>J</t>
        </is>
      </c>
      <c r="C21" s="15">
        <f>VLOOKUP(B21,PROJECT_DATA!$A$8:$C$17,2,FALSE)</f>
        <v/>
      </c>
      <c r="D21" s="15">
        <f>VLOOKUP(B21,PROJECT_DATA!$A$8:$C$17,3,FALSE)</f>
        <v/>
      </c>
      <c r="E21" s="35" t="n">
        <v>1</v>
      </c>
      <c r="F21" s="15">
        <f>C21*E21</f>
        <v/>
      </c>
      <c r="G21" s="15">
        <f>D21*E21</f>
        <v/>
      </c>
    </row>
    <row r="22">
      <c r="B22" s="58" t="inlineStr">
        <is>
          <t>CALCULATIONS</t>
        </is>
      </c>
      <c r="C22" s="59" t="n"/>
      <c r="D22" s="59" t="n"/>
      <c r="E22" s="59" t="n"/>
      <c r="F22" s="59" t="n"/>
      <c r="G22" s="60" t="n"/>
      <c r="I22" s="61" t="inlineStr">
        <is>
          <t>Solver Setup (enter in Excel Solver)</t>
        </is>
      </c>
    </row>
    <row r="23">
      <c r="B23" s="26" t="inlineStr">
        <is>
          <t>Total Cost (₹)</t>
        </is>
      </c>
      <c r="C23" s="27">
        <f>SUM(F12:F21)</f>
        <v/>
      </c>
      <c r="D23" s="25" t="n"/>
      <c r="E23" s="25" t="n"/>
      <c r="F23" s="25" t="n"/>
      <c r="G23" s="25" t="n"/>
      <c r="I23" s="36" t="inlineStr">
        <is>
          <t>Set Objective</t>
        </is>
      </c>
      <c r="J23" s="37" t="inlineStr">
        <is>
          <t>C24 (Total NPV)</t>
        </is>
      </c>
    </row>
    <row r="24">
      <c r="B24" s="26" t="inlineStr">
        <is>
          <t>Total NPV (₹)</t>
        </is>
      </c>
      <c r="C24" s="27">
        <f>SUM(G12:G21)</f>
        <v/>
      </c>
      <c r="D24" s="25" t="n"/>
      <c r="E24" s="25" t="n"/>
      <c r="F24" s="25" t="n"/>
      <c r="G24" s="25" t="n"/>
      <c r="I24" s="36" t="inlineStr">
        <is>
          <t>To</t>
        </is>
      </c>
      <c r="J24" s="37" t="inlineStr">
        <is>
          <t>Max</t>
        </is>
      </c>
    </row>
    <row r="25">
      <c r="B25" s="26" t="inlineStr">
        <is>
          <t>Budget Slack (₹)</t>
        </is>
      </c>
      <c r="C25" s="27">
        <f>$C$5-$C$23</f>
        <v/>
      </c>
      <c r="D25" s="25" t="n"/>
      <c r="E25" s="25" t="n"/>
      <c r="F25" s="25" t="n"/>
      <c r="G25" s="25" t="n"/>
      <c r="I25" s="36" t="inlineStr">
        <is>
          <t>By Changing Variable Cells</t>
        </is>
      </c>
      <c r="J25" s="37" t="inlineStr">
        <is>
          <t>E12:E21</t>
        </is>
      </c>
    </row>
    <row r="26" ht="29" customHeight="1" s="56">
      <c r="B26" s="26" t="inlineStr">
        <is>
          <t>Projects Selected (count)</t>
        </is>
      </c>
      <c r="C26" s="28">
        <f>SUM(E12:E21)</f>
        <v/>
      </c>
      <c r="D26" s="25" t="n"/>
      <c r="E26" s="25" t="n"/>
      <c r="F26" s="25" t="n"/>
      <c r="G26" s="25" t="n"/>
      <c r="I26" s="36" t="inlineStr">
        <is>
          <t>Constraints (core)</t>
        </is>
      </c>
      <c r="J26" s="37" t="inlineStr">
        <is>
          <t>C23 &lt;= C5; E12:E21 Binary</t>
        </is>
      </c>
    </row>
    <row r="27">
      <c r="B27" s="25" t="n"/>
      <c r="C27" s="25" t="n"/>
      <c r="D27" s="25" t="n"/>
      <c r="E27" s="25" t="n"/>
      <c r="F27" s="25" t="n"/>
      <c r="G27" s="25" t="n"/>
      <c r="I27" s="36" t="inlineStr">
        <is>
          <t>Solving Method</t>
        </is>
      </c>
      <c r="J27" s="37" t="inlineStr">
        <is>
          <t>Simplex LP</t>
        </is>
      </c>
    </row>
    <row r="28" ht="31" customHeight="1" s="56">
      <c r="B28" s="29" t="inlineStr">
        <is>
          <t>Constraint helper calculations</t>
        </is>
      </c>
      <c r="C28" s="25" t="n"/>
      <c r="D28" s="25" t="n"/>
      <c r="E28" s="25" t="n"/>
      <c r="F28" s="25" t="n"/>
      <c r="G28" s="25" t="n"/>
    </row>
    <row r="29">
      <c r="B29" s="26" t="inlineStr">
        <is>
          <t>Cost(ABC)</t>
        </is>
      </c>
      <c r="C29" s="27">
        <f>SUMPRODUCT(--ISNUMBER(MATCH($B$12:$B$21,{"A","B","C"},0)),$C$12:$C$21,$E$12:$E$21)</f>
        <v/>
      </c>
      <c r="D29" s="25" t="n"/>
      <c r="E29" s="25" t="n"/>
      <c r="F29" s="25" t="n"/>
      <c r="G29" s="25" t="n"/>
    </row>
    <row r="30">
      <c r="B30" s="26" t="inlineStr">
        <is>
          <t>Cost(ACF)</t>
        </is>
      </c>
      <c r="C30" s="27">
        <f>SUMPRODUCT(--ISNUMBER(MATCH($B$12:$B$21,{"A","C","F"},0)),$C$12:$C$21,$E$12:$E$21)</f>
        <v/>
      </c>
      <c r="D30" s="25" t="n"/>
      <c r="E30" s="25" t="n"/>
      <c r="F30" s="25" t="n"/>
      <c r="G30" s="25" t="n"/>
    </row>
    <row r="31">
      <c r="B31" s="26" t="inlineStr">
        <is>
          <t>Cost(DEG)</t>
        </is>
      </c>
      <c r="C31" s="27">
        <f>SUMPRODUCT(--ISNUMBER(MATCH($B$12:$B$21,{"D","E","G"},0)),$C$12:$C$21,$E$12:$E$21)</f>
        <v/>
      </c>
      <c r="D31" s="25" t="n"/>
      <c r="E31" s="25" t="n"/>
      <c r="F31" s="25" t="n"/>
      <c r="G31" s="25" t="n"/>
    </row>
    <row r="32" ht="29" customHeight="1" s="56">
      <c r="B32" s="26" t="inlineStr">
        <is>
          <t>High-cost count (Cost&gt;₹7,00,000)</t>
        </is>
      </c>
      <c r="C32" s="25">
        <f>SUMPRODUCT(--($C$12:$C$21&gt;700000),$E$12:$E$21)</f>
        <v/>
      </c>
      <c r="D32" s="25" t="n"/>
      <c r="E32" s="25" t="n"/>
      <c r="F32" s="25" t="n"/>
      <c r="G32" s="25" t="n"/>
    </row>
    <row r="33">
      <c r="B33" s="26" t="inlineStr">
        <is>
          <t>NPV/Cost ratio</t>
        </is>
      </c>
      <c r="C33" s="30">
        <f>IF($C$23=0,"",$C$24/$C$23)</f>
        <v/>
      </c>
      <c r="D33" s="25" t="n"/>
      <c r="E33" s="25" t="n"/>
      <c r="F33" s="25" t="n"/>
      <c r="G33" s="25" t="n"/>
    </row>
    <row r="34">
      <c r="B34" s="25" t="n"/>
      <c r="C34" s="25" t="n"/>
      <c r="D34" s="25" t="n"/>
      <c r="E34" s="25" t="n"/>
      <c r="F34" s="25" t="n"/>
      <c r="G34" s="25" t="n"/>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B22:G22"/>
    <mergeCell ref="I22:N22"/>
    <mergeCell ref="B4:G4"/>
    <mergeCell ref="I12:N12"/>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N11"/>
  <sheetViews>
    <sheetView workbookViewId="0">
      <pane ySplit="5" topLeftCell="A6" activePane="bottomLeft" state="frozen"/>
      <selection pane="bottomLeft" activeCell="H5" sqref="H5"/>
    </sheetView>
  </sheetViews>
  <sheetFormatPr baseColWidth="8" defaultRowHeight="14.5"/>
  <cols>
    <col width="12" customWidth="1" style="56" min="1" max="1"/>
    <col width="24" customWidth="1" style="56" min="2" max="2"/>
    <col width="18" customWidth="1" style="56" min="3" max="4"/>
    <col width="14" customWidth="1" style="56" min="5" max="5"/>
    <col width="10" customWidth="1" style="56" min="6" max="6"/>
  </cols>
  <sheetData>
    <row r="1">
      <c r="A1" s="55" t="inlineStr">
        <is>
          <t>Checks Summary (All Caselets)</t>
        </is>
      </c>
    </row>
    <row r="2"/>
    <row r="3">
      <c r="A3" s="57" t="inlineStr">
        <is>
          <t>This sheet pulls key outputs and overall status from each caselet sheet.</t>
        </is>
      </c>
    </row>
    <row r="4"/>
    <row r="5">
      <c r="A5" s="2" t="inlineStr">
        <is>
          <t>Caselet</t>
        </is>
      </c>
      <c r="B5" s="2" t="inlineStr">
        <is>
          <t>Company</t>
        </is>
      </c>
      <c r="C5" s="2" t="inlineStr">
        <is>
          <t>Total Cost (₹)</t>
        </is>
      </c>
      <c r="D5" s="2" t="inlineStr">
        <is>
          <t>Total NPV (₹)</t>
        </is>
      </c>
      <c r="E5" s="2" t="inlineStr">
        <is>
          <t>Overall Status</t>
        </is>
      </c>
      <c r="F5" s="2" t="inlineStr">
        <is>
          <t>Open</t>
        </is>
      </c>
    </row>
    <row r="6">
      <c r="A6" s="3" t="inlineStr">
        <is>
          <t>Caselet 1</t>
        </is>
      </c>
      <c r="B6" s="4" t="inlineStr">
        <is>
          <t>Optimus Solutions</t>
        </is>
      </c>
      <c r="C6" s="9">
        <f>Caselet_01_Optimus!$J$7</f>
        <v/>
      </c>
      <c r="D6" s="9">
        <f>Caselet_01_Optimus!$J$8</f>
        <v/>
      </c>
      <c r="E6" s="3">
        <f>Caselet_01_Optimus!$J$20</f>
        <v/>
      </c>
      <c r="F6" s="5" t="inlineStr">
        <is>
          <t>Open ➜</t>
        </is>
      </c>
    </row>
    <row r="7">
      <c r="A7" s="3" t="inlineStr">
        <is>
          <t>Caselet 2</t>
        </is>
      </c>
      <c r="B7" s="4" t="inlineStr">
        <is>
          <t>NovaTech Inc.</t>
        </is>
      </c>
      <c r="C7" s="9">
        <f>Caselet_02_NovaTech!$J$7</f>
        <v/>
      </c>
      <c r="D7" s="9">
        <f>Caselet_02_NovaTech!$J$8</f>
        <v/>
      </c>
      <c r="E7" s="3">
        <f>Caselet_02_NovaTech!$J$20</f>
        <v/>
      </c>
      <c r="F7" s="5" t="inlineStr">
        <is>
          <t>Open ➜</t>
        </is>
      </c>
    </row>
    <row r="8">
      <c r="A8" s="3" t="inlineStr">
        <is>
          <t>Caselet 3</t>
        </is>
      </c>
      <c r="B8" s="4" t="inlineStr">
        <is>
          <t>InnovateCorp</t>
        </is>
      </c>
      <c r="C8" s="9">
        <f>Caselet_03_InnovateCorp!$J$7</f>
        <v/>
      </c>
      <c r="D8" s="9">
        <f>Caselet_03_InnovateCorp!$J$8</f>
        <v/>
      </c>
      <c r="E8" s="3">
        <f>Caselet_03_InnovateCorp!$J$20</f>
        <v/>
      </c>
      <c r="F8" s="5" t="inlineStr">
        <is>
          <t>Open ➜</t>
        </is>
      </c>
    </row>
    <row r="9">
      <c r="A9" s="3" t="inlineStr">
        <is>
          <t>Caselet 4</t>
        </is>
      </c>
      <c r="B9" s="4" t="inlineStr">
        <is>
          <t>FutureVision Ltd.</t>
        </is>
      </c>
      <c r="C9" s="9">
        <f>Caselet_04_FutureVision!$J$7</f>
        <v/>
      </c>
      <c r="D9" s="9">
        <f>Caselet_04_FutureVision!$J$8</f>
        <v/>
      </c>
      <c r="E9" s="3">
        <f>Caselet_04_FutureVision!$J$20</f>
        <v/>
      </c>
      <c r="F9" s="5" t="inlineStr">
        <is>
          <t>Open ➜</t>
        </is>
      </c>
    </row>
    <row r="10">
      <c r="A10" s="3" t="inlineStr">
        <is>
          <t>Caselet 5</t>
        </is>
      </c>
      <c r="B10" s="4" t="inlineStr">
        <is>
          <t>VisionNext Ltd.</t>
        </is>
      </c>
      <c r="C10" s="9">
        <f>Caselet_05_VisionNext!$J$7</f>
        <v/>
      </c>
      <c r="D10" s="9">
        <f>Caselet_05_VisionNext!$J$8</f>
        <v/>
      </c>
      <c r="E10" s="3">
        <f>Caselet_05_VisionNext!$J$20</f>
        <v/>
      </c>
      <c r="F10" s="5" t="inlineStr">
        <is>
          <t>Open ➜</t>
        </is>
      </c>
    </row>
    <row r="11">
      <c r="A11" s="3" t="inlineStr">
        <is>
          <t>Caselet 6</t>
        </is>
      </c>
      <c r="B11" s="4" t="inlineStr">
        <is>
          <t>GlobalTech Ltd.</t>
        </is>
      </c>
      <c r="C11" s="9">
        <f>Caselet_06_GlobalTech!$J$7</f>
        <v/>
      </c>
      <c r="D11" s="9">
        <f>Caselet_06_GlobalTech!$J$8</f>
        <v/>
      </c>
      <c r="E11" s="3">
        <f>Caselet_06_GlobalTech!$J$20</f>
        <v/>
      </c>
      <c r="F11" s="5" t="inlineStr">
        <is>
          <t>Open ➜</t>
        </is>
      </c>
    </row>
  </sheetData>
  <sheetProtection selectLockedCells="0" selectUnlockedCells="0" sheet="1" objects="1" insertRows="0" insertHyperlinks="1" autoFilter="0" scenarios="1" formatColumns="0" deleteColumns="0" insertColumns="0" pivotTables="0" deleteRows="0" formatCells="0" formatRows="0" sort="0" password="AE3A"/>
  <mergeCells count="2">
    <mergeCell ref="A3:F3"/>
    <mergeCell ref="A1:N1"/>
  </mergeCells>
  <hyperlinks>
    <hyperlink ref="F6" location="'Caselet_01_Optimus'!A1" display="Open ➜"/>
    <hyperlink ref="F7" location="'Caselet_02_NovaTech'!A1" display="Open ➜"/>
    <hyperlink ref="F8" location="'Caselet_03_InnovateCorp'!A1" display="Open ➜"/>
    <hyperlink ref="F9" location="'Caselet_04_FutureVision'!A1" display="Open ➜"/>
    <hyperlink ref="F10" location="'Caselet_05_VisionNext'!A1" display="Open ➜"/>
    <hyperlink ref="F11" location="'Caselet_06_GlobalTech'!A1" display="Open ➜"/>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2025-12-22T06:14:12Z</dcterms:created>
  <dcterms:modified xmlns:dcterms="http://purl.org/dc/terms/" xmlns:xsi="http://www.w3.org/2001/XMLSchema-instance" xsi:type="dcterms:W3CDTF">2026-01-02T07:32:20Z</dcterms:modified>
  <cp:lastModifiedBy>srikanthyadav444p</cp:lastModifiedBy>
</cp:coreProperties>
</file>